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KPSDM Tanggamus\1. BIDANG PENGEMBANGAN ASN (RAHASIA)\1. DATA KEPEGAWAIAN\"/>
    </mc:Choice>
  </mc:AlternateContent>
  <xr:revisionPtr revIDLastSave="0" documentId="13_ncr:1_{F68DB913-9C06-45EB-A1FD-36D13A569051}" xr6:coauthVersionLast="47" xr6:coauthVersionMax="47" xr10:uidLastSave="{00000000-0000-0000-0000-000000000000}"/>
  <bookViews>
    <workbookView xWindow="-110" yWindow="-110" windowWidth="19420" windowHeight="12220" activeTab="2" xr2:uid="{A36A88ED-34D0-4DCE-8423-F50B82B22C19}"/>
  </bookViews>
  <sheets>
    <sheet name="DATA NOMINATIF JABATAN" sheetId="3" r:id="rId1"/>
    <sheet name="DATA NOMINATIF JABATAN (2)" sheetId="11" state="hidden" r:id="rId2"/>
    <sheet name="Eselon II" sheetId="5" r:id="rId3"/>
    <sheet name="Eselon III" sheetId="6" r:id="rId4"/>
    <sheet name="Eselon IV" sheetId="8" r:id="rId5"/>
    <sheet name="PENSIUN" sheetId="10" r:id="rId6"/>
  </sheets>
  <externalReferences>
    <externalReference r:id="rId7"/>
    <externalReference r:id="rId8"/>
  </externalReferences>
  <definedNames>
    <definedName name="_xlnm._FilterDatabase" localSheetId="0" hidden="1">'DATA NOMINATIF JABATAN'!$A$3:$AF$1026</definedName>
    <definedName name="_xlnm._FilterDatabase" localSheetId="1" hidden="1">'DATA NOMINATIF JABATAN (2)'!$A$3:$AF$1026</definedName>
    <definedName name="_xlnm._FilterDatabase" localSheetId="2" hidden="1">'Eselon II'!$A$3:$D$17</definedName>
    <definedName name="_xlnm._FilterDatabase" localSheetId="3" hidden="1">'Eselon III'!$A$3:$D$13</definedName>
    <definedName name="_xlnm._FilterDatabase" localSheetId="4" hidden="1">'Eselon IV'!$A$3:$D$94</definedName>
    <definedName name="_xlnm._FilterDatabase" localSheetId="5" hidden="1">PENSIUN!$A$3:$E$14</definedName>
    <definedName name="_xlnm.Print_Area" localSheetId="0">'DATA NOMINATIF JABATAN'!$A$1:$N$1031</definedName>
    <definedName name="_xlnm.Print_Area" localSheetId="1">'DATA NOMINATIF JABATAN (2)'!$A$1:$N$1031</definedName>
    <definedName name="_xlnm.Print_Area" localSheetId="2">'Eselon II'!$A$1:$D$18</definedName>
    <definedName name="_xlnm.Print_Area" localSheetId="3">'Eselon III'!$A$1:$D$14</definedName>
    <definedName name="_xlnm.Print_Area" localSheetId="4">'Eselon IV'!$A$1:$D$95</definedName>
    <definedName name="_xlnm.Print_Area" localSheetId="5">PENSIUN!$A$1:$E$15</definedName>
    <definedName name="_xlnm.Print_Titles" localSheetId="0">'DATA NOMINATIF JABATAN'!$3:$3</definedName>
    <definedName name="_xlnm.Print_Titles" localSheetId="1">'DATA NOMINATIF JABATAN (2)'!$3:$3</definedName>
    <definedName name="_xlnm.Print_Titles" localSheetId="2">'Eselon II'!$3:$4</definedName>
    <definedName name="_xlnm.Print_Titles" localSheetId="3">'Eselon III'!$3:$4</definedName>
    <definedName name="_xlnm.Print_Titles" localSheetId="4">'Eselon IV'!$3:$4</definedName>
    <definedName name="_xlnm.Print_Titles" localSheetId="5">PENSIUN!$3:$4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28" i="11" l="1"/>
  <c r="AD1026" i="11"/>
  <c r="AF1026" i="11" s="1"/>
  <c r="S1026" i="11"/>
  <c r="Q1026" i="11"/>
  <c r="N1026" i="11"/>
  <c r="K1026" i="11"/>
  <c r="AD1025" i="11"/>
  <c r="S1025" i="11"/>
  <c r="Q1025" i="11"/>
  <c r="N1025" i="11"/>
  <c r="K1025" i="11"/>
  <c r="AD1024" i="11"/>
  <c r="AF1024" i="11" s="1"/>
  <c r="S1024" i="11"/>
  <c r="Q1024" i="11"/>
  <c r="N1024" i="11"/>
  <c r="K1024" i="11"/>
  <c r="AF1023" i="11"/>
  <c r="AD1023" i="11"/>
  <c r="AE1023" i="11" s="1"/>
  <c r="S1023" i="11"/>
  <c r="Q1023" i="11"/>
  <c r="N1023" i="11"/>
  <c r="K1023" i="11"/>
  <c r="AE1022" i="11"/>
  <c r="AD1022" i="11"/>
  <c r="AF1022" i="11" s="1"/>
  <c r="S1022" i="11"/>
  <c r="Q1022" i="11"/>
  <c r="N1022" i="11"/>
  <c r="K1022" i="11"/>
  <c r="AD1021" i="11"/>
  <c r="AF1021" i="11" s="1"/>
  <c r="S1021" i="11"/>
  <c r="Q1021" i="11"/>
  <c r="N1021" i="11"/>
  <c r="K1021" i="11"/>
  <c r="AD1020" i="11"/>
  <c r="S1020" i="11"/>
  <c r="Q1020" i="11"/>
  <c r="N1020" i="11"/>
  <c r="K1020" i="11"/>
  <c r="A1020" i="11"/>
  <c r="A1021" i="11" s="1"/>
  <c r="A1022" i="11" s="1"/>
  <c r="A1023" i="11" s="1"/>
  <c r="A1024" i="11" s="1"/>
  <c r="A1025" i="11" s="1"/>
  <c r="A1026" i="11" s="1"/>
  <c r="AF1019" i="11"/>
  <c r="AE1019" i="11"/>
  <c r="AD1019" i="11"/>
  <c r="S1019" i="11"/>
  <c r="Q1019" i="11"/>
  <c r="N1019" i="11"/>
  <c r="K1019" i="11"/>
  <c r="AD1018" i="11"/>
  <c r="AF1018" i="11" s="1"/>
  <c r="S1018" i="11"/>
  <c r="Q1018" i="11"/>
  <c r="N1018" i="11"/>
  <c r="K1018" i="11"/>
  <c r="AF1017" i="11"/>
  <c r="AD1017" i="11"/>
  <c r="AE1017" i="11" s="1"/>
  <c r="S1017" i="11"/>
  <c r="Q1017" i="11"/>
  <c r="N1017" i="11"/>
  <c r="K1017" i="11"/>
  <c r="AD1016" i="11"/>
  <c r="AF1016" i="11" s="1"/>
  <c r="S1016" i="11"/>
  <c r="Q1016" i="11"/>
  <c r="N1016" i="11"/>
  <c r="K1016" i="11"/>
  <c r="AF1015" i="11"/>
  <c r="AD1015" i="11"/>
  <c r="AE1015" i="11" s="1"/>
  <c r="S1015" i="11"/>
  <c r="Q1015" i="11"/>
  <c r="N1015" i="11"/>
  <c r="K1015" i="11"/>
  <c r="AD1014" i="11"/>
  <c r="AF1014" i="11" s="1"/>
  <c r="S1014" i="11"/>
  <c r="Q1014" i="11"/>
  <c r="N1014" i="11"/>
  <c r="K1014" i="11"/>
  <c r="AD1013" i="11"/>
  <c r="AF1013" i="11" s="1"/>
  <c r="S1013" i="11"/>
  <c r="Q1013" i="11"/>
  <c r="N1013" i="11"/>
  <c r="K1013" i="11"/>
  <c r="AD1012" i="11"/>
  <c r="AF1012" i="11" s="1"/>
  <c r="S1012" i="11"/>
  <c r="Q1012" i="11"/>
  <c r="N1012" i="11"/>
  <c r="K1012" i="11"/>
  <c r="AE1011" i="11"/>
  <c r="AD1011" i="11"/>
  <c r="AF1011" i="11" s="1"/>
  <c r="S1011" i="11"/>
  <c r="Q1011" i="11"/>
  <c r="N1011" i="11"/>
  <c r="K1011" i="11"/>
  <c r="AD1010" i="11"/>
  <c r="AF1010" i="11" s="1"/>
  <c r="S1010" i="11"/>
  <c r="Q1010" i="11"/>
  <c r="N1010" i="11"/>
  <c r="K1010" i="11"/>
  <c r="AD1009" i="11"/>
  <c r="AE1009" i="11" s="1"/>
  <c r="S1009" i="11"/>
  <c r="Q1009" i="11"/>
  <c r="N1009" i="11"/>
  <c r="K1009" i="11"/>
  <c r="A1009" i="1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F1008" i="11"/>
  <c r="AE1008" i="11"/>
  <c r="AD1008" i="11"/>
  <c r="S1008" i="11"/>
  <c r="Q1008" i="11"/>
  <c r="N1008" i="11"/>
  <c r="K1008" i="11"/>
  <c r="AF1007" i="11"/>
  <c r="AD1007" i="11"/>
  <c r="AE1007" i="11" s="1"/>
  <c r="S1007" i="11"/>
  <c r="Q1007" i="11"/>
  <c r="N1007" i="11"/>
  <c r="K1007" i="11"/>
  <c r="A1007" i="11"/>
  <c r="A1008" i="11" s="1"/>
  <c r="AD1006" i="11"/>
  <c r="AF1006" i="11" s="1"/>
  <c r="Q1006" i="11"/>
  <c r="N1006" i="11"/>
  <c r="K1006" i="11"/>
  <c r="AF1005" i="11"/>
  <c r="AD1005" i="11"/>
  <c r="AE1005" i="11" s="1"/>
  <c r="S1005" i="11"/>
  <c r="Q1005" i="11"/>
  <c r="N1005" i="11"/>
  <c r="K1005" i="11"/>
  <c r="AF1004" i="11"/>
  <c r="AE1004" i="11"/>
  <c r="AD1004" i="11"/>
  <c r="S1004" i="11"/>
  <c r="Q1004" i="11"/>
  <c r="N1004" i="11"/>
  <c r="K1004" i="11"/>
  <c r="AE1003" i="11"/>
  <c r="AD1003" i="11"/>
  <c r="AF1003" i="11" s="1"/>
  <c r="S1003" i="11"/>
  <c r="Q1003" i="11"/>
  <c r="N1003" i="11"/>
  <c r="K1003" i="11"/>
  <c r="AD1002" i="11"/>
  <c r="AF1002" i="11" s="1"/>
  <c r="S1002" i="11"/>
  <c r="Q1002" i="11"/>
  <c r="N1002" i="11"/>
  <c r="K1002" i="11"/>
  <c r="A1002" i="11"/>
  <c r="A1003" i="11" s="1"/>
  <c r="A1004" i="11" s="1"/>
  <c r="A1005" i="11" s="1"/>
  <c r="AF1001" i="11"/>
  <c r="AE1001" i="11"/>
  <c r="AD1001" i="11"/>
  <c r="N1001" i="11"/>
  <c r="K1001" i="11"/>
  <c r="AD1000" i="11"/>
  <c r="AF1000" i="11" s="1"/>
  <c r="S1000" i="11"/>
  <c r="Q1000" i="11"/>
  <c r="N1000" i="11"/>
  <c r="K1000" i="11"/>
  <c r="AD999" i="11"/>
  <c r="S999" i="11"/>
  <c r="Q999" i="11"/>
  <c r="N999" i="11"/>
  <c r="K999" i="11"/>
  <c r="AF998" i="11"/>
  <c r="AE998" i="11"/>
  <c r="AD998" i="11"/>
  <c r="S998" i="11"/>
  <c r="Q998" i="11"/>
  <c r="N998" i="11"/>
  <c r="K998" i="11"/>
  <c r="AD997" i="11"/>
  <c r="S997" i="11"/>
  <c r="Q997" i="11"/>
  <c r="N997" i="11"/>
  <c r="K997" i="11"/>
  <c r="AE996" i="11"/>
  <c r="AD996" i="11"/>
  <c r="AF996" i="11" s="1"/>
  <c r="S996" i="11"/>
  <c r="Q996" i="11"/>
  <c r="N996" i="11"/>
  <c r="K996" i="11"/>
  <c r="AF995" i="11"/>
  <c r="AD995" i="11"/>
  <c r="AE995" i="11" s="1"/>
  <c r="S995" i="11"/>
  <c r="Q995" i="11"/>
  <c r="N995" i="11"/>
  <c r="K995" i="11"/>
  <c r="AD994" i="11"/>
  <c r="S994" i="11"/>
  <c r="Q994" i="11"/>
  <c r="N994" i="11"/>
  <c r="K994" i="11"/>
  <c r="AD993" i="11"/>
  <c r="S993" i="11"/>
  <c r="Q993" i="11"/>
  <c r="N993" i="11"/>
  <c r="K993" i="11"/>
  <c r="AD992" i="11"/>
  <c r="S992" i="11"/>
  <c r="Q992" i="11"/>
  <c r="N992" i="11"/>
  <c r="K992" i="11"/>
  <c r="AD991" i="11"/>
  <c r="AF991" i="11" s="1"/>
  <c r="S991" i="11"/>
  <c r="Q991" i="11"/>
  <c r="N991" i="11"/>
  <c r="K991" i="11"/>
  <c r="AE990" i="11"/>
  <c r="AD990" i="11"/>
  <c r="AF990" i="11" s="1"/>
  <c r="S990" i="11"/>
  <c r="Q990" i="11"/>
  <c r="N990" i="11"/>
  <c r="K990" i="11"/>
  <c r="AF989" i="11"/>
  <c r="AD989" i="11"/>
  <c r="AE989" i="11" s="1"/>
  <c r="S989" i="11"/>
  <c r="Q989" i="11"/>
  <c r="N989" i="11"/>
  <c r="K989" i="11"/>
  <c r="AF988" i="11"/>
  <c r="AD988" i="11"/>
  <c r="AE988" i="11" s="1"/>
  <c r="S988" i="11"/>
  <c r="Q988" i="11"/>
  <c r="N988" i="11"/>
  <c r="K988" i="11"/>
  <c r="AD987" i="11"/>
  <c r="AF987" i="11" s="1"/>
  <c r="S987" i="11"/>
  <c r="Q987" i="11"/>
  <c r="N987" i="11"/>
  <c r="K987" i="11"/>
  <c r="AD986" i="11"/>
  <c r="AF986" i="11" s="1"/>
  <c r="S986" i="11"/>
  <c r="Q986" i="11"/>
  <c r="N986" i="11"/>
  <c r="K986" i="11"/>
  <c r="AD985" i="11"/>
  <c r="S985" i="11"/>
  <c r="Q985" i="11"/>
  <c r="N985" i="11"/>
  <c r="K985" i="11"/>
  <c r="AF984" i="11"/>
  <c r="AE984" i="11"/>
  <c r="AD984" i="11"/>
  <c r="S984" i="11"/>
  <c r="Q984" i="11"/>
  <c r="N984" i="11"/>
  <c r="K984" i="11"/>
  <c r="AD983" i="11"/>
  <c r="AF983" i="11" s="1"/>
  <c r="S983" i="11"/>
  <c r="T983" i="11" s="1"/>
  <c r="R983" i="11"/>
  <c r="R984" i="11" s="1"/>
  <c r="T984" i="11" s="1"/>
  <c r="Q983" i="11"/>
  <c r="N983" i="11"/>
  <c r="K983" i="11"/>
  <c r="AF982" i="11"/>
  <c r="AE982" i="11"/>
  <c r="AD982" i="11"/>
  <c r="S982" i="11"/>
  <c r="R982" i="11"/>
  <c r="T982" i="11" s="1"/>
  <c r="Q982" i="11"/>
  <c r="N982" i="11"/>
  <c r="K982" i="11"/>
  <c r="AD981" i="11"/>
  <c r="T981" i="11"/>
  <c r="S981" i="11"/>
  <c r="Q981" i="11"/>
  <c r="N981" i="11"/>
  <c r="K981" i="11"/>
  <c r="AF980" i="11"/>
  <c r="AD980" i="11"/>
  <c r="AE980" i="11" s="1"/>
  <c r="N980" i="11"/>
  <c r="K980" i="11"/>
  <c r="Q979" i="11"/>
  <c r="N979" i="11"/>
  <c r="K979" i="11"/>
  <c r="AD977" i="11"/>
  <c r="S977" i="11"/>
  <c r="Q977" i="11"/>
  <c r="N977" i="11"/>
  <c r="K977" i="11"/>
  <c r="AD976" i="11"/>
  <c r="AF976" i="11" s="1"/>
  <c r="S976" i="11"/>
  <c r="Q976" i="11"/>
  <c r="N976" i="11"/>
  <c r="K976" i="11"/>
  <c r="AF975" i="11"/>
  <c r="AE975" i="11"/>
  <c r="AD975" i="11"/>
  <c r="N975" i="11"/>
  <c r="K975" i="11"/>
  <c r="AF974" i="11"/>
  <c r="AE974" i="11"/>
  <c r="AD974" i="11"/>
  <c r="S974" i="11"/>
  <c r="Q974" i="11"/>
  <c r="N974" i="11"/>
  <c r="K974" i="11"/>
  <c r="AF973" i="11"/>
  <c r="AD973" i="11"/>
  <c r="AE973" i="11" s="1"/>
  <c r="S973" i="11"/>
  <c r="Q973" i="11"/>
  <c r="N973" i="11"/>
  <c r="K973" i="11"/>
  <c r="AF972" i="11"/>
  <c r="AE972" i="11"/>
  <c r="AD972" i="11"/>
  <c r="S972" i="11"/>
  <c r="Q972" i="11"/>
  <c r="N972" i="11"/>
  <c r="K972" i="11"/>
  <c r="AF971" i="11"/>
  <c r="AE971" i="11"/>
  <c r="AD971" i="11"/>
  <c r="S971" i="11"/>
  <c r="Q971" i="11"/>
  <c r="N971" i="11"/>
  <c r="K971" i="11"/>
  <c r="AD970" i="11"/>
  <c r="AF970" i="11" s="1"/>
  <c r="S970" i="11"/>
  <c r="Q970" i="11"/>
  <c r="N970" i="11"/>
  <c r="K970" i="11"/>
  <c r="AD969" i="11"/>
  <c r="S969" i="11"/>
  <c r="Q969" i="11"/>
  <c r="N969" i="11"/>
  <c r="K969" i="11"/>
  <c r="AD968" i="11"/>
  <c r="AF968" i="11" s="1"/>
  <c r="S968" i="11"/>
  <c r="Q968" i="11"/>
  <c r="N968" i="11"/>
  <c r="K968" i="11"/>
  <c r="AD967" i="11"/>
  <c r="AF967" i="11" s="1"/>
  <c r="S967" i="11"/>
  <c r="Q967" i="11"/>
  <c r="N967" i="11"/>
  <c r="K967" i="11"/>
  <c r="AF966" i="11"/>
  <c r="AE966" i="11"/>
  <c r="AD966" i="11"/>
  <c r="S966" i="11"/>
  <c r="Q966" i="11"/>
  <c r="N966" i="11"/>
  <c r="K966" i="11"/>
  <c r="AD965" i="11"/>
  <c r="AF965" i="11" s="1"/>
  <c r="S965" i="11"/>
  <c r="Q965" i="11"/>
  <c r="N965" i="11"/>
  <c r="K965" i="11"/>
  <c r="AD964" i="11"/>
  <c r="AF964" i="11" s="1"/>
  <c r="S964" i="11"/>
  <c r="Q964" i="11"/>
  <c r="N964" i="11"/>
  <c r="K964" i="11"/>
  <c r="AF963" i="11"/>
  <c r="AE963" i="11"/>
  <c r="AD963" i="11"/>
  <c r="S963" i="11"/>
  <c r="Q963" i="11"/>
  <c r="N963" i="11"/>
  <c r="K963" i="11"/>
  <c r="AF962" i="11"/>
  <c r="AD962" i="11"/>
  <c r="AE962" i="11" s="1"/>
  <c r="S962" i="11"/>
  <c r="Q962" i="11"/>
  <c r="N962" i="11"/>
  <c r="K962" i="11"/>
  <c r="AD961" i="11"/>
  <c r="S961" i="11"/>
  <c r="Q961" i="11"/>
  <c r="N961" i="11"/>
  <c r="K961" i="11"/>
  <c r="AF960" i="11"/>
  <c r="AE960" i="11"/>
  <c r="AD960" i="11"/>
  <c r="S960" i="11"/>
  <c r="Q960" i="11"/>
  <c r="N960" i="11"/>
  <c r="K960" i="11"/>
  <c r="AD959" i="11"/>
  <c r="AF959" i="11" s="1"/>
  <c r="S959" i="11"/>
  <c r="Q959" i="11"/>
  <c r="N959" i="11"/>
  <c r="K959" i="11"/>
  <c r="AF958" i="11"/>
  <c r="AE958" i="11"/>
  <c r="AD958" i="11"/>
  <c r="S958" i="11"/>
  <c r="Q958" i="11"/>
  <c r="N958" i="11"/>
  <c r="K958" i="11"/>
  <c r="AF957" i="11"/>
  <c r="AD957" i="11"/>
  <c r="AE957" i="11" s="1"/>
  <c r="S957" i="11"/>
  <c r="Q957" i="11"/>
  <c r="N957" i="11"/>
  <c r="K957" i="11"/>
  <c r="AF956" i="11"/>
  <c r="AE956" i="11"/>
  <c r="AD956" i="11"/>
  <c r="S956" i="11"/>
  <c r="Q956" i="11"/>
  <c r="N956" i="11"/>
  <c r="K956" i="11"/>
  <c r="AF955" i="11"/>
  <c r="AE955" i="11"/>
  <c r="AD955" i="11"/>
  <c r="S955" i="11"/>
  <c r="Q955" i="11"/>
  <c r="N955" i="11"/>
  <c r="K955" i="11"/>
  <c r="AD954" i="11"/>
  <c r="AF954" i="11" s="1"/>
  <c r="N954" i="11"/>
  <c r="K954" i="11"/>
  <c r="AD953" i="11"/>
  <c r="AE953" i="11" s="1"/>
  <c r="S953" i="11"/>
  <c r="Q953" i="11"/>
  <c r="N953" i="11"/>
  <c r="K953" i="11"/>
  <c r="AD952" i="11"/>
  <c r="S952" i="11"/>
  <c r="Q952" i="11"/>
  <c r="N952" i="11"/>
  <c r="K952" i="11"/>
  <c r="AF951" i="11"/>
  <c r="AE951" i="11"/>
  <c r="AD951" i="11"/>
  <c r="S951" i="11"/>
  <c r="Q951" i="11"/>
  <c r="N951" i="11"/>
  <c r="K951" i="11"/>
  <c r="AD950" i="11"/>
  <c r="AF950" i="11" s="1"/>
  <c r="S950" i="11"/>
  <c r="Q950" i="11"/>
  <c r="N950" i="11"/>
  <c r="K950" i="11"/>
  <c r="AF949" i="11"/>
  <c r="AE949" i="11"/>
  <c r="AD949" i="11"/>
  <c r="S949" i="11"/>
  <c r="Q949" i="11"/>
  <c r="N949" i="11"/>
  <c r="K949" i="11"/>
  <c r="AF948" i="11"/>
  <c r="AD948" i="11"/>
  <c r="AE948" i="11" s="1"/>
  <c r="S948" i="11"/>
  <c r="Q948" i="11"/>
  <c r="N948" i="11"/>
  <c r="K948" i="11"/>
  <c r="AF947" i="11"/>
  <c r="AE947" i="11"/>
  <c r="AD947" i="11"/>
  <c r="S947" i="11"/>
  <c r="Q947" i="11"/>
  <c r="N947" i="11"/>
  <c r="K947" i="11"/>
  <c r="AD946" i="11"/>
  <c r="S946" i="11"/>
  <c r="Q946" i="11"/>
  <c r="N946" i="11"/>
  <c r="K946" i="11"/>
  <c r="AE945" i="11"/>
  <c r="AD945" i="11"/>
  <c r="AF945" i="11" s="1"/>
  <c r="S945" i="11"/>
  <c r="Q945" i="11"/>
  <c r="N945" i="11"/>
  <c r="K945" i="11"/>
  <c r="AF944" i="11"/>
  <c r="AD944" i="11"/>
  <c r="AE944" i="11" s="1"/>
  <c r="S944" i="11"/>
  <c r="Q944" i="11"/>
  <c r="N944" i="11"/>
  <c r="AF943" i="11"/>
  <c r="AE943" i="11"/>
  <c r="AD943" i="11"/>
  <c r="S943" i="11"/>
  <c r="Q943" i="11"/>
  <c r="N943" i="11"/>
  <c r="K943" i="11"/>
  <c r="AE942" i="11"/>
  <c r="AD942" i="11"/>
  <c r="AF942" i="11" s="1"/>
  <c r="S942" i="11"/>
  <c r="Q942" i="11"/>
  <c r="N942" i="11"/>
  <c r="K942" i="11"/>
  <c r="AD941" i="11"/>
  <c r="AF941" i="11" s="1"/>
  <c r="S941" i="11"/>
  <c r="Q941" i="11"/>
  <c r="N941" i="11"/>
  <c r="K941" i="11"/>
  <c r="AF940" i="11"/>
  <c r="AE940" i="11"/>
  <c r="AD940" i="11"/>
  <c r="S940" i="11"/>
  <c r="Q940" i="11"/>
  <c r="N940" i="11"/>
  <c r="K940" i="11"/>
  <c r="AD939" i="11"/>
  <c r="AF939" i="11" s="1"/>
  <c r="S939" i="11"/>
  <c r="Q939" i="11"/>
  <c r="N939" i="11"/>
  <c r="K939" i="11"/>
  <c r="AD938" i="11"/>
  <c r="S938" i="11"/>
  <c r="Q938" i="11"/>
  <c r="N938" i="11"/>
  <c r="K938" i="11"/>
  <c r="AD937" i="11"/>
  <c r="S937" i="11"/>
  <c r="Q937" i="11"/>
  <c r="N937" i="11"/>
  <c r="K937" i="11"/>
  <c r="AF936" i="11"/>
  <c r="AE936" i="11"/>
  <c r="AD936" i="11"/>
  <c r="S936" i="11"/>
  <c r="Q936" i="11"/>
  <c r="N936" i="11"/>
  <c r="K936" i="11"/>
  <c r="AF935" i="11"/>
  <c r="AE935" i="11"/>
  <c r="AD935" i="11"/>
  <c r="S935" i="11"/>
  <c r="Q935" i="11"/>
  <c r="N935" i="11"/>
  <c r="K935" i="11"/>
  <c r="AF934" i="11"/>
  <c r="AD934" i="11"/>
  <c r="AE934" i="11" s="1"/>
  <c r="S934" i="11"/>
  <c r="Q934" i="11"/>
  <c r="N934" i="11"/>
  <c r="K934" i="11"/>
  <c r="AF933" i="11"/>
  <c r="AD933" i="11"/>
  <c r="AE933" i="11" s="1"/>
  <c r="S933" i="11"/>
  <c r="Q933" i="11"/>
  <c r="N933" i="11"/>
  <c r="K933" i="11"/>
  <c r="AF932" i="11"/>
  <c r="AE932" i="11"/>
  <c r="AD932" i="11"/>
  <c r="S932" i="11"/>
  <c r="Q932" i="11"/>
  <c r="N932" i="11"/>
  <c r="K932" i="11"/>
  <c r="AF931" i="11"/>
  <c r="AE931" i="11"/>
  <c r="AD931" i="11"/>
  <c r="S931" i="11"/>
  <c r="Q931" i="11"/>
  <c r="N931" i="11"/>
  <c r="K931" i="11"/>
  <c r="AD930" i="11"/>
  <c r="S930" i="11"/>
  <c r="Q930" i="11"/>
  <c r="N930" i="11"/>
  <c r="K930" i="11"/>
  <c r="AE929" i="11"/>
  <c r="AD929" i="11"/>
  <c r="AF929" i="11" s="1"/>
  <c r="S929" i="11"/>
  <c r="Q929" i="11"/>
  <c r="N929" i="11"/>
  <c r="K929" i="11"/>
  <c r="AE928" i="11"/>
  <c r="AD928" i="11"/>
  <c r="AF928" i="11" s="1"/>
  <c r="S928" i="11"/>
  <c r="Q928" i="11"/>
  <c r="N928" i="11"/>
  <c r="K928" i="11"/>
  <c r="AF927" i="11"/>
  <c r="AE927" i="11"/>
  <c r="AD927" i="11"/>
  <c r="S927" i="11"/>
  <c r="Q927" i="11"/>
  <c r="N927" i="11"/>
  <c r="K927" i="11"/>
  <c r="AF926" i="11"/>
  <c r="AE926" i="11"/>
  <c r="AD926" i="11"/>
  <c r="S926" i="11"/>
  <c r="Q926" i="11"/>
  <c r="N926" i="11"/>
  <c r="K926" i="11"/>
  <c r="AD925" i="11"/>
  <c r="AF925" i="11" s="1"/>
  <c r="S925" i="11"/>
  <c r="Q925" i="11"/>
  <c r="N925" i="11"/>
  <c r="K925" i="11"/>
  <c r="AF924" i="11"/>
  <c r="AE924" i="11"/>
  <c r="AD924" i="11"/>
  <c r="S924" i="11"/>
  <c r="Q924" i="11"/>
  <c r="N924" i="11"/>
  <c r="K924" i="11"/>
  <c r="AD923" i="11"/>
  <c r="AF923" i="11" s="1"/>
  <c r="S923" i="11"/>
  <c r="Q923" i="11"/>
  <c r="N923" i="11"/>
  <c r="K923" i="11"/>
  <c r="AD922" i="11"/>
  <c r="S922" i="11"/>
  <c r="Q922" i="11"/>
  <c r="N922" i="11"/>
  <c r="K922" i="11"/>
  <c r="AD921" i="11"/>
  <c r="S921" i="11"/>
  <c r="Q921" i="11"/>
  <c r="N921" i="11"/>
  <c r="K921" i="11"/>
  <c r="AF920" i="11"/>
  <c r="AE920" i="11"/>
  <c r="AD920" i="11"/>
  <c r="S920" i="11"/>
  <c r="Q920" i="11"/>
  <c r="N920" i="11"/>
  <c r="K920" i="11"/>
  <c r="AF919" i="11"/>
  <c r="AE919" i="11"/>
  <c r="AD919" i="11"/>
  <c r="S919" i="11"/>
  <c r="Q919" i="11"/>
  <c r="N919" i="11"/>
  <c r="K919" i="11"/>
  <c r="AF918" i="11"/>
  <c r="AE918" i="11"/>
  <c r="AD918" i="11"/>
  <c r="S918" i="11"/>
  <c r="Q918" i="11"/>
  <c r="N918" i="11"/>
  <c r="K918" i="11"/>
  <c r="AF917" i="11"/>
  <c r="AD917" i="11"/>
  <c r="AE917" i="11" s="1"/>
  <c r="S917" i="11"/>
  <c r="Q917" i="11"/>
  <c r="N917" i="11"/>
  <c r="K917" i="11"/>
  <c r="AF916" i="11"/>
  <c r="AE916" i="11"/>
  <c r="AD916" i="11"/>
  <c r="S916" i="11"/>
  <c r="Q916" i="11"/>
  <c r="N916" i="11"/>
  <c r="K916" i="11"/>
  <c r="AF915" i="11"/>
  <c r="AD915" i="11"/>
  <c r="AE915" i="11" s="1"/>
  <c r="S915" i="11"/>
  <c r="Q915" i="11"/>
  <c r="N915" i="11"/>
  <c r="K915" i="11"/>
  <c r="AD914" i="11"/>
  <c r="S914" i="11"/>
  <c r="Q914" i="11"/>
  <c r="N914" i="11"/>
  <c r="K914" i="11"/>
  <c r="AF913" i="11"/>
  <c r="AE913" i="11"/>
  <c r="AD913" i="11"/>
  <c r="S913" i="11"/>
  <c r="Q913" i="11"/>
  <c r="N913" i="11"/>
  <c r="K913" i="11"/>
  <c r="AE912" i="11"/>
  <c r="AD912" i="11"/>
  <c r="AF912" i="11" s="1"/>
  <c r="S912" i="11"/>
  <c r="Q912" i="11"/>
  <c r="N912" i="11"/>
  <c r="K912" i="11"/>
  <c r="AF911" i="11"/>
  <c r="AE911" i="11"/>
  <c r="AD911" i="11"/>
  <c r="S911" i="11"/>
  <c r="Q911" i="11"/>
  <c r="N911" i="11"/>
  <c r="K911" i="11"/>
  <c r="AF910" i="11"/>
  <c r="AD910" i="11"/>
  <c r="AE910" i="11" s="1"/>
  <c r="S910" i="11"/>
  <c r="Q910" i="11"/>
  <c r="N910" i="11"/>
  <c r="K910" i="11"/>
  <c r="AD909" i="11"/>
  <c r="AF909" i="11" s="1"/>
  <c r="S909" i="11"/>
  <c r="Q909" i="11"/>
  <c r="N909" i="11"/>
  <c r="K909" i="11"/>
  <c r="AF908" i="11"/>
  <c r="AE908" i="11"/>
  <c r="AD908" i="11"/>
  <c r="S908" i="11"/>
  <c r="Q908" i="11"/>
  <c r="N908" i="11"/>
  <c r="K908" i="11"/>
  <c r="AD907" i="11"/>
  <c r="AF907" i="11" s="1"/>
  <c r="S907" i="11"/>
  <c r="Q907" i="11"/>
  <c r="N907" i="11"/>
  <c r="K907" i="11"/>
  <c r="AD906" i="11"/>
  <c r="S906" i="11"/>
  <c r="Q906" i="11"/>
  <c r="N906" i="11"/>
  <c r="K906" i="11"/>
  <c r="AD905" i="11"/>
  <c r="S905" i="11"/>
  <c r="Q905" i="11"/>
  <c r="N905" i="11"/>
  <c r="K905" i="11"/>
  <c r="AF904" i="11"/>
  <c r="AE904" i="11"/>
  <c r="AD904" i="11"/>
  <c r="S904" i="11"/>
  <c r="Q904" i="11"/>
  <c r="N904" i="11"/>
  <c r="K904" i="11"/>
  <c r="AF903" i="11"/>
  <c r="AE903" i="11"/>
  <c r="AD903" i="11"/>
  <c r="S903" i="11"/>
  <c r="Q903" i="11"/>
  <c r="N903" i="11"/>
  <c r="K903" i="11"/>
  <c r="AF902" i="11"/>
  <c r="AE902" i="11"/>
  <c r="AD902" i="11"/>
  <c r="S902" i="11"/>
  <c r="Q902" i="11"/>
  <c r="N902" i="11"/>
  <c r="K902" i="11"/>
  <c r="AF901" i="11"/>
  <c r="AE901" i="11"/>
  <c r="AD901" i="11"/>
  <c r="N901" i="11"/>
  <c r="K901" i="11"/>
  <c r="AE900" i="11"/>
  <c r="AD900" i="11"/>
  <c r="AF900" i="11" s="1"/>
  <c r="S900" i="11"/>
  <c r="Q900" i="11"/>
  <c r="N900" i="11"/>
  <c r="K900" i="11"/>
  <c r="AD899" i="11"/>
  <c r="S899" i="11"/>
  <c r="Q899" i="11"/>
  <c r="N899" i="11"/>
  <c r="K899" i="11"/>
  <c r="AF898" i="11"/>
  <c r="AE898" i="11"/>
  <c r="AD898" i="11"/>
  <c r="S898" i="11"/>
  <c r="Q898" i="11"/>
  <c r="N898" i="11"/>
  <c r="K898" i="11"/>
  <c r="AF897" i="11"/>
  <c r="AE897" i="11"/>
  <c r="AD897" i="11"/>
  <c r="S897" i="11"/>
  <c r="Q897" i="11"/>
  <c r="N897" i="11"/>
  <c r="K897" i="11"/>
  <c r="AF896" i="11"/>
  <c r="AE896" i="11"/>
  <c r="AD896" i="11"/>
  <c r="N896" i="11"/>
  <c r="K896" i="11"/>
  <c r="AD895" i="11"/>
  <c r="S895" i="11"/>
  <c r="Q895" i="11"/>
  <c r="N895" i="11"/>
  <c r="K895" i="11"/>
  <c r="AF894" i="11"/>
  <c r="AE894" i="11"/>
  <c r="AD894" i="11"/>
  <c r="S894" i="11"/>
  <c r="Q894" i="11"/>
  <c r="N894" i="11"/>
  <c r="K894" i="11"/>
  <c r="AF893" i="11"/>
  <c r="AE893" i="11"/>
  <c r="AD893" i="11"/>
  <c r="S893" i="11"/>
  <c r="Q893" i="11"/>
  <c r="N893" i="11"/>
  <c r="K893" i="11"/>
  <c r="AD892" i="11"/>
  <c r="AF892" i="11" s="1"/>
  <c r="S892" i="11"/>
  <c r="Q892" i="11"/>
  <c r="N892" i="11"/>
  <c r="K892" i="11"/>
  <c r="AF891" i="11"/>
  <c r="AE891" i="11"/>
  <c r="AD891" i="11"/>
  <c r="S891" i="11"/>
  <c r="Q891" i="11"/>
  <c r="N891" i="11"/>
  <c r="K891" i="11"/>
  <c r="AD890" i="11"/>
  <c r="S890" i="11"/>
  <c r="Q890" i="11"/>
  <c r="N890" i="11"/>
  <c r="K890" i="11"/>
  <c r="AD889" i="11"/>
  <c r="S889" i="11"/>
  <c r="Q889" i="11"/>
  <c r="N889" i="11"/>
  <c r="K889" i="11"/>
  <c r="AF888" i="11"/>
  <c r="AE888" i="11"/>
  <c r="AD888" i="11"/>
  <c r="S888" i="11"/>
  <c r="Q888" i="11"/>
  <c r="N888" i="11"/>
  <c r="K888" i="11"/>
  <c r="AE887" i="11"/>
  <c r="AD887" i="11"/>
  <c r="AF887" i="11" s="1"/>
  <c r="N887" i="11"/>
  <c r="K887" i="11"/>
  <c r="AD886" i="11"/>
  <c r="AF886" i="11" s="1"/>
  <c r="S886" i="11"/>
  <c r="Q886" i="11"/>
  <c r="N886" i="11"/>
  <c r="K886" i="11"/>
  <c r="AD885" i="11"/>
  <c r="S885" i="11"/>
  <c r="Q885" i="11"/>
  <c r="N885" i="11"/>
  <c r="K885" i="11"/>
  <c r="AF884" i="11"/>
  <c r="AE884" i="11"/>
  <c r="AD884" i="11"/>
  <c r="S884" i="11"/>
  <c r="Q884" i="11"/>
  <c r="N884" i="11"/>
  <c r="K884" i="11"/>
  <c r="AF883" i="11"/>
  <c r="AE883" i="11"/>
  <c r="AD883" i="11"/>
  <c r="S883" i="11"/>
  <c r="Q883" i="11"/>
  <c r="N883" i="11"/>
  <c r="K883" i="11"/>
  <c r="AD882" i="11"/>
  <c r="AF882" i="11" s="1"/>
  <c r="S882" i="11"/>
  <c r="Q882" i="11"/>
  <c r="N882" i="11"/>
  <c r="K882" i="11"/>
  <c r="AD881" i="11"/>
  <c r="AF881" i="11" s="1"/>
  <c r="S881" i="11"/>
  <c r="Q881" i="11"/>
  <c r="N881" i="11"/>
  <c r="K881" i="11"/>
  <c r="AF880" i="11"/>
  <c r="AD880" i="11"/>
  <c r="AE880" i="11" s="1"/>
  <c r="S880" i="11"/>
  <c r="Q880" i="11"/>
  <c r="N880" i="11"/>
  <c r="K880" i="11"/>
  <c r="AF879" i="11"/>
  <c r="AE879" i="11"/>
  <c r="AD879" i="11"/>
  <c r="S879" i="11"/>
  <c r="Q879" i="11"/>
  <c r="N879" i="11"/>
  <c r="K879" i="11"/>
  <c r="AF878" i="11"/>
  <c r="AE878" i="11"/>
  <c r="AD878" i="11"/>
  <c r="S878" i="11"/>
  <c r="Q878" i="11"/>
  <c r="N878" i="11"/>
  <c r="K878" i="11"/>
  <c r="AF877" i="11"/>
  <c r="AE877" i="11"/>
  <c r="AD877" i="11"/>
  <c r="S877" i="11"/>
  <c r="Q877" i="11"/>
  <c r="N877" i="11"/>
  <c r="K877" i="11"/>
  <c r="AF876" i="11"/>
  <c r="AE876" i="11"/>
  <c r="AD876" i="11"/>
  <c r="S876" i="11"/>
  <c r="Q876" i="11"/>
  <c r="N876" i="11"/>
  <c r="K876" i="11"/>
  <c r="AE875" i="11"/>
  <c r="AD875" i="11"/>
  <c r="AF875" i="11" s="1"/>
  <c r="S875" i="11"/>
  <c r="Q875" i="11"/>
  <c r="N875" i="11"/>
  <c r="K875" i="11"/>
  <c r="AE874" i="11"/>
  <c r="AD874" i="11"/>
  <c r="AF874" i="11" s="1"/>
  <c r="S874" i="11"/>
  <c r="Q874" i="11"/>
  <c r="N874" i="11"/>
  <c r="K874" i="11"/>
  <c r="AE873" i="11"/>
  <c r="AD873" i="11"/>
  <c r="AF873" i="11" s="1"/>
  <c r="S873" i="11"/>
  <c r="Q873" i="11"/>
  <c r="N873" i="11"/>
  <c r="K873" i="11"/>
  <c r="AD872" i="11"/>
  <c r="AF872" i="11" s="1"/>
  <c r="S872" i="11"/>
  <c r="Q872" i="11"/>
  <c r="N872" i="11"/>
  <c r="K872" i="11"/>
  <c r="AF871" i="11"/>
  <c r="AE871" i="11"/>
  <c r="AD871" i="11"/>
  <c r="S871" i="11"/>
  <c r="Q871" i="11"/>
  <c r="N871" i="11"/>
  <c r="K871" i="11"/>
  <c r="AF870" i="11"/>
  <c r="AE870" i="11"/>
  <c r="AD870" i="11"/>
  <c r="S870" i="11"/>
  <c r="Q870" i="11"/>
  <c r="N870" i="11"/>
  <c r="K870" i="11"/>
  <c r="AF869" i="11"/>
  <c r="AD869" i="11"/>
  <c r="AE869" i="11" s="1"/>
  <c r="S869" i="11"/>
  <c r="Q869" i="11"/>
  <c r="N869" i="11"/>
  <c r="K869" i="11"/>
  <c r="AF868" i="11"/>
  <c r="AD868" i="11"/>
  <c r="AE868" i="11" s="1"/>
  <c r="S868" i="11"/>
  <c r="Q868" i="11"/>
  <c r="N868" i="11"/>
  <c r="K868" i="11"/>
  <c r="AF867" i="11"/>
  <c r="AE867" i="11"/>
  <c r="AD867" i="11"/>
  <c r="S867" i="11"/>
  <c r="Q867" i="11"/>
  <c r="N867" i="11"/>
  <c r="K867" i="11"/>
  <c r="AD866" i="11"/>
  <c r="S866" i="11"/>
  <c r="Q866" i="11"/>
  <c r="N866" i="11"/>
  <c r="K866" i="11"/>
  <c r="AD865" i="11"/>
  <c r="AF865" i="11" s="1"/>
  <c r="S865" i="11"/>
  <c r="Q865" i="11"/>
  <c r="N865" i="11"/>
  <c r="K865" i="11"/>
  <c r="AD864" i="11"/>
  <c r="S864" i="11"/>
  <c r="Q864" i="11"/>
  <c r="N864" i="11"/>
  <c r="K864" i="11"/>
  <c r="AF863" i="11"/>
  <c r="AE863" i="11"/>
  <c r="AD863" i="11"/>
  <c r="S863" i="11"/>
  <c r="Q863" i="11"/>
  <c r="N863" i="11"/>
  <c r="K863" i="11"/>
  <c r="AD862" i="11"/>
  <c r="S862" i="11"/>
  <c r="Q862" i="11"/>
  <c r="N862" i="11"/>
  <c r="K862" i="11"/>
  <c r="AF861" i="11"/>
  <c r="AD861" i="11"/>
  <c r="AE861" i="11" s="1"/>
  <c r="S861" i="11"/>
  <c r="Q861" i="11"/>
  <c r="N861" i="11"/>
  <c r="K861" i="11"/>
  <c r="AF860" i="11"/>
  <c r="AD860" i="11"/>
  <c r="AE860" i="11" s="1"/>
  <c r="S860" i="11"/>
  <c r="Q860" i="11"/>
  <c r="N860" i="11"/>
  <c r="K860" i="11"/>
  <c r="AD859" i="11"/>
  <c r="AF859" i="11" s="1"/>
  <c r="S859" i="11"/>
  <c r="Q859" i="11"/>
  <c r="N859" i="11"/>
  <c r="K859" i="11"/>
  <c r="AE858" i="11"/>
  <c r="AD858" i="11"/>
  <c r="AF858" i="11" s="1"/>
  <c r="S858" i="11"/>
  <c r="Q858" i="11"/>
  <c r="N858" i="11"/>
  <c r="K858" i="11"/>
  <c r="AD857" i="11"/>
  <c r="AF857" i="11" s="1"/>
  <c r="S857" i="11"/>
  <c r="Q857" i="11"/>
  <c r="N857" i="11"/>
  <c r="K857" i="11"/>
  <c r="AD856" i="11"/>
  <c r="AF856" i="11" s="1"/>
  <c r="S856" i="11"/>
  <c r="Q856" i="11"/>
  <c r="N856" i="11"/>
  <c r="K856" i="11"/>
  <c r="AF855" i="11"/>
  <c r="AE855" i="11"/>
  <c r="AD855" i="11"/>
  <c r="S855" i="11"/>
  <c r="Q855" i="11"/>
  <c r="N855" i="11"/>
  <c r="K855" i="11"/>
  <c r="AF854" i="11"/>
  <c r="AE854" i="11"/>
  <c r="AD854" i="11"/>
  <c r="N854" i="11"/>
  <c r="K854" i="11"/>
  <c r="AF853" i="11"/>
  <c r="AE853" i="11"/>
  <c r="AD853" i="11"/>
  <c r="S853" i="11"/>
  <c r="Q853" i="11"/>
  <c r="N853" i="11"/>
  <c r="K853" i="11"/>
  <c r="AD852" i="11"/>
  <c r="AF852" i="11" s="1"/>
  <c r="S852" i="11"/>
  <c r="Q852" i="11"/>
  <c r="N852" i="11"/>
  <c r="K852" i="11"/>
  <c r="AF851" i="11"/>
  <c r="AD851" i="11"/>
  <c r="AE851" i="11" s="1"/>
  <c r="S851" i="11"/>
  <c r="Q851" i="11"/>
  <c r="N851" i="11"/>
  <c r="K851" i="11"/>
  <c r="AF850" i="11"/>
  <c r="AE850" i="11"/>
  <c r="AD850" i="11"/>
  <c r="S850" i="11"/>
  <c r="Q850" i="11"/>
  <c r="N850" i="11"/>
  <c r="K850" i="11"/>
  <c r="AD849" i="11"/>
  <c r="S849" i="11"/>
  <c r="Q849" i="11"/>
  <c r="N849" i="11"/>
  <c r="K849" i="11"/>
  <c r="AD848" i="11"/>
  <c r="S848" i="11"/>
  <c r="Q848" i="11"/>
  <c r="N848" i="11"/>
  <c r="K848" i="11"/>
  <c r="AF847" i="11"/>
  <c r="AE847" i="11"/>
  <c r="AD847" i="11"/>
  <c r="S847" i="11"/>
  <c r="Q847" i="11"/>
  <c r="N847" i="11"/>
  <c r="K847" i="11"/>
  <c r="AD846" i="11"/>
  <c r="S846" i="11"/>
  <c r="Q846" i="11"/>
  <c r="N846" i="11"/>
  <c r="K846" i="11"/>
  <c r="AF845" i="11"/>
  <c r="AE845" i="11"/>
  <c r="AD845" i="11"/>
  <c r="S845" i="11"/>
  <c r="Q845" i="11"/>
  <c r="N845" i="11"/>
  <c r="K845" i="11"/>
  <c r="AF844" i="11"/>
  <c r="AE844" i="11"/>
  <c r="AD844" i="11"/>
  <c r="S844" i="11"/>
  <c r="Q844" i="11"/>
  <c r="N844" i="11"/>
  <c r="K844" i="11"/>
  <c r="AD843" i="11"/>
  <c r="S843" i="11"/>
  <c r="Q843" i="11"/>
  <c r="N843" i="11"/>
  <c r="K843" i="11"/>
  <c r="AF842" i="11"/>
  <c r="AE842" i="11"/>
  <c r="AD842" i="11"/>
  <c r="S842" i="11"/>
  <c r="Q842" i="11"/>
  <c r="N842" i="11"/>
  <c r="K842" i="11"/>
  <c r="AD841" i="11"/>
  <c r="AE841" i="11" s="1"/>
  <c r="S841" i="11"/>
  <c r="Q841" i="11"/>
  <c r="N841" i="11"/>
  <c r="K841" i="11"/>
  <c r="AD840" i="11"/>
  <c r="S840" i="11"/>
  <c r="Q840" i="11"/>
  <c r="N840" i="11"/>
  <c r="K840" i="11"/>
  <c r="AE839" i="11"/>
  <c r="AD839" i="11"/>
  <c r="AF839" i="11" s="1"/>
  <c r="S839" i="11"/>
  <c r="Q839" i="11"/>
  <c r="N839" i="11"/>
  <c r="K839" i="11"/>
  <c r="AF838" i="11"/>
  <c r="AE838" i="11"/>
  <c r="AD838" i="11"/>
  <c r="S838" i="11"/>
  <c r="Q838" i="11"/>
  <c r="N838" i="11"/>
  <c r="K838" i="11"/>
  <c r="AF837" i="11"/>
  <c r="AE837" i="11"/>
  <c r="AD837" i="11"/>
  <c r="S837" i="11"/>
  <c r="Q837" i="11"/>
  <c r="N837" i="11"/>
  <c r="K837" i="11"/>
  <c r="AD836" i="11"/>
  <c r="AF836" i="11" s="1"/>
  <c r="S836" i="11"/>
  <c r="Q836" i="11"/>
  <c r="N836" i="11"/>
  <c r="K836" i="11"/>
  <c r="AF835" i="11"/>
  <c r="AD835" i="11"/>
  <c r="AE835" i="11" s="1"/>
  <c r="S835" i="11"/>
  <c r="Q835" i="11"/>
  <c r="N835" i="11"/>
  <c r="K835" i="11"/>
  <c r="AF834" i="11"/>
  <c r="AE834" i="11"/>
  <c r="AD834" i="11"/>
  <c r="S834" i="11"/>
  <c r="Q834" i="11"/>
  <c r="N834" i="11"/>
  <c r="K834" i="11"/>
  <c r="AF833" i="11"/>
  <c r="AD833" i="11"/>
  <c r="AE833" i="11" s="1"/>
  <c r="N833" i="11"/>
  <c r="K833" i="11"/>
  <c r="AD832" i="11"/>
  <c r="AF832" i="11" s="1"/>
  <c r="S832" i="11"/>
  <c r="Q832" i="11"/>
  <c r="N832" i="11"/>
  <c r="K832" i="11"/>
  <c r="AF831" i="11"/>
  <c r="AE831" i="11"/>
  <c r="AD831" i="11"/>
  <c r="S831" i="11"/>
  <c r="Q831" i="11"/>
  <c r="N831" i="11"/>
  <c r="K831" i="11"/>
  <c r="AF830" i="11"/>
  <c r="AE830" i="11"/>
  <c r="AD830" i="11"/>
  <c r="S830" i="11"/>
  <c r="Q830" i="11"/>
  <c r="N830" i="11"/>
  <c r="K830" i="11"/>
  <c r="AD829" i="11"/>
  <c r="S829" i="11"/>
  <c r="Q829" i="11"/>
  <c r="N829" i="11"/>
  <c r="K829" i="11"/>
  <c r="AD828" i="11"/>
  <c r="AF828" i="11" s="1"/>
  <c r="S828" i="11"/>
  <c r="Q828" i="11"/>
  <c r="N828" i="11"/>
  <c r="K828" i="11"/>
  <c r="AF827" i="11"/>
  <c r="AD827" i="11"/>
  <c r="AE827" i="11" s="1"/>
  <c r="N827" i="11"/>
  <c r="K827" i="11"/>
  <c r="AE826" i="11"/>
  <c r="AD826" i="11"/>
  <c r="AF826" i="11" s="1"/>
  <c r="S826" i="11"/>
  <c r="Q826" i="11"/>
  <c r="N826" i="11"/>
  <c r="K826" i="11"/>
  <c r="AF825" i="11"/>
  <c r="AE825" i="11"/>
  <c r="AD825" i="11"/>
  <c r="S825" i="11"/>
  <c r="Q825" i="11"/>
  <c r="N825" i="11"/>
  <c r="K825" i="11"/>
  <c r="AD824" i="11"/>
  <c r="AF824" i="11" s="1"/>
  <c r="S824" i="11"/>
  <c r="Q824" i="11"/>
  <c r="N824" i="11"/>
  <c r="K824" i="11"/>
  <c r="AD823" i="11"/>
  <c r="S823" i="11"/>
  <c r="Q823" i="11"/>
  <c r="N823" i="11"/>
  <c r="K823" i="11"/>
  <c r="AF822" i="11"/>
  <c r="AD822" i="11"/>
  <c r="AE822" i="11" s="1"/>
  <c r="S822" i="11"/>
  <c r="Q822" i="11"/>
  <c r="N822" i="11"/>
  <c r="K822" i="11"/>
  <c r="AF821" i="11"/>
  <c r="AD821" i="11"/>
  <c r="AE821" i="11" s="1"/>
  <c r="N821" i="11"/>
  <c r="K821" i="11"/>
  <c r="AD820" i="11"/>
  <c r="AE820" i="11" s="1"/>
  <c r="S820" i="11"/>
  <c r="Q820" i="11"/>
  <c r="N820" i="11"/>
  <c r="K820" i="11"/>
  <c r="AF819" i="11"/>
  <c r="AE819" i="11"/>
  <c r="AD819" i="11"/>
  <c r="S819" i="11"/>
  <c r="Q819" i="11"/>
  <c r="N819" i="11"/>
  <c r="K819" i="11"/>
  <c r="AF818" i="11"/>
  <c r="AE818" i="11"/>
  <c r="AD818" i="11"/>
  <c r="S818" i="11"/>
  <c r="Q818" i="11"/>
  <c r="N818" i="11"/>
  <c r="K818" i="11"/>
  <c r="AD817" i="11"/>
  <c r="AF817" i="11" s="1"/>
  <c r="S817" i="11"/>
  <c r="Q817" i="11"/>
  <c r="N817" i="11"/>
  <c r="K817" i="11"/>
  <c r="AD816" i="11"/>
  <c r="S816" i="11"/>
  <c r="Q816" i="11"/>
  <c r="N816" i="11"/>
  <c r="K816" i="11"/>
  <c r="AD815" i="11"/>
  <c r="N815" i="11"/>
  <c r="K815" i="11"/>
  <c r="AD814" i="11"/>
  <c r="S814" i="11"/>
  <c r="Q814" i="11"/>
  <c r="N814" i="11"/>
  <c r="K814" i="11"/>
  <c r="AF813" i="11"/>
  <c r="AD813" i="11"/>
  <c r="AE813" i="11" s="1"/>
  <c r="S813" i="11"/>
  <c r="Q813" i="11"/>
  <c r="N813" i="11"/>
  <c r="K813" i="11"/>
  <c r="AF812" i="11"/>
  <c r="AE812" i="11"/>
  <c r="AD812" i="11"/>
  <c r="S812" i="11"/>
  <c r="Q812" i="11"/>
  <c r="N812" i="11"/>
  <c r="K812" i="11"/>
  <c r="AF811" i="11"/>
  <c r="AE811" i="11"/>
  <c r="AD811" i="11"/>
  <c r="S811" i="11"/>
  <c r="Q811" i="11"/>
  <c r="N811" i="11"/>
  <c r="K811" i="11"/>
  <c r="AF810" i="11"/>
  <c r="AE810" i="11"/>
  <c r="AD810" i="11"/>
  <c r="S810" i="11"/>
  <c r="Q810" i="11"/>
  <c r="N810" i="11"/>
  <c r="K810" i="11"/>
  <c r="AD809" i="11"/>
  <c r="S809" i="11"/>
  <c r="R809" i="11"/>
  <c r="Q809" i="11"/>
  <c r="N809" i="11"/>
  <c r="K809" i="11"/>
  <c r="AF808" i="11"/>
  <c r="AE808" i="11"/>
  <c r="AD808" i="11"/>
  <c r="T808" i="11"/>
  <c r="S808" i="11"/>
  <c r="R808" i="11"/>
  <c r="Q808" i="11"/>
  <c r="N808" i="11"/>
  <c r="K808" i="11"/>
  <c r="AF807" i="11"/>
  <c r="AE807" i="11"/>
  <c r="AD807" i="11"/>
  <c r="S807" i="11"/>
  <c r="T807" i="11" s="1"/>
  <c r="Q807" i="11"/>
  <c r="N807" i="11"/>
  <c r="K807" i="11"/>
  <c r="AF806" i="11"/>
  <c r="AE806" i="11"/>
  <c r="AD806" i="11"/>
  <c r="S806" i="11"/>
  <c r="T806" i="11" s="1"/>
  <c r="Q806" i="11"/>
  <c r="N806" i="11"/>
  <c r="K806" i="11"/>
  <c r="AF805" i="11"/>
  <c r="AE805" i="11"/>
  <c r="AD805" i="11"/>
  <c r="N805" i="11"/>
  <c r="K805" i="11"/>
  <c r="AF804" i="11"/>
  <c r="AD804" i="11"/>
  <c r="AE804" i="11" s="1"/>
  <c r="S804" i="11"/>
  <c r="Q804" i="11"/>
  <c r="N804" i="11"/>
  <c r="K804" i="11"/>
  <c r="AF803" i="11"/>
  <c r="AD803" i="11"/>
  <c r="AE803" i="11" s="1"/>
  <c r="S803" i="11"/>
  <c r="Q803" i="11"/>
  <c r="N803" i="11"/>
  <c r="K803" i="11"/>
  <c r="AE802" i="11"/>
  <c r="AD802" i="11"/>
  <c r="AF802" i="11" s="1"/>
  <c r="S802" i="11"/>
  <c r="Q802" i="11"/>
  <c r="N802" i="11"/>
  <c r="K802" i="11"/>
  <c r="AF801" i="11"/>
  <c r="AD801" i="11"/>
  <c r="AE801" i="11" s="1"/>
  <c r="S801" i="11"/>
  <c r="Q801" i="11"/>
  <c r="N801" i="11"/>
  <c r="K801" i="11"/>
  <c r="AD800" i="11"/>
  <c r="AF800" i="11" s="1"/>
  <c r="S800" i="11"/>
  <c r="Q800" i="11"/>
  <c r="N800" i="11"/>
  <c r="K800" i="11"/>
  <c r="AF799" i="11"/>
  <c r="AE799" i="11"/>
  <c r="AD799" i="11"/>
  <c r="S799" i="11"/>
  <c r="Q799" i="11"/>
  <c r="N799" i="11"/>
  <c r="K799" i="11"/>
  <c r="AE798" i="11"/>
  <c r="AD798" i="11"/>
  <c r="AF798" i="11" s="1"/>
  <c r="S798" i="11"/>
  <c r="Q798" i="11"/>
  <c r="N798" i="11"/>
  <c r="K798" i="11"/>
  <c r="AD797" i="11"/>
  <c r="S797" i="11"/>
  <c r="Q797" i="11"/>
  <c r="N797" i="11"/>
  <c r="K797" i="11"/>
  <c r="AF796" i="11"/>
  <c r="AD796" i="11"/>
  <c r="AE796" i="11" s="1"/>
  <c r="S796" i="11"/>
  <c r="Q796" i="11"/>
  <c r="N796" i="11"/>
  <c r="K796" i="11"/>
  <c r="AF795" i="11"/>
  <c r="AE795" i="11"/>
  <c r="AD795" i="11"/>
  <c r="N795" i="11"/>
  <c r="K795" i="11"/>
  <c r="AF794" i="11"/>
  <c r="AE794" i="11"/>
  <c r="AD794" i="11"/>
  <c r="S794" i="11"/>
  <c r="Q794" i="11"/>
  <c r="N794" i="11"/>
  <c r="K794" i="11"/>
  <c r="AF793" i="11"/>
  <c r="AE793" i="11"/>
  <c r="AD793" i="11"/>
  <c r="S793" i="11"/>
  <c r="Q793" i="11"/>
  <c r="N793" i="11"/>
  <c r="K793" i="11"/>
  <c r="AD792" i="11"/>
  <c r="S792" i="11"/>
  <c r="Q792" i="11"/>
  <c r="N792" i="11"/>
  <c r="K792" i="11"/>
  <c r="AD791" i="11"/>
  <c r="AF791" i="11" s="1"/>
  <c r="S791" i="11"/>
  <c r="Q791" i="11"/>
  <c r="N791" i="11"/>
  <c r="K791" i="11"/>
  <c r="AE790" i="11"/>
  <c r="AD790" i="11"/>
  <c r="AF790" i="11" s="1"/>
  <c r="S790" i="11"/>
  <c r="Q790" i="11"/>
  <c r="N790" i="11"/>
  <c r="K790" i="11"/>
  <c r="AF789" i="11"/>
  <c r="AE789" i="11"/>
  <c r="AD789" i="11"/>
  <c r="S789" i="11"/>
  <c r="Q789" i="11"/>
  <c r="N789" i="11"/>
  <c r="K789" i="11"/>
  <c r="AD788" i="11"/>
  <c r="S788" i="11"/>
  <c r="Q788" i="11"/>
  <c r="N788" i="11"/>
  <c r="K788" i="11"/>
  <c r="AD787" i="11"/>
  <c r="AF787" i="11" s="1"/>
  <c r="S787" i="11"/>
  <c r="Q787" i="11"/>
  <c r="N787" i="11"/>
  <c r="K787" i="11"/>
  <c r="AF786" i="11"/>
  <c r="AE786" i="11"/>
  <c r="AD786" i="11"/>
  <c r="S786" i="11"/>
  <c r="Q786" i="11"/>
  <c r="N786" i="11"/>
  <c r="K786" i="11"/>
  <c r="AF785" i="11"/>
  <c r="AE785" i="11"/>
  <c r="AD785" i="11"/>
  <c r="N785" i="11"/>
  <c r="AD784" i="11"/>
  <c r="S784" i="11"/>
  <c r="Q784" i="11"/>
  <c r="N784" i="11"/>
  <c r="K784" i="11"/>
  <c r="AD783" i="11"/>
  <c r="AF783" i="11" s="1"/>
  <c r="S783" i="11"/>
  <c r="Q783" i="11"/>
  <c r="N783" i="11"/>
  <c r="K783" i="11"/>
  <c r="AF782" i="11"/>
  <c r="AE782" i="11"/>
  <c r="AD782" i="11"/>
  <c r="S782" i="11"/>
  <c r="Q782" i="11"/>
  <c r="N782" i="11"/>
  <c r="K782" i="11"/>
  <c r="AF781" i="11"/>
  <c r="AE781" i="11"/>
  <c r="AD781" i="11"/>
  <c r="S781" i="11"/>
  <c r="Q781" i="11"/>
  <c r="N781" i="11"/>
  <c r="K781" i="11"/>
  <c r="AD780" i="11"/>
  <c r="AF780" i="11" s="1"/>
  <c r="S780" i="11"/>
  <c r="Q780" i="11"/>
  <c r="N780" i="11"/>
  <c r="K780" i="11"/>
  <c r="AF779" i="11"/>
  <c r="AE779" i="11"/>
  <c r="AD779" i="11"/>
  <c r="S779" i="11"/>
  <c r="Q779" i="11"/>
  <c r="N779" i="11"/>
  <c r="K779" i="11"/>
  <c r="AF778" i="11"/>
  <c r="AE778" i="11"/>
  <c r="AD778" i="11"/>
  <c r="S778" i="11"/>
  <c r="Q778" i="11"/>
  <c r="N778" i="11"/>
  <c r="K778" i="11"/>
  <c r="AD777" i="11"/>
  <c r="S777" i="11"/>
  <c r="Q777" i="11"/>
  <c r="N777" i="11"/>
  <c r="K777" i="11"/>
  <c r="AD776" i="11"/>
  <c r="AF776" i="11" s="1"/>
  <c r="S776" i="11"/>
  <c r="Q776" i="11"/>
  <c r="N776" i="11"/>
  <c r="K776" i="11"/>
  <c r="AD775" i="11"/>
  <c r="AE775" i="11" s="1"/>
  <c r="N775" i="11"/>
  <c r="K775" i="11"/>
  <c r="AF774" i="11"/>
  <c r="AE774" i="11"/>
  <c r="AD774" i="11"/>
  <c r="S774" i="11"/>
  <c r="Q774" i="11"/>
  <c r="N774" i="11"/>
  <c r="K774" i="11"/>
  <c r="AD773" i="11"/>
  <c r="S773" i="11"/>
  <c r="Q773" i="11"/>
  <c r="N773" i="11"/>
  <c r="K773" i="11"/>
  <c r="AD772" i="11"/>
  <c r="AE772" i="11" s="1"/>
  <c r="S772" i="11"/>
  <c r="Q772" i="11"/>
  <c r="N772" i="11"/>
  <c r="K772" i="11"/>
  <c r="AD771" i="11"/>
  <c r="AF771" i="11" s="1"/>
  <c r="S771" i="11"/>
  <c r="Q771" i="11"/>
  <c r="N771" i="11"/>
  <c r="K771" i="11"/>
  <c r="AD770" i="11"/>
  <c r="S770" i="11"/>
  <c r="Q770" i="11"/>
  <c r="N770" i="11"/>
  <c r="K770" i="11"/>
  <c r="AF769" i="11"/>
  <c r="AD769" i="11"/>
  <c r="AE769" i="11" s="1"/>
  <c r="S769" i="11"/>
  <c r="Q769" i="11"/>
  <c r="N769" i="11"/>
  <c r="K769" i="11"/>
  <c r="AD768" i="11"/>
  <c r="AF768" i="11" s="1"/>
  <c r="S768" i="11"/>
  <c r="Q768" i="11"/>
  <c r="N768" i="11"/>
  <c r="K768" i="11"/>
  <c r="AF767" i="11"/>
  <c r="AE767" i="11"/>
  <c r="AD767" i="11"/>
  <c r="S767" i="11"/>
  <c r="Q767" i="11"/>
  <c r="N767" i="11"/>
  <c r="K767" i="11"/>
  <c r="AE766" i="11"/>
  <c r="AD766" i="11"/>
  <c r="AF766" i="11" s="1"/>
  <c r="S766" i="11"/>
  <c r="Q766" i="11"/>
  <c r="N766" i="11"/>
  <c r="K766" i="11"/>
  <c r="AF765" i="11"/>
  <c r="AE765" i="11"/>
  <c r="AD765" i="11"/>
  <c r="N765" i="11"/>
  <c r="K765" i="11"/>
  <c r="AF764" i="11"/>
  <c r="AE764" i="11"/>
  <c r="AD764" i="11"/>
  <c r="S764" i="11"/>
  <c r="Q764" i="11"/>
  <c r="N764" i="11"/>
  <c r="K764" i="11"/>
  <c r="AD763" i="11"/>
  <c r="AF763" i="11" s="1"/>
  <c r="S763" i="11"/>
  <c r="Q763" i="11"/>
  <c r="N763" i="11"/>
  <c r="K763" i="11"/>
  <c r="AF762" i="11"/>
  <c r="AE762" i="11"/>
  <c r="AD762" i="11"/>
  <c r="S762" i="11"/>
  <c r="Q762" i="11"/>
  <c r="N762" i="11"/>
  <c r="K762" i="11"/>
  <c r="AD761" i="11"/>
  <c r="AE761" i="11" s="1"/>
  <c r="S761" i="11"/>
  <c r="Q761" i="11"/>
  <c r="N761" i="11"/>
  <c r="K761" i="11"/>
  <c r="AF760" i="11"/>
  <c r="AD760" i="11"/>
  <c r="AE760" i="11" s="1"/>
  <c r="S760" i="11"/>
  <c r="Q760" i="11"/>
  <c r="N760" i="11"/>
  <c r="K760" i="11"/>
  <c r="AD759" i="11"/>
  <c r="AF759" i="11" s="1"/>
  <c r="S759" i="11"/>
  <c r="Q759" i="11"/>
  <c r="N759" i="11"/>
  <c r="K759" i="11"/>
  <c r="AD758" i="11"/>
  <c r="AF758" i="11" s="1"/>
  <c r="S758" i="11"/>
  <c r="Q758" i="11"/>
  <c r="N758" i="11"/>
  <c r="K758" i="11"/>
  <c r="AD757" i="11"/>
  <c r="S757" i="11"/>
  <c r="Q757" i="11"/>
  <c r="N757" i="11"/>
  <c r="K757" i="11"/>
  <c r="AD756" i="11"/>
  <c r="AE756" i="11" s="1"/>
  <c r="S756" i="11"/>
  <c r="Q756" i="11"/>
  <c r="N756" i="11"/>
  <c r="K756" i="11"/>
  <c r="AF755" i="11"/>
  <c r="AE755" i="11"/>
  <c r="AD755" i="11"/>
  <c r="N755" i="11"/>
  <c r="K755" i="11"/>
  <c r="AD754" i="11"/>
  <c r="S754" i="11"/>
  <c r="Q754" i="11"/>
  <c r="N754" i="11"/>
  <c r="K754" i="11"/>
  <c r="AE753" i="11"/>
  <c r="AD753" i="11"/>
  <c r="AF753" i="11" s="1"/>
  <c r="S753" i="11"/>
  <c r="Q753" i="11"/>
  <c r="N753" i="11"/>
  <c r="K753" i="11"/>
  <c r="AE752" i="11"/>
  <c r="AD752" i="11"/>
  <c r="AF752" i="11" s="1"/>
  <c r="S752" i="11"/>
  <c r="Q752" i="11"/>
  <c r="N752" i="11"/>
  <c r="K752" i="11"/>
  <c r="AF751" i="11"/>
  <c r="AE751" i="11"/>
  <c r="AD751" i="11"/>
  <c r="S751" i="11"/>
  <c r="Q751" i="11"/>
  <c r="N751" i="11"/>
  <c r="K751" i="11"/>
  <c r="AF750" i="11"/>
  <c r="AE750" i="11"/>
  <c r="AD750" i="11"/>
  <c r="S750" i="11"/>
  <c r="Q750" i="11"/>
  <c r="N750" i="11"/>
  <c r="K750" i="11"/>
  <c r="AF749" i="11"/>
  <c r="AE749" i="11"/>
  <c r="AD749" i="11"/>
  <c r="S749" i="11"/>
  <c r="Q749" i="11"/>
  <c r="N749" i="11"/>
  <c r="K749" i="11"/>
  <c r="AF748" i="11"/>
  <c r="AE748" i="11"/>
  <c r="AD748" i="11"/>
  <c r="S748" i="11"/>
  <c r="Q748" i="11"/>
  <c r="N748" i="11"/>
  <c r="K748" i="11"/>
  <c r="AD747" i="11"/>
  <c r="S747" i="11"/>
  <c r="Q747" i="11"/>
  <c r="N747" i="11"/>
  <c r="K747" i="11"/>
  <c r="AD746" i="11"/>
  <c r="AF746" i="11" s="1"/>
  <c r="S746" i="11"/>
  <c r="Q746" i="11"/>
  <c r="N746" i="11"/>
  <c r="K746" i="11"/>
  <c r="AD745" i="11"/>
  <c r="N745" i="11"/>
  <c r="K745" i="11"/>
  <c r="AF744" i="11"/>
  <c r="AE744" i="11"/>
  <c r="AD744" i="11"/>
  <c r="S744" i="11"/>
  <c r="Q744" i="11"/>
  <c r="N744" i="11"/>
  <c r="K744" i="11"/>
  <c r="AF743" i="11"/>
  <c r="AD743" i="11"/>
  <c r="AE743" i="11" s="1"/>
  <c r="S743" i="11"/>
  <c r="Q743" i="11"/>
  <c r="N743" i="11"/>
  <c r="K743" i="11"/>
  <c r="AF742" i="11"/>
  <c r="AE742" i="11"/>
  <c r="AD742" i="11"/>
  <c r="S742" i="11"/>
  <c r="Q742" i="11"/>
  <c r="N742" i="11"/>
  <c r="K742" i="11"/>
  <c r="AF741" i="11"/>
  <c r="AE741" i="11"/>
  <c r="AD741" i="11"/>
  <c r="S741" i="11"/>
  <c r="Q741" i="11"/>
  <c r="N741" i="11"/>
  <c r="K741" i="11"/>
  <c r="AD740" i="11"/>
  <c r="AF740" i="11" s="1"/>
  <c r="S740" i="11"/>
  <c r="Q740" i="11"/>
  <c r="N740" i="11"/>
  <c r="K740" i="11"/>
  <c r="S739" i="11"/>
  <c r="P739" i="11"/>
  <c r="M739" i="11"/>
  <c r="N739" i="11" s="1"/>
  <c r="L739" i="11"/>
  <c r="K739" i="11"/>
  <c r="I739" i="11"/>
  <c r="G739" i="11"/>
  <c r="AD738" i="11"/>
  <c r="AF738" i="11" s="1"/>
  <c r="S738" i="11"/>
  <c r="Q738" i="11"/>
  <c r="N738" i="11"/>
  <c r="K738" i="11"/>
  <c r="AD737" i="11"/>
  <c r="AE737" i="11" s="1"/>
  <c r="S737" i="11"/>
  <c r="Q737" i="11"/>
  <c r="N737" i="11"/>
  <c r="K737" i="11"/>
  <c r="AD736" i="11"/>
  <c r="S736" i="11"/>
  <c r="Q736" i="11"/>
  <c r="P736" i="11"/>
  <c r="N736" i="11"/>
  <c r="K736" i="11"/>
  <c r="AF735" i="11"/>
  <c r="AD735" i="11"/>
  <c r="AE735" i="11" s="1"/>
  <c r="N735" i="11"/>
  <c r="K735" i="11"/>
  <c r="AD734" i="11"/>
  <c r="AE734" i="11" s="1"/>
  <c r="S734" i="11"/>
  <c r="Q734" i="11"/>
  <c r="N734" i="11"/>
  <c r="K734" i="11"/>
  <c r="AF733" i="11"/>
  <c r="AE733" i="11"/>
  <c r="AD733" i="11"/>
  <c r="S733" i="11"/>
  <c r="Q733" i="11"/>
  <c r="N733" i="11"/>
  <c r="K733" i="11"/>
  <c r="AD732" i="11"/>
  <c r="S732" i="11"/>
  <c r="Q732" i="11"/>
  <c r="N732" i="11"/>
  <c r="K732" i="11"/>
  <c r="AD731" i="11"/>
  <c r="S731" i="11"/>
  <c r="Q731" i="11"/>
  <c r="N731" i="11"/>
  <c r="K731" i="11"/>
  <c r="AD730" i="11"/>
  <c r="AF730" i="11" s="1"/>
  <c r="S730" i="11"/>
  <c r="Q730" i="11"/>
  <c r="N730" i="11"/>
  <c r="K730" i="11"/>
  <c r="AD729" i="11"/>
  <c r="S729" i="11"/>
  <c r="Q729" i="11"/>
  <c r="N729" i="11"/>
  <c r="K729" i="11"/>
  <c r="AD728" i="11"/>
  <c r="AF728" i="11" s="1"/>
  <c r="S728" i="11"/>
  <c r="Q728" i="11"/>
  <c r="N728" i="11"/>
  <c r="K728" i="11"/>
  <c r="AD727" i="11"/>
  <c r="S727" i="11"/>
  <c r="Q727" i="11"/>
  <c r="N727" i="11"/>
  <c r="K727" i="11"/>
  <c r="AD726" i="11"/>
  <c r="AE726" i="11" s="1"/>
  <c r="S726" i="11"/>
  <c r="Q726" i="11"/>
  <c r="N726" i="11"/>
  <c r="K726" i="11"/>
  <c r="AF725" i="11"/>
  <c r="AE725" i="11"/>
  <c r="AD725" i="11"/>
  <c r="N725" i="11"/>
  <c r="K725" i="11"/>
  <c r="AF724" i="11"/>
  <c r="AE724" i="11"/>
  <c r="AD724" i="11"/>
  <c r="S724" i="11"/>
  <c r="Q724" i="11"/>
  <c r="N724" i="11"/>
  <c r="K724" i="11"/>
  <c r="AF723" i="11"/>
  <c r="AE723" i="11"/>
  <c r="AD723" i="11"/>
  <c r="S723" i="11"/>
  <c r="Q723" i="11"/>
  <c r="N723" i="11"/>
  <c r="K723" i="11"/>
  <c r="AD722" i="11"/>
  <c r="S722" i="11"/>
  <c r="Q722" i="11"/>
  <c r="N722" i="11"/>
  <c r="K722" i="11"/>
  <c r="AD721" i="11"/>
  <c r="AF721" i="11" s="1"/>
  <c r="S721" i="11"/>
  <c r="Q721" i="11"/>
  <c r="N721" i="11"/>
  <c r="K721" i="11"/>
  <c r="AF720" i="11"/>
  <c r="AD720" i="11"/>
  <c r="AE720" i="11" s="1"/>
  <c r="S720" i="11"/>
  <c r="Q720" i="11"/>
  <c r="N720" i="11"/>
  <c r="K720" i="11"/>
  <c r="AE719" i="11"/>
  <c r="AD719" i="11"/>
  <c r="AF719" i="11" s="1"/>
  <c r="S719" i="11"/>
  <c r="Q719" i="11"/>
  <c r="N719" i="11"/>
  <c r="K719" i="11"/>
  <c r="AF718" i="11"/>
  <c r="AD718" i="11"/>
  <c r="AE718" i="11" s="1"/>
  <c r="S718" i="11"/>
  <c r="Q718" i="11"/>
  <c r="N718" i="11"/>
  <c r="K718" i="11"/>
  <c r="AD717" i="11"/>
  <c r="AE717" i="11" s="1"/>
  <c r="S717" i="11"/>
  <c r="Q717" i="11"/>
  <c r="N717" i="11"/>
  <c r="K717" i="11"/>
  <c r="AE716" i="11"/>
  <c r="AD716" i="11"/>
  <c r="AF716" i="11" s="1"/>
  <c r="S716" i="11"/>
  <c r="Q716" i="11"/>
  <c r="N716" i="11"/>
  <c r="K716" i="11"/>
  <c r="AF715" i="11"/>
  <c r="AE715" i="11"/>
  <c r="AD715" i="11"/>
  <c r="N715" i="11"/>
  <c r="K715" i="11"/>
  <c r="AD714" i="11"/>
  <c r="S714" i="11"/>
  <c r="Q714" i="11"/>
  <c r="N714" i="11"/>
  <c r="K714" i="11"/>
  <c r="AE713" i="11"/>
  <c r="AD713" i="11"/>
  <c r="AF713" i="11" s="1"/>
  <c r="S713" i="11"/>
  <c r="Q713" i="11"/>
  <c r="N713" i="11"/>
  <c r="K713" i="11"/>
  <c r="AF712" i="11"/>
  <c r="AD712" i="11"/>
  <c r="AE712" i="11" s="1"/>
  <c r="S712" i="11"/>
  <c r="Q712" i="11"/>
  <c r="N712" i="11"/>
  <c r="K712" i="11"/>
  <c r="AD711" i="11"/>
  <c r="AF711" i="11" s="1"/>
  <c r="S711" i="11"/>
  <c r="Q711" i="11"/>
  <c r="N711" i="11"/>
  <c r="K711" i="11"/>
  <c r="AF710" i="11"/>
  <c r="AE710" i="11"/>
  <c r="AD710" i="11"/>
  <c r="S710" i="11"/>
  <c r="Q710" i="11"/>
  <c r="N710" i="11"/>
  <c r="K710" i="11"/>
  <c r="AD709" i="11"/>
  <c r="AE709" i="11" s="1"/>
  <c r="S709" i="11"/>
  <c r="Q709" i="11"/>
  <c r="N709" i="11"/>
  <c r="K709" i="11"/>
  <c r="AF708" i="11"/>
  <c r="AE708" i="11"/>
  <c r="AD708" i="11"/>
  <c r="S708" i="11"/>
  <c r="Q708" i="11"/>
  <c r="N708" i="11"/>
  <c r="K708" i="11"/>
  <c r="AD707" i="11"/>
  <c r="S707" i="11"/>
  <c r="Q707" i="11"/>
  <c r="N707" i="11"/>
  <c r="K707" i="11"/>
  <c r="AD706" i="11"/>
  <c r="S706" i="11"/>
  <c r="Q706" i="11"/>
  <c r="N706" i="11"/>
  <c r="K706" i="11"/>
  <c r="E705" i="11"/>
  <c r="AF704" i="11"/>
  <c r="AE704" i="11"/>
  <c r="AD704" i="11"/>
  <c r="S704" i="11"/>
  <c r="Q704" i="11"/>
  <c r="N704" i="11"/>
  <c r="K704" i="11"/>
  <c r="AF703" i="11"/>
  <c r="AD703" i="11"/>
  <c r="AE703" i="11" s="1"/>
  <c r="S703" i="11"/>
  <c r="Q703" i="11"/>
  <c r="N703" i="11"/>
  <c r="K703" i="11"/>
  <c r="AD702" i="11"/>
  <c r="AF702" i="11" s="1"/>
  <c r="S702" i="11"/>
  <c r="Q702" i="11"/>
  <c r="N702" i="11"/>
  <c r="K702" i="11"/>
  <c r="AF701" i="11"/>
  <c r="AE701" i="11"/>
  <c r="AD701" i="11"/>
  <c r="S701" i="11"/>
  <c r="Q701" i="11"/>
  <c r="N701" i="11"/>
  <c r="K701" i="11"/>
  <c r="AE700" i="11"/>
  <c r="AD700" i="11"/>
  <c r="AF700" i="11" s="1"/>
  <c r="S700" i="11"/>
  <c r="R700" i="11"/>
  <c r="Q700" i="11"/>
  <c r="N700" i="11"/>
  <c r="K700" i="11"/>
  <c r="AF699" i="11"/>
  <c r="AD699" i="11"/>
  <c r="AE699" i="11" s="1"/>
  <c r="S699" i="11"/>
  <c r="Q699" i="11"/>
  <c r="N699" i="11"/>
  <c r="K699" i="11"/>
  <c r="AD698" i="11"/>
  <c r="AF698" i="11" s="1"/>
  <c r="T698" i="11"/>
  <c r="S698" i="11"/>
  <c r="R698" i="11"/>
  <c r="R699" i="11" s="1"/>
  <c r="T699" i="11" s="1"/>
  <c r="Q698" i="11"/>
  <c r="N698" i="11"/>
  <c r="K698" i="11"/>
  <c r="AE697" i="11"/>
  <c r="AD697" i="11"/>
  <c r="AF697" i="11" s="1"/>
  <c r="S697" i="11"/>
  <c r="R697" i="11"/>
  <c r="T697" i="11" s="1"/>
  <c r="Q697" i="11"/>
  <c r="N697" i="11"/>
  <c r="K697" i="11"/>
  <c r="AF696" i="11"/>
  <c r="AE696" i="11"/>
  <c r="AD696" i="11"/>
  <c r="S696" i="11"/>
  <c r="Q696" i="11"/>
  <c r="N696" i="11"/>
  <c r="K696" i="11"/>
  <c r="E695" i="11"/>
  <c r="AE694" i="11"/>
  <c r="AD694" i="11"/>
  <c r="AF694" i="11" s="1"/>
  <c r="S694" i="11"/>
  <c r="T694" i="11" s="1"/>
  <c r="R694" i="11"/>
  <c r="R696" i="11" s="1"/>
  <c r="T696" i="11" s="1"/>
  <c r="Q694" i="11"/>
  <c r="N694" i="11"/>
  <c r="K694" i="11"/>
  <c r="AD693" i="11"/>
  <c r="S693" i="11"/>
  <c r="T693" i="11" s="1"/>
  <c r="Q693" i="11"/>
  <c r="N693" i="11"/>
  <c r="K693" i="11"/>
  <c r="AD692" i="11"/>
  <c r="AF692" i="11" s="1"/>
  <c r="T692" i="11"/>
  <c r="S692" i="11"/>
  <c r="Q692" i="11"/>
  <c r="N692" i="11"/>
  <c r="K692" i="11"/>
  <c r="AD691" i="11"/>
  <c r="AE691" i="11" s="1"/>
  <c r="T691" i="11"/>
  <c r="S691" i="11"/>
  <c r="Q691" i="11"/>
  <c r="N691" i="11"/>
  <c r="K691" i="11"/>
  <c r="AF690" i="11"/>
  <c r="AE690" i="11"/>
  <c r="AD690" i="11"/>
  <c r="S690" i="11"/>
  <c r="T690" i="11" s="1"/>
  <c r="Q690" i="11"/>
  <c r="N690" i="11"/>
  <c r="K690" i="11"/>
  <c r="AF689" i="11"/>
  <c r="AD689" i="11"/>
  <c r="AE689" i="11" s="1"/>
  <c r="S689" i="11"/>
  <c r="R689" i="11"/>
  <c r="T689" i="11" s="1"/>
  <c r="Q689" i="11"/>
  <c r="N689" i="11"/>
  <c r="K689" i="11"/>
  <c r="AD688" i="11"/>
  <c r="AF688" i="11" s="1"/>
  <c r="S688" i="11"/>
  <c r="Q688" i="11"/>
  <c r="N688" i="11"/>
  <c r="K688" i="11"/>
  <c r="AD687" i="11"/>
  <c r="AF687" i="11" s="1"/>
  <c r="S687" i="11"/>
  <c r="T687" i="11" s="1"/>
  <c r="Q687" i="11"/>
  <c r="N687" i="11"/>
  <c r="K687" i="11"/>
  <c r="AF686" i="11"/>
  <c r="AD686" i="11"/>
  <c r="AE686" i="11" s="1"/>
  <c r="S686" i="11"/>
  <c r="R686" i="11"/>
  <c r="R687" i="11" s="1"/>
  <c r="R688" i="11" s="1"/>
  <c r="T688" i="11" s="1"/>
  <c r="Q686" i="11"/>
  <c r="N686" i="11"/>
  <c r="K686" i="11"/>
  <c r="E685" i="11"/>
  <c r="AD684" i="11"/>
  <c r="AF684" i="11" s="1"/>
  <c r="S684" i="11"/>
  <c r="T684" i="11" s="1"/>
  <c r="Q684" i="11"/>
  <c r="N684" i="11"/>
  <c r="K684" i="11"/>
  <c r="AF683" i="11"/>
  <c r="AE683" i="11"/>
  <c r="AD683" i="11"/>
  <c r="S683" i="11"/>
  <c r="T683" i="11" s="1"/>
  <c r="Q683" i="11"/>
  <c r="N683" i="11"/>
  <c r="K683" i="11"/>
  <c r="AD682" i="11"/>
  <c r="AF682" i="11" s="1"/>
  <c r="T682" i="11"/>
  <c r="S682" i="11"/>
  <c r="Q682" i="11"/>
  <c r="N682" i="11"/>
  <c r="K682" i="11"/>
  <c r="AF681" i="11"/>
  <c r="AE681" i="11"/>
  <c r="AD681" i="11"/>
  <c r="T681" i="11"/>
  <c r="S681" i="11"/>
  <c r="Q681" i="11"/>
  <c r="N681" i="11"/>
  <c r="K681" i="11"/>
  <c r="AE680" i="11"/>
  <c r="AD680" i="11"/>
  <c r="AF680" i="11" s="1"/>
  <c r="S680" i="11"/>
  <c r="Q680" i="11"/>
  <c r="N680" i="11"/>
  <c r="K680" i="11"/>
  <c r="AF679" i="11"/>
  <c r="AE679" i="11"/>
  <c r="AD679" i="11"/>
  <c r="S679" i="11"/>
  <c r="Q679" i="11"/>
  <c r="N679" i="11"/>
  <c r="K679" i="11"/>
  <c r="AE678" i="11"/>
  <c r="AD678" i="11"/>
  <c r="AF678" i="11" s="1"/>
  <c r="S678" i="11"/>
  <c r="Q678" i="11"/>
  <c r="N678" i="11"/>
  <c r="K678" i="11"/>
  <c r="AD677" i="11"/>
  <c r="AF677" i="11" s="1"/>
  <c r="S677" i="11"/>
  <c r="Q677" i="11"/>
  <c r="N677" i="11"/>
  <c r="K677" i="11"/>
  <c r="AD676" i="11"/>
  <c r="AF676" i="11" s="1"/>
  <c r="S676" i="11"/>
  <c r="Q676" i="11"/>
  <c r="N676" i="11"/>
  <c r="K676" i="11"/>
  <c r="E675" i="11"/>
  <c r="AD674" i="11"/>
  <c r="AF674" i="11" s="1"/>
  <c r="S674" i="11"/>
  <c r="Q674" i="11"/>
  <c r="N674" i="11"/>
  <c r="K674" i="11"/>
  <c r="AD673" i="11"/>
  <c r="AF673" i="11" s="1"/>
  <c r="S673" i="11"/>
  <c r="Q673" i="11"/>
  <c r="N673" i="11"/>
  <c r="K673" i="11"/>
  <c r="AD672" i="11"/>
  <c r="AF672" i="11" s="1"/>
  <c r="S672" i="11"/>
  <c r="Q672" i="11"/>
  <c r="N672" i="11"/>
  <c r="K672" i="11"/>
  <c r="AF671" i="11"/>
  <c r="AD671" i="11"/>
  <c r="AE671" i="11" s="1"/>
  <c r="S671" i="11"/>
  <c r="Q671" i="11"/>
  <c r="N671" i="11"/>
  <c r="K671" i="11"/>
  <c r="AF670" i="11"/>
  <c r="AE670" i="11"/>
  <c r="AD670" i="11"/>
  <c r="S670" i="11"/>
  <c r="Q670" i="11"/>
  <c r="N670" i="11"/>
  <c r="K670" i="11"/>
  <c r="AD669" i="11"/>
  <c r="AF669" i="11" s="1"/>
  <c r="S669" i="11"/>
  <c r="Q669" i="11"/>
  <c r="N669" i="11"/>
  <c r="K669" i="11"/>
  <c r="AD668" i="11"/>
  <c r="S668" i="11"/>
  <c r="Q668" i="11"/>
  <c r="N668" i="11"/>
  <c r="K668" i="11"/>
  <c r="AD667" i="11"/>
  <c r="AF667" i="11" s="1"/>
  <c r="S667" i="11"/>
  <c r="Q667" i="11"/>
  <c r="N667" i="11"/>
  <c r="K667" i="11"/>
  <c r="AE666" i="11"/>
  <c r="AD666" i="11"/>
  <c r="AF666" i="11" s="1"/>
  <c r="S666" i="11"/>
  <c r="Q666" i="11"/>
  <c r="N666" i="11"/>
  <c r="K666" i="11"/>
  <c r="E665" i="11"/>
  <c r="AD664" i="11"/>
  <c r="S664" i="11"/>
  <c r="Q664" i="11"/>
  <c r="N664" i="11"/>
  <c r="K664" i="11"/>
  <c r="AD663" i="11"/>
  <c r="S663" i="11"/>
  <c r="Q663" i="11"/>
  <c r="N663" i="11"/>
  <c r="K663" i="11"/>
  <c r="AD662" i="11"/>
  <c r="AF662" i="11" s="1"/>
  <c r="S662" i="11"/>
  <c r="Q662" i="11"/>
  <c r="N662" i="11"/>
  <c r="K662" i="11"/>
  <c r="AD661" i="11"/>
  <c r="S661" i="11"/>
  <c r="Q661" i="11"/>
  <c r="N661" i="11"/>
  <c r="K661" i="11"/>
  <c r="AF660" i="11"/>
  <c r="AE660" i="11"/>
  <c r="AD660" i="11"/>
  <c r="S660" i="11"/>
  <c r="Q660" i="11"/>
  <c r="N660" i="11"/>
  <c r="K660" i="11"/>
  <c r="AF659" i="11"/>
  <c r="AE659" i="11"/>
  <c r="AD659" i="11"/>
  <c r="S659" i="11"/>
  <c r="Q659" i="11"/>
  <c r="N659" i="11"/>
  <c r="K659" i="11"/>
  <c r="AD658" i="11"/>
  <c r="AE658" i="11" s="1"/>
  <c r="S658" i="11"/>
  <c r="Q658" i="11"/>
  <c r="N658" i="11"/>
  <c r="K658" i="11"/>
  <c r="AD657" i="11"/>
  <c r="S657" i="11"/>
  <c r="Q657" i="11"/>
  <c r="N657" i="11"/>
  <c r="K657" i="11"/>
  <c r="AD656" i="11"/>
  <c r="S656" i="11"/>
  <c r="Q656" i="11"/>
  <c r="N656" i="11"/>
  <c r="K656" i="11"/>
  <c r="E655" i="11"/>
  <c r="AE654" i="11"/>
  <c r="AD654" i="11"/>
  <c r="AF654" i="11" s="1"/>
  <c r="S654" i="11"/>
  <c r="Q654" i="11"/>
  <c r="N654" i="11"/>
  <c r="K654" i="11"/>
  <c r="AD653" i="11"/>
  <c r="AF653" i="11" s="1"/>
  <c r="S653" i="11"/>
  <c r="Q653" i="11"/>
  <c r="N653" i="11"/>
  <c r="K653" i="11"/>
  <c r="AE652" i="11"/>
  <c r="AD652" i="11"/>
  <c r="AF652" i="11" s="1"/>
  <c r="S652" i="11"/>
  <c r="Q652" i="11"/>
  <c r="N652" i="11"/>
  <c r="K652" i="11"/>
  <c r="AD651" i="11"/>
  <c r="AE651" i="11" s="1"/>
  <c r="S651" i="11"/>
  <c r="Q651" i="11"/>
  <c r="N651" i="11"/>
  <c r="K651" i="11"/>
  <c r="AF650" i="11"/>
  <c r="AE650" i="11"/>
  <c r="AD650" i="11"/>
  <c r="S650" i="11"/>
  <c r="Q650" i="11"/>
  <c r="N650" i="11"/>
  <c r="K650" i="11"/>
  <c r="AD649" i="11"/>
  <c r="S649" i="11"/>
  <c r="Q649" i="11"/>
  <c r="N649" i="11"/>
  <c r="K649" i="11"/>
  <c r="AD648" i="11"/>
  <c r="S648" i="11"/>
  <c r="Q648" i="11"/>
  <c r="N648" i="11"/>
  <c r="K648" i="11"/>
  <c r="AE647" i="11"/>
  <c r="AD647" i="11"/>
  <c r="AF647" i="11" s="1"/>
  <c r="S647" i="11"/>
  <c r="Q647" i="11"/>
  <c r="N647" i="11"/>
  <c r="K647" i="11"/>
  <c r="AD646" i="11"/>
  <c r="S646" i="11"/>
  <c r="Q646" i="11"/>
  <c r="N646" i="11"/>
  <c r="K646" i="11"/>
  <c r="E645" i="11"/>
  <c r="AD644" i="11"/>
  <c r="S644" i="11"/>
  <c r="Q644" i="11"/>
  <c r="N644" i="11"/>
  <c r="K644" i="11"/>
  <c r="AD643" i="11"/>
  <c r="AE643" i="11" s="1"/>
  <c r="S643" i="11"/>
  <c r="Q643" i="11"/>
  <c r="N643" i="11"/>
  <c r="K643" i="11"/>
  <c r="AD642" i="11"/>
  <c r="S642" i="11"/>
  <c r="Q642" i="11"/>
  <c r="N642" i="11"/>
  <c r="K642" i="11"/>
  <c r="AD641" i="11"/>
  <c r="AF641" i="11" s="1"/>
  <c r="S641" i="11"/>
  <c r="Q641" i="11"/>
  <c r="N641" i="11"/>
  <c r="K641" i="11"/>
  <c r="AF640" i="11"/>
  <c r="AE640" i="11"/>
  <c r="AD640" i="11"/>
  <c r="S640" i="11"/>
  <c r="Q640" i="11"/>
  <c r="N640" i="11"/>
  <c r="K640" i="11"/>
  <c r="AF639" i="11"/>
  <c r="AE639" i="11"/>
  <c r="AD639" i="11"/>
  <c r="S639" i="11"/>
  <c r="Q639" i="11"/>
  <c r="N639" i="11"/>
  <c r="K639" i="11"/>
  <c r="AF638" i="11"/>
  <c r="AE638" i="11"/>
  <c r="AD638" i="11"/>
  <c r="S638" i="11"/>
  <c r="Q638" i="11"/>
  <c r="N638" i="11"/>
  <c r="K638" i="11"/>
  <c r="AE637" i="11"/>
  <c r="AD637" i="11"/>
  <c r="AF637" i="11" s="1"/>
  <c r="S637" i="11"/>
  <c r="Q637" i="11"/>
  <c r="N637" i="11"/>
  <c r="K637" i="11"/>
  <c r="AD636" i="11"/>
  <c r="S636" i="11"/>
  <c r="Q636" i="11"/>
  <c r="N636" i="11"/>
  <c r="K636" i="11"/>
  <c r="E635" i="11"/>
  <c r="AD634" i="11"/>
  <c r="AF634" i="11" s="1"/>
  <c r="S634" i="11"/>
  <c r="Q634" i="11"/>
  <c r="N634" i="11"/>
  <c r="K634" i="11"/>
  <c r="AD633" i="11"/>
  <c r="AF633" i="11" s="1"/>
  <c r="S633" i="11"/>
  <c r="Q633" i="11"/>
  <c r="N633" i="11"/>
  <c r="K633" i="11"/>
  <c r="AD632" i="11"/>
  <c r="AF632" i="11" s="1"/>
  <c r="S632" i="11"/>
  <c r="Q632" i="11"/>
  <c r="N632" i="11"/>
  <c r="K632" i="11"/>
  <c r="AD631" i="11"/>
  <c r="AF631" i="11" s="1"/>
  <c r="S631" i="11"/>
  <c r="Q631" i="11"/>
  <c r="N631" i="11"/>
  <c r="K631" i="11"/>
  <c r="AD630" i="11"/>
  <c r="AE630" i="11" s="1"/>
  <c r="S630" i="11"/>
  <c r="Q630" i="11"/>
  <c r="N630" i="11"/>
  <c r="K630" i="11"/>
  <c r="AF629" i="11"/>
  <c r="AD629" i="11"/>
  <c r="AE629" i="11" s="1"/>
  <c r="S629" i="11"/>
  <c r="Q629" i="11"/>
  <c r="N629" i="11"/>
  <c r="K629" i="11"/>
  <c r="AF628" i="11"/>
  <c r="AE628" i="11"/>
  <c r="AD628" i="11"/>
  <c r="S628" i="11"/>
  <c r="Q628" i="11"/>
  <c r="N628" i="11"/>
  <c r="K628" i="11"/>
  <c r="AE627" i="11"/>
  <c r="AD627" i="11"/>
  <c r="AF627" i="11" s="1"/>
  <c r="S627" i="11"/>
  <c r="Q627" i="11"/>
  <c r="N627" i="11"/>
  <c r="K627" i="11"/>
  <c r="AD626" i="11"/>
  <c r="AF626" i="11" s="1"/>
  <c r="S626" i="11"/>
  <c r="Q626" i="11"/>
  <c r="N626" i="11"/>
  <c r="K626" i="11"/>
  <c r="E625" i="11"/>
  <c r="AF624" i="11"/>
  <c r="AD624" i="11"/>
  <c r="AE624" i="11" s="1"/>
  <c r="S624" i="11"/>
  <c r="Q624" i="11"/>
  <c r="N624" i="11"/>
  <c r="K624" i="11"/>
  <c r="AD623" i="11"/>
  <c r="S623" i="11"/>
  <c r="Q623" i="11"/>
  <c r="N623" i="11"/>
  <c r="K623" i="11"/>
  <c r="AD622" i="11"/>
  <c r="S622" i="11"/>
  <c r="Q622" i="11"/>
  <c r="N622" i="11"/>
  <c r="K622" i="11"/>
  <c r="AE621" i="11"/>
  <c r="AD621" i="11"/>
  <c r="AF621" i="11" s="1"/>
  <c r="S621" i="11"/>
  <c r="Q621" i="11"/>
  <c r="N621" i="11"/>
  <c r="K621" i="11"/>
  <c r="AD620" i="11"/>
  <c r="AF620" i="11" s="1"/>
  <c r="S620" i="11"/>
  <c r="Q620" i="11"/>
  <c r="N620" i="11"/>
  <c r="K620" i="11"/>
  <c r="AF619" i="11"/>
  <c r="AD619" i="11"/>
  <c r="AE619" i="11" s="1"/>
  <c r="S619" i="11"/>
  <c r="Q619" i="11"/>
  <c r="N619" i="11"/>
  <c r="K619" i="11"/>
  <c r="AF618" i="11"/>
  <c r="AE618" i="11"/>
  <c r="AD618" i="11"/>
  <c r="S618" i="11"/>
  <c r="Q618" i="11"/>
  <c r="N618" i="11"/>
  <c r="K618" i="11"/>
  <c r="AF617" i="11"/>
  <c r="AE617" i="11"/>
  <c r="AD617" i="11"/>
  <c r="S617" i="11"/>
  <c r="Q617" i="11"/>
  <c r="N617" i="11"/>
  <c r="K617" i="11"/>
  <c r="AE616" i="11"/>
  <c r="AD616" i="11"/>
  <c r="AF616" i="11" s="1"/>
  <c r="S616" i="11"/>
  <c r="Q616" i="11"/>
  <c r="N616" i="11"/>
  <c r="K616" i="11"/>
  <c r="E615" i="11"/>
  <c r="AD614" i="11"/>
  <c r="S614" i="11"/>
  <c r="Q614" i="11"/>
  <c r="N614" i="11"/>
  <c r="K614" i="11"/>
  <c r="AE613" i="11"/>
  <c r="AD613" i="11"/>
  <c r="AF613" i="11" s="1"/>
  <c r="S613" i="11"/>
  <c r="Q613" i="11"/>
  <c r="N613" i="11"/>
  <c r="K613" i="11"/>
  <c r="AD612" i="11"/>
  <c r="S612" i="11"/>
  <c r="Q612" i="11"/>
  <c r="N612" i="11"/>
  <c r="K612" i="11"/>
  <c r="AD611" i="11"/>
  <c r="AF611" i="11" s="1"/>
  <c r="S611" i="11"/>
  <c r="Q611" i="11"/>
  <c r="N611" i="11"/>
  <c r="K611" i="11"/>
  <c r="AD610" i="11"/>
  <c r="S610" i="11"/>
  <c r="Q610" i="11"/>
  <c r="N610" i="11"/>
  <c r="K610" i="11"/>
  <c r="AF609" i="11"/>
  <c r="AD609" i="11"/>
  <c r="AE609" i="11" s="1"/>
  <c r="S609" i="11"/>
  <c r="Q609" i="11"/>
  <c r="N609" i="11"/>
  <c r="K609" i="11"/>
  <c r="AF608" i="11"/>
  <c r="AD608" i="11"/>
  <c r="AE608" i="11" s="1"/>
  <c r="S608" i="11"/>
  <c r="Q608" i="11"/>
  <c r="N608" i="11"/>
  <c r="K608" i="11"/>
  <c r="AF607" i="11"/>
  <c r="AE607" i="11"/>
  <c r="AD607" i="11"/>
  <c r="S607" i="11"/>
  <c r="Q607" i="11"/>
  <c r="N607" i="11"/>
  <c r="K607" i="11"/>
  <c r="AD606" i="11"/>
  <c r="S606" i="11"/>
  <c r="Q606" i="11"/>
  <c r="N606" i="11"/>
  <c r="K606" i="11"/>
  <c r="AF605" i="11"/>
  <c r="AE605" i="11"/>
  <c r="AD605" i="11"/>
  <c r="S605" i="11"/>
  <c r="Q605" i="11"/>
  <c r="N605" i="11"/>
  <c r="K605" i="11"/>
  <c r="AF604" i="11"/>
  <c r="AD604" i="11"/>
  <c r="AE604" i="11" s="1"/>
  <c r="S604" i="11"/>
  <c r="Q604" i="11"/>
  <c r="N604" i="11"/>
  <c r="K604" i="11"/>
  <c r="AD603" i="11"/>
  <c r="AF603" i="11" s="1"/>
  <c r="S603" i="11"/>
  <c r="Q603" i="11"/>
  <c r="N603" i="11"/>
  <c r="K603" i="11"/>
  <c r="AD602" i="11"/>
  <c r="AE602" i="11" s="1"/>
  <c r="S602" i="11"/>
  <c r="Q602" i="11"/>
  <c r="N602" i="11"/>
  <c r="K602" i="11"/>
  <c r="AF601" i="11"/>
  <c r="AD601" i="11"/>
  <c r="AE601" i="11" s="1"/>
  <c r="S601" i="11"/>
  <c r="Q601" i="11"/>
  <c r="N601" i="11"/>
  <c r="K601" i="11"/>
  <c r="E600" i="11"/>
  <c r="AD599" i="11"/>
  <c r="AF599" i="11" s="1"/>
  <c r="S599" i="11"/>
  <c r="Q599" i="11"/>
  <c r="N599" i="11"/>
  <c r="K599" i="11"/>
  <c r="AF598" i="11"/>
  <c r="AD598" i="11"/>
  <c r="AE598" i="11" s="1"/>
  <c r="S598" i="11"/>
  <c r="N598" i="11"/>
  <c r="K598" i="11"/>
  <c r="AE597" i="11"/>
  <c r="AD597" i="11"/>
  <c r="AF597" i="11" s="1"/>
  <c r="S597" i="11"/>
  <c r="N597" i="11"/>
  <c r="K597" i="11"/>
  <c r="AF596" i="11"/>
  <c r="AE596" i="11"/>
  <c r="AD596" i="11"/>
  <c r="S596" i="11"/>
  <c r="Q596" i="11"/>
  <c r="N596" i="11"/>
  <c r="K596" i="11"/>
  <c r="AE595" i="11"/>
  <c r="AD595" i="11"/>
  <c r="AF595" i="11" s="1"/>
  <c r="S595" i="11"/>
  <c r="Q595" i="11"/>
  <c r="N595" i="11"/>
  <c r="K595" i="11"/>
  <c r="AD594" i="11"/>
  <c r="AF594" i="11" s="1"/>
  <c r="S594" i="11"/>
  <c r="Q594" i="11"/>
  <c r="N594" i="11"/>
  <c r="K594" i="11"/>
  <c r="AD593" i="11"/>
  <c r="AF593" i="11" s="1"/>
  <c r="S593" i="11"/>
  <c r="Q593" i="11"/>
  <c r="N593" i="11"/>
  <c r="K593" i="11"/>
  <c r="AF592" i="11"/>
  <c r="AE592" i="11"/>
  <c r="AD592" i="11"/>
  <c r="S592" i="11"/>
  <c r="Q592" i="11"/>
  <c r="N592" i="11"/>
  <c r="K592" i="11"/>
  <c r="AF591" i="11"/>
  <c r="AE591" i="11"/>
  <c r="AD591" i="11"/>
  <c r="S591" i="11"/>
  <c r="Q591" i="11"/>
  <c r="N591" i="11"/>
  <c r="K591" i="11"/>
  <c r="AD590" i="11"/>
  <c r="AF590" i="11" s="1"/>
  <c r="S590" i="11"/>
  <c r="Q590" i="11"/>
  <c r="N590" i="11"/>
  <c r="K590" i="11"/>
  <c r="AD589" i="11"/>
  <c r="S589" i="11"/>
  <c r="Q589" i="11"/>
  <c r="N589" i="11"/>
  <c r="K589" i="11"/>
  <c r="AD588" i="11"/>
  <c r="S588" i="11"/>
  <c r="Q588" i="11"/>
  <c r="N588" i="11"/>
  <c r="K588" i="11"/>
  <c r="AD587" i="11"/>
  <c r="S587" i="11"/>
  <c r="Q587" i="11"/>
  <c r="N587" i="11"/>
  <c r="K587" i="11"/>
  <c r="E586" i="11"/>
  <c r="AD585" i="11"/>
  <c r="AF585" i="11" s="1"/>
  <c r="S585" i="11"/>
  <c r="Q585" i="11"/>
  <c r="N585" i="11"/>
  <c r="K585" i="11"/>
  <c r="AD584" i="11"/>
  <c r="AF584" i="11" s="1"/>
  <c r="S584" i="11"/>
  <c r="Q584" i="11"/>
  <c r="N584" i="11"/>
  <c r="K584" i="11"/>
  <c r="AD583" i="11"/>
  <c r="S583" i="11"/>
  <c r="Q583" i="11"/>
  <c r="N583" i="11"/>
  <c r="K583" i="11"/>
  <c r="AF582" i="11"/>
  <c r="AE582" i="11"/>
  <c r="AD582" i="11"/>
  <c r="S582" i="11"/>
  <c r="Q582" i="11"/>
  <c r="N582" i="11"/>
  <c r="K582" i="11"/>
  <c r="AD581" i="11"/>
  <c r="AF581" i="11" s="1"/>
  <c r="S581" i="11"/>
  <c r="Q581" i="11"/>
  <c r="N581" i="11"/>
  <c r="K581" i="11"/>
  <c r="AE580" i="11"/>
  <c r="AD580" i="11"/>
  <c r="AF580" i="11" s="1"/>
  <c r="S580" i="11"/>
  <c r="Q580" i="11"/>
  <c r="N580" i="11"/>
  <c r="K580" i="11"/>
  <c r="AD579" i="11"/>
  <c r="AF579" i="11" s="1"/>
  <c r="S579" i="11"/>
  <c r="Q579" i="11"/>
  <c r="N579" i="11"/>
  <c r="K579" i="11"/>
  <c r="AE578" i="11"/>
  <c r="AD578" i="11"/>
  <c r="AF578" i="11" s="1"/>
  <c r="S578" i="11"/>
  <c r="Q578" i="11"/>
  <c r="N578" i="11"/>
  <c r="K578" i="11"/>
  <c r="AD577" i="11"/>
  <c r="AF577" i="11" s="1"/>
  <c r="S577" i="11"/>
  <c r="Q577" i="11"/>
  <c r="N577" i="11"/>
  <c r="K577" i="11"/>
  <c r="AE576" i="11"/>
  <c r="AD576" i="11"/>
  <c r="AF576" i="11" s="1"/>
  <c r="S576" i="11"/>
  <c r="Q576" i="11"/>
  <c r="N576" i="11"/>
  <c r="K576" i="11"/>
  <c r="AF575" i="11"/>
  <c r="AD575" i="11"/>
  <c r="AE575" i="11" s="1"/>
  <c r="S575" i="11"/>
  <c r="Q575" i="11"/>
  <c r="N575" i="11"/>
  <c r="K575" i="11"/>
  <c r="AF574" i="11"/>
  <c r="AD574" i="11"/>
  <c r="AE574" i="11" s="1"/>
  <c r="S574" i="11"/>
  <c r="Q574" i="11"/>
  <c r="N574" i="11"/>
  <c r="K574" i="11"/>
  <c r="AF573" i="11"/>
  <c r="AE573" i="11"/>
  <c r="AD573" i="11"/>
  <c r="S573" i="11"/>
  <c r="Q573" i="11"/>
  <c r="N573" i="11"/>
  <c r="K573" i="11"/>
  <c r="E572" i="11"/>
  <c r="AE571" i="11"/>
  <c r="AD571" i="11"/>
  <c r="AF571" i="11" s="1"/>
  <c r="S571" i="11"/>
  <c r="Q571" i="11"/>
  <c r="N571" i="11"/>
  <c r="K571" i="11"/>
  <c r="AF570" i="11"/>
  <c r="AE570" i="11"/>
  <c r="AD570" i="11"/>
  <c r="S570" i="11"/>
  <c r="Q570" i="11"/>
  <c r="N570" i="11"/>
  <c r="K570" i="11"/>
  <c r="AD569" i="11"/>
  <c r="AF569" i="11" s="1"/>
  <c r="S569" i="11"/>
  <c r="Q569" i="11"/>
  <c r="N569" i="11"/>
  <c r="K569" i="11"/>
  <c r="AD568" i="11"/>
  <c r="S568" i="11"/>
  <c r="Q568" i="11"/>
  <c r="N568" i="11"/>
  <c r="K568" i="11"/>
  <c r="AD567" i="11"/>
  <c r="S567" i="11"/>
  <c r="Q567" i="11"/>
  <c r="N567" i="11"/>
  <c r="K567" i="11"/>
  <c r="AE566" i="11"/>
  <c r="AD566" i="11"/>
  <c r="AF566" i="11" s="1"/>
  <c r="S566" i="11"/>
  <c r="Q566" i="11"/>
  <c r="N566" i="11"/>
  <c r="K566" i="11"/>
  <c r="AF565" i="11"/>
  <c r="AD565" i="11"/>
  <c r="AE565" i="11" s="1"/>
  <c r="S565" i="11"/>
  <c r="Q565" i="11"/>
  <c r="N565" i="11"/>
  <c r="K565" i="11"/>
  <c r="AD564" i="11"/>
  <c r="AF564" i="11" s="1"/>
  <c r="S564" i="11"/>
  <c r="Q564" i="11"/>
  <c r="N564" i="11"/>
  <c r="K564" i="11"/>
  <c r="AD563" i="11"/>
  <c r="S563" i="11"/>
  <c r="Q563" i="11"/>
  <c r="N563" i="11"/>
  <c r="K563" i="11"/>
  <c r="AF562" i="11"/>
  <c r="AE562" i="11"/>
  <c r="AD562" i="11"/>
  <c r="S562" i="11"/>
  <c r="Q562" i="11"/>
  <c r="N562" i="11"/>
  <c r="K562" i="11"/>
  <c r="AD561" i="11"/>
  <c r="S561" i="11"/>
  <c r="Q561" i="11"/>
  <c r="N561" i="11"/>
  <c r="K561" i="11"/>
  <c r="AD560" i="11"/>
  <c r="S560" i="11"/>
  <c r="Q560" i="11"/>
  <c r="N560" i="11"/>
  <c r="K560" i="11"/>
  <c r="AF559" i="11"/>
  <c r="AE559" i="11"/>
  <c r="AD559" i="11"/>
  <c r="S559" i="11"/>
  <c r="Q559" i="11"/>
  <c r="N559" i="11"/>
  <c r="K559" i="11"/>
  <c r="AD558" i="11"/>
  <c r="AF558" i="11" s="1"/>
  <c r="S558" i="11"/>
  <c r="N558" i="11"/>
  <c r="K558" i="11"/>
  <c r="AF557" i="11"/>
  <c r="AE557" i="11"/>
  <c r="AD557" i="11"/>
  <c r="Y557" i="11"/>
  <c r="X557" i="11"/>
  <c r="S557" i="11"/>
  <c r="Q557" i="11"/>
  <c r="N557" i="11"/>
  <c r="K557" i="11"/>
  <c r="AF556" i="11"/>
  <c r="AE556" i="11"/>
  <c r="AD556" i="11"/>
  <c r="N556" i="11"/>
  <c r="K556" i="11"/>
  <c r="AF555" i="11"/>
  <c r="AD555" i="11"/>
  <c r="AE555" i="11" s="1"/>
  <c r="S555" i="11"/>
  <c r="Q555" i="11"/>
  <c r="N555" i="11"/>
  <c r="K555" i="11"/>
  <c r="AD554" i="11"/>
  <c r="S554" i="11"/>
  <c r="Q554" i="11"/>
  <c r="N554" i="11"/>
  <c r="K554" i="11"/>
  <c r="AE553" i="11"/>
  <c r="AD553" i="11"/>
  <c r="AF553" i="11" s="1"/>
  <c r="S553" i="11"/>
  <c r="Q553" i="11"/>
  <c r="N553" i="11"/>
  <c r="K553" i="11"/>
  <c r="AF552" i="11"/>
  <c r="AE552" i="11"/>
  <c r="AD552" i="11"/>
  <c r="S552" i="11"/>
  <c r="Q552" i="11"/>
  <c r="P552" i="11"/>
  <c r="N552" i="11"/>
  <c r="K552" i="11"/>
  <c r="AD551" i="11"/>
  <c r="S551" i="11"/>
  <c r="Q551" i="11"/>
  <c r="N551" i="11"/>
  <c r="K551" i="11"/>
  <c r="AF550" i="11"/>
  <c r="AE550" i="11"/>
  <c r="AD550" i="11"/>
  <c r="S550" i="11"/>
  <c r="Q550" i="11"/>
  <c r="N550" i="11"/>
  <c r="K550" i="11"/>
  <c r="AD549" i="11"/>
  <c r="S549" i="11"/>
  <c r="Q549" i="11"/>
  <c r="N549" i="11"/>
  <c r="K549" i="11"/>
  <c r="AE548" i="11"/>
  <c r="AD548" i="11"/>
  <c r="AF548" i="11" s="1"/>
  <c r="S548" i="11"/>
  <c r="N548" i="11"/>
  <c r="K548" i="11"/>
  <c r="AF547" i="11"/>
  <c r="AD547" i="11"/>
  <c r="AE547" i="11" s="1"/>
  <c r="S547" i="11"/>
  <c r="Q547" i="11"/>
  <c r="N547" i="11"/>
  <c r="K547" i="11"/>
  <c r="AE546" i="11"/>
  <c r="AD546" i="11"/>
  <c r="AF546" i="11" s="1"/>
  <c r="S546" i="11"/>
  <c r="Q546" i="11"/>
  <c r="N546" i="11"/>
  <c r="K546" i="11"/>
  <c r="AE545" i="11"/>
  <c r="AD545" i="11"/>
  <c r="AF545" i="11" s="1"/>
  <c r="S545" i="11"/>
  <c r="Q545" i="11"/>
  <c r="N545" i="11"/>
  <c r="K545" i="11"/>
  <c r="AD544" i="11"/>
  <c r="AF544" i="11" s="1"/>
  <c r="S544" i="11"/>
  <c r="Q544" i="11"/>
  <c r="N544" i="11"/>
  <c r="K544" i="11"/>
  <c r="AD543" i="11"/>
  <c r="S543" i="11"/>
  <c r="Q543" i="11"/>
  <c r="N543" i="11"/>
  <c r="K543" i="11"/>
  <c r="AF542" i="11"/>
  <c r="AE542" i="11"/>
  <c r="AD542" i="11"/>
  <c r="S542" i="11"/>
  <c r="Q542" i="11"/>
  <c r="N542" i="11"/>
  <c r="K542" i="11"/>
  <c r="AF541" i="11"/>
  <c r="AE541" i="11"/>
  <c r="AD541" i="11"/>
  <c r="S541" i="11"/>
  <c r="Q541" i="11"/>
  <c r="N541" i="11"/>
  <c r="K541" i="11"/>
  <c r="AF540" i="11"/>
  <c r="AE540" i="11"/>
  <c r="AD540" i="11"/>
  <c r="S540" i="11"/>
  <c r="Q540" i="11"/>
  <c r="N540" i="11"/>
  <c r="K540" i="11"/>
  <c r="AF539" i="11"/>
  <c r="AD539" i="11"/>
  <c r="AE539" i="11" s="1"/>
  <c r="S539" i="11"/>
  <c r="Q539" i="11"/>
  <c r="N539" i="11"/>
  <c r="K539" i="11"/>
  <c r="AF538" i="11"/>
  <c r="AD538" i="11"/>
  <c r="AE538" i="11" s="1"/>
  <c r="S538" i="11"/>
  <c r="Q538" i="11"/>
  <c r="N538" i="11"/>
  <c r="K538" i="11"/>
  <c r="AF537" i="11"/>
  <c r="AD537" i="11"/>
  <c r="AE537" i="11" s="1"/>
  <c r="S537" i="11"/>
  <c r="Q537" i="11"/>
  <c r="P537" i="11"/>
  <c r="N537" i="11"/>
  <c r="K537" i="11"/>
  <c r="AD536" i="11"/>
  <c r="AF536" i="11" s="1"/>
  <c r="S536" i="11"/>
  <c r="Q536" i="11"/>
  <c r="P536" i="11"/>
  <c r="N536" i="11"/>
  <c r="L536" i="11"/>
  <c r="K536" i="11"/>
  <c r="AE535" i="11"/>
  <c r="AD535" i="11"/>
  <c r="AF535" i="11" s="1"/>
  <c r="S535" i="11"/>
  <c r="Q535" i="11"/>
  <c r="N535" i="11"/>
  <c r="K535" i="11"/>
  <c r="E534" i="11"/>
  <c r="AF533" i="11"/>
  <c r="AE533" i="11"/>
  <c r="AD533" i="11"/>
  <c r="S533" i="11"/>
  <c r="Q533" i="11"/>
  <c r="N533" i="11"/>
  <c r="K533" i="11"/>
  <c r="AF532" i="11"/>
  <c r="AE532" i="11"/>
  <c r="AD532" i="11"/>
  <c r="S532" i="11"/>
  <c r="Q532" i="11"/>
  <c r="N532" i="11"/>
  <c r="K532" i="11"/>
  <c r="AF531" i="11"/>
  <c r="AD531" i="11"/>
  <c r="AE531" i="11" s="1"/>
  <c r="Q531" i="11"/>
  <c r="N531" i="11"/>
  <c r="K531" i="11"/>
  <c r="AF530" i="11"/>
  <c r="AD530" i="11"/>
  <c r="AE530" i="11" s="1"/>
  <c r="S530" i="11"/>
  <c r="Q530" i="11"/>
  <c r="P530" i="11"/>
  <c r="N530" i="11"/>
  <c r="K530" i="11"/>
  <c r="AF529" i="11"/>
  <c r="AD529" i="11"/>
  <c r="AE529" i="11" s="1"/>
  <c r="S529" i="11"/>
  <c r="Q529" i="11"/>
  <c r="N529" i="11"/>
  <c r="K529" i="11"/>
  <c r="AE528" i="11"/>
  <c r="AD528" i="11"/>
  <c r="AF528" i="11" s="1"/>
  <c r="S528" i="11"/>
  <c r="Q528" i="11"/>
  <c r="N528" i="11"/>
  <c r="K528" i="11"/>
  <c r="AF527" i="11"/>
  <c r="AE527" i="11"/>
  <c r="AD527" i="11"/>
  <c r="S527" i="11"/>
  <c r="Q527" i="11"/>
  <c r="N527" i="11"/>
  <c r="K527" i="11"/>
  <c r="AE526" i="11"/>
  <c r="AD526" i="11"/>
  <c r="AF526" i="11" s="1"/>
  <c r="S526" i="11"/>
  <c r="Q526" i="11"/>
  <c r="N526" i="11"/>
  <c r="K526" i="11"/>
  <c r="AF525" i="11"/>
  <c r="AD525" i="11"/>
  <c r="AE525" i="11" s="1"/>
  <c r="S525" i="11"/>
  <c r="Q525" i="11"/>
  <c r="N525" i="11"/>
  <c r="J525" i="11"/>
  <c r="K525" i="11" s="1"/>
  <c r="AD524" i="11"/>
  <c r="AF524" i="11" s="1"/>
  <c r="S524" i="11"/>
  <c r="Q524" i="11"/>
  <c r="N524" i="11"/>
  <c r="K524" i="11"/>
  <c r="AD523" i="11"/>
  <c r="S523" i="11"/>
  <c r="Q523" i="11"/>
  <c r="N523" i="11"/>
  <c r="K523" i="11"/>
  <c r="S522" i="11"/>
  <c r="P522" i="11"/>
  <c r="N522" i="11"/>
  <c r="K522" i="11"/>
  <c r="I522" i="11"/>
  <c r="G522" i="11"/>
  <c r="AD522" i="11" s="1"/>
  <c r="AF521" i="11"/>
  <c r="AE521" i="11"/>
  <c r="AD521" i="11"/>
  <c r="S521" i="11"/>
  <c r="Q521" i="11"/>
  <c r="N521" i="11"/>
  <c r="K521" i="11"/>
  <c r="AE520" i="11"/>
  <c r="AD520" i="11"/>
  <c r="AF520" i="11" s="1"/>
  <c r="S520" i="11"/>
  <c r="Q520" i="11"/>
  <c r="N520" i="11"/>
  <c r="K520" i="11"/>
  <c r="AD519" i="11"/>
  <c r="AF519" i="11" s="1"/>
  <c r="S519" i="11"/>
  <c r="Q519" i="11"/>
  <c r="N519" i="11"/>
  <c r="K519" i="11"/>
  <c r="J519" i="11"/>
  <c r="AF518" i="11"/>
  <c r="AE518" i="11"/>
  <c r="AD518" i="11"/>
  <c r="S518" i="11"/>
  <c r="Q518" i="11"/>
  <c r="N518" i="11"/>
  <c r="K518" i="11"/>
  <c r="AF517" i="11"/>
  <c r="AE517" i="11"/>
  <c r="AD517" i="11"/>
  <c r="S517" i="11"/>
  <c r="Q517" i="11"/>
  <c r="N517" i="11"/>
  <c r="K517" i="11"/>
  <c r="AF516" i="11"/>
  <c r="AE516" i="11"/>
  <c r="AD516" i="11"/>
  <c r="S516" i="11"/>
  <c r="Q516" i="11"/>
  <c r="N516" i="11"/>
  <c r="K516" i="11"/>
  <c r="AF515" i="11"/>
  <c r="AE515" i="11"/>
  <c r="AD515" i="11"/>
  <c r="S515" i="11"/>
  <c r="Q515" i="11"/>
  <c r="N515" i="11"/>
  <c r="K515" i="11"/>
  <c r="AF514" i="11"/>
  <c r="AD514" i="11"/>
  <c r="AE514" i="11" s="1"/>
  <c r="S514" i="11"/>
  <c r="Q514" i="11"/>
  <c r="N514" i="11"/>
  <c r="K514" i="11"/>
  <c r="AF513" i="11"/>
  <c r="AD513" i="11"/>
  <c r="AE513" i="11" s="1"/>
  <c r="Q513" i="11"/>
  <c r="N513" i="11"/>
  <c r="K513" i="11"/>
  <c r="E512" i="11"/>
  <c r="AD511" i="11"/>
  <c r="S511" i="11"/>
  <c r="Q511" i="11"/>
  <c r="N511" i="11"/>
  <c r="K511" i="11"/>
  <c r="AE510" i="11"/>
  <c r="AD510" i="11"/>
  <c r="AF510" i="11" s="1"/>
  <c r="S510" i="11"/>
  <c r="Q510" i="11"/>
  <c r="N510" i="11"/>
  <c r="K510" i="11"/>
  <c r="AF509" i="11"/>
  <c r="AE509" i="11"/>
  <c r="AD509" i="11"/>
  <c r="S509" i="11"/>
  <c r="Q509" i="11"/>
  <c r="N509" i="11"/>
  <c r="K509" i="11"/>
  <c r="AD508" i="11"/>
  <c r="S508" i="11"/>
  <c r="Q508" i="11"/>
  <c r="N508" i="11"/>
  <c r="K508" i="11"/>
  <c r="AF507" i="11"/>
  <c r="AD507" i="11"/>
  <c r="AE507" i="11" s="1"/>
  <c r="S507" i="11"/>
  <c r="Q507" i="11"/>
  <c r="N507" i="11"/>
  <c r="K507" i="11"/>
  <c r="AF506" i="11"/>
  <c r="AE506" i="11"/>
  <c r="AD506" i="11"/>
  <c r="S506" i="11"/>
  <c r="Q506" i="11"/>
  <c r="N506" i="11"/>
  <c r="K506" i="11"/>
  <c r="AD505" i="11"/>
  <c r="AF505" i="11" s="1"/>
  <c r="S505" i="11"/>
  <c r="Q505" i="11"/>
  <c r="N505" i="11"/>
  <c r="K505" i="11"/>
  <c r="AE504" i="11"/>
  <c r="AD504" i="11"/>
  <c r="AF504" i="11" s="1"/>
  <c r="S504" i="11"/>
  <c r="Q504" i="11"/>
  <c r="N504" i="11"/>
  <c r="K504" i="11"/>
  <c r="AD503" i="11"/>
  <c r="AF503" i="11" s="1"/>
  <c r="S503" i="11"/>
  <c r="Q503" i="11"/>
  <c r="N503" i="11"/>
  <c r="K503" i="11"/>
  <c r="AE502" i="11"/>
  <c r="AD502" i="11"/>
  <c r="AF502" i="11" s="1"/>
  <c r="S502" i="11"/>
  <c r="Q502" i="11"/>
  <c r="N502" i="11"/>
  <c r="K502" i="11"/>
  <c r="AF501" i="11"/>
  <c r="AE501" i="11"/>
  <c r="AD501" i="11"/>
  <c r="S501" i="11"/>
  <c r="Q501" i="11"/>
  <c r="N501" i="11"/>
  <c r="K501" i="11"/>
  <c r="AD500" i="11"/>
  <c r="AF500" i="11" s="1"/>
  <c r="S500" i="11"/>
  <c r="Q500" i="11"/>
  <c r="N500" i="11"/>
  <c r="K500" i="11"/>
  <c r="AF499" i="11"/>
  <c r="AD499" i="11"/>
  <c r="AE499" i="11" s="1"/>
  <c r="S499" i="11"/>
  <c r="Q499" i="11"/>
  <c r="N499" i="11"/>
  <c r="K499" i="11"/>
  <c r="AD498" i="11"/>
  <c r="AF498" i="11" s="1"/>
  <c r="S498" i="11"/>
  <c r="Q498" i="11"/>
  <c r="N498" i="11"/>
  <c r="K498" i="11"/>
  <c r="AD497" i="11"/>
  <c r="S497" i="11"/>
  <c r="Q497" i="11"/>
  <c r="N497" i="11"/>
  <c r="K497" i="11"/>
  <c r="AE496" i="11"/>
  <c r="AD496" i="11"/>
  <c r="AF496" i="11" s="1"/>
  <c r="S496" i="11"/>
  <c r="Q496" i="11"/>
  <c r="N496" i="11"/>
  <c r="K496" i="11"/>
  <c r="AF495" i="11"/>
  <c r="AE495" i="11"/>
  <c r="AD495" i="11"/>
  <c r="S495" i="11"/>
  <c r="Q495" i="11"/>
  <c r="N495" i="11"/>
  <c r="K495" i="11"/>
  <c r="AF494" i="11"/>
  <c r="AE494" i="11"/>
  <c r="AD494" i="11"/>
  <c r="S494" i="11"/>
  <c r="Q494" i="11"/>
  <c r="N494" i="11"/>
  <c r="K494" i="11"/>
  <c r="AF493" i="11"/>
  <c r="AE493" i="11"/>
  <c r="AD493" i="11"/>
  <c r="S493" i="11"/>
  <c r="Q493" i="11"/>
  <c r="N493" i="11"/>
  <c r="K493" i="11"/>
  <c r="AF492" i="11"/>
  <c r="AE492" i="11"/>
  <c r="AD492" i="11"/>
  <c r="S492" i="11"/>
  <c r="Q492" i="11"/>
  <c r="N492" i="11"/>
  <c r="K492" i="11"/>
  <c r="AF491" i="11"/>
  <c r="AD491" i="11"/>
  <c r="AE491" i="11" s="1"/>
  <c r="S491" i="11"/>
  <c r="Q491" i="11"/>
  <c r="N491" i="11"/>
  <c r="K491" i="11"/>
  <c r="AF490" i="11"/>
  <c r="AE490" i="11"/>
  <c r="AD490" i="11"/>
  <c r="S490" i="11"/>
  <c r="Q490" i="11"/>
  <c r="N490" i="11"/>
  <c r="K490" i="11"/>
  <c r="AE489" i="11"/>
  <c r="AD489" i="11"/>
  <c r="AF489" i="11" s="1"/>
  <c r="S489" i="11"/>
  <c r="Q489" i="11"/>
  <c r="N489" i="11"/>
  <c r="K489" i="11"/>
  <c r="AE488" i="11"/>
  <c r="AD488" i="11"/>
  <c r="AF488" i="11" s="1"/>
  <c r="S488" i="11"/>
  <c r="Q488" i="11"/>
  <c r="N488" i="11"/>
  <c r="K488" i="11"/>
  <c r="AD487" i="11"/>
  <c r="AF487" i="11" s="1"/>
  <c r="Y487" i="11"/>
  <c r="X487" i="11"/>
  <c r="S487" i="11"/>
  <c r="Q487" i="11"/>
  <c r="N487" i="11"/>
  <c r="K487" i="11"/>
  <c r="AD485" i="11"/>
  <c r="S485" i="11"/>
  <c r="Q485" i="11"/>
  <c r="N485" i="11"/>
  <c r="K485" i="11"/>
  <c r="AE484" i="11"/>
  <c r="AD484" i="11"/>
  <c r="AF484" i="11" s="1"/>
  <c r="S484" i="11"/>
  <c r="Q484" i="11"/>
  <c r="N484" i="11"/>
  <c r="K484" i="11"/>
  <c r="AD483" i="11"/>
  <c r="AF483" i="11" s="1"/>
  <c r="S483" i="11"/>
  <c r="Q483" i="11"/>
  <c r="N483" i="11"/>
  <c r="K483" i="11"/>
  <c r="AF482" i="11"/>
  <c r="AE482" i="11"/>
  <c r="AD482" i="11"/>
  <c r="S482" i="11"/>
  <c r="Q482" i="11"/>
  <c r="N482" i="11"/>
  <c r="K482" i="11"/>
  <c r="AF481" i="11"/>
  <c r="AE481" i="11"/>
  <c r="AD481" i="11"/>
  <c r="S481" i="11"/>
  <c r="Q481" i="11"/>
  <c r="N481" i="11"/>
  <c r="K481" i="11"/>
  <c r="AD480" i="11"/>
  <c r="S480" i="11"/>
  <c r="Q480" i="11"/>
  <c r="N480" i="11"/>
  <c r="K480" i="11"/>
  <c r="AD479" i="11"/>
  <c r="AF479" i="11" s="1"/>
  <c r="S479" i="11"/>
  <c r="Q479" i="11"/>
  <c r="N479" i="11"/>
  <c r="K479" i="11"/>
  <c r="AE478" i="11"/>
  <c r="AD478" i="11"/>
  <c r="AF478" i="11" s="1"/>
  <c r="S478" i="11"/>
  <c r="Q478" i="11"/>
  <c r="N478" i="11"/>
  <c r="K478" i="11"/>
  <c r="AD477" i="11"/>
  <c r="S477" i="11"/>
  <c r="Q477" i="11"/>
  <c r="N477" i="11"/>
  <c r="K477" i="11"/>
  <c r="AE476" i="11"/>
  <c r="AD476" i="11"/>
  <c r="AF476" i="11" s="1"/>
  <c r="S476" i="11"/>
  <c r="Q476" i="11"/>
  <c r="N476" i="11"/>
  <c r="K476" i="11"/>
  <c r="AF475" i="11"/>
  <c r="AE475" i="11"/>
  <c r="AD475" i="11"/>
  <c r="S475" i="11"/>
  <c r="Q475" i="11"/>
  <c r="N475" i="11"/>
  <c r="K475" i="11"/>
  <c r="AF474" i="11"/>
  <c r="AE474" i="11"/>
  <c r="AD474" i="11"/>
  <c r="S474" i="11"/>
  <c r="Q474" i="11"/>
  <c r="N474" i="11"/>
  <c r="K474" i="11"/>
  <c r="AF473" i="11"/>
  <c r="AE473" i="11"/>
  <c r="AD473" i="11"/>
  <c r="S473" i="11"/>
  <c r="Q473" i="11"/>
  <c r="N473" i="11"/>
  <c r="K473" i="11"/>
  <c r="AD472" i="11"/>
  <c r="AF472" i="11" s="1"/>
  <c r="Q472" i="11"/>
  <c r="N472" i="11"/>
  <c r="K472" i="11"/>
  <c r="AF471" i="11"/>
  <c r="AD471" i="11"/>
  <c r="AE471" i="11" s="1"/>
  <c r="S471" i="11"/>
  <c r="Q471" i="11"/>
  <c r="N471" i="11"/>
  <c r="K471" i="11"/>
  <c r="AE470" i="11"/>
  <c r="AD470" i="11"/>
  <c r="AF470" i="11" s="1"/>
  <c r="S470" i="11"/>
  <c r="Q470" i="11"/>
  <c r="N470" i="11"/>
  <c r="K470" i="11"/>
  <c r="AD469" i="11"/>
  <c r="S469" i="11"/>
  <c r="Q469" i="11"/>
  <c r="N469" i="11"/>
  <c r="K469" i="11"/>
  <c r="E468" i="11"/>
  <c r="AF467" i="11"/>
  <c r="AE467" i="11"/>
  <c r="AD467" i="11"/>
  <c r="S467" i="11"/>
  <c r="Q467" i="11"/>
  <c r="N467" i="11"/>
  <c r="K467" i="11"/>
  <c r="AF466" i="11"/>
  <c r="AE466" i="11"/>
  <c r="AD466" i="11"/>
  <c r="S466" i="11"/>
  <c r="Q466" i="11"/>
  <c r="N466" i="11"/>
  <c r="K466" i="11"/>
  <c r="AD465" i="11"/>
  <c r="AF465" i="11" s="1"/>
  <c r="S465" i="11"/>
  <c r="Q465" i="11"/>
  <c r="N465" i="11"/>
  <c r="K465" i="11"/>
  <c r="AF464" i="11"/>
  <c r="AE464" i="11"/>
  <c r="AD464" i="11"/>
  <c r="S464" i="11"/>
  <c r="Q464" i="11"/>
  <c r="N464" i="11"/>
  <c r="K464" i="11"/>
  <c r="AD463" i="11"/>
  <c r="S463" i="11"/>
  <c r="Q463" i="11"/>
  <c r="N463" i="11"/>
  <c r="K463" i="11"/>
  <c r="AE462" i="11"/>
  <c r="AD462" i="11"/>
  <c r="AF462" i="11" s="1"/>
  <c r="S462" i="11"/>
  <c r="Q462" i="11"/>
  <c r="N462" i="11"/>
  <c r="K462" i="11"/>
  <c r="AD461" i="11"/>
  <c r="S461" i="11"/>
  <c r="Q461" i="11"/>
  <c r="N461" i="11"/>
  <c r="K461" i="11"/>
  <c r="AF460" i="11"/>
  <c r="AE460" i="11"/>
  <c r="AD460" i="11"/>
  <c r="S460" i="11"/>
  <c r="Q460" i="11"/>
  <c r="N460" i="11"/>
  <c r="K460" i="11"/>
  <c r="AF459" i="11"/>
  <c r="AE459" i="11"/>
  <c r="AD459" i="11"/>
  <c r="S459" i="11"/>
  <c r="Q459" i="11"/>
  <c r="N459" i="11"/>
  <c r="K459" i="11"/>
  <c r="AD458" i="11"/>
  <c r="S458" i="11"/>
  <c r="Q458" i="11"/>
  <c r="N458" i="11"/>
  <c r="K458" i="11"/>
  <c r="AD457" i="11"/>
  <c r="AF457" i="11" s="1"/>
  <c r="S457" i="11"/>
  <c r="Q457" i="11"/>
  <c r="N457" i="11"/>
  <c r="K457" i="11"/>
  <c r="AD456" i="11"/>
  <c r="S456" i="11"/>
  <c r="Q456" i="11"/>
  <c r="N456" i="11"/>
  <c r="K456" i="11"/>
  <c r="AE455" i="11"/>
  <c r="AD455" i="11"/>
  <c r="AF455" i="11" s="1"/>
  <c r="S455" i="11"/>
  <c r="Q455" i="11"/>
  <c r="N455" i="11"/>
  <c r="K455" i="11"/>
  <c r="AE454" i="11"/>
  <c r="AD454" i="11"/>
  <c r="AF454" i="11" s="1"/>
  <c r="S454" i="11"/>
  <c r="Q454" i="11"/>
  <c r="N454" i="11"/>
  <c r="K454" i="11"/>
  <c r="E453" i="11"/>
  <c r="AF452" i="11"/>
  <c r="AE452" i="11"/>
  <c r="AD452" i="11"/>
  <c r="S452" i="11"/>
  <c r="Q452" i="11"/>
  <c r="N452" i="11"/>
  <c r="K452" i="11"/>
  <c r="AD451" i="11"/>
  <c r="AE451" i="11" s="1"/>
  <c r="S451" i="11"/>
  <c r="Q451" i="11"/>
  <c r="N451" i="11"/>
  <c r="K451" i="11"/>
  <c r="AF450" i="11"/>
  <c r="AD450" i="11"/>
  <c r="AE450" i="11" s="1"/>
  <c r="S450" i="11"/>
  <c r="Q450" i="11"/>
  <c r="N450" i="11"/>
  <c r="K450" i="11"/>
  <c r="AF449" i="11"/>
  <c r="AD449" i="11"/>
  <c r="AE449" i="11" s="1"/>
  <c r="S449" i="11"/>
  <c r="Q449" i="11"/>
  <c r="N449" i="11"/>
  <c r="K449" i="11"/>
  <c r="AD448" i="11"/>
  <c r="S448" i="11"/>
  <c r="Q448" i="11"/>
  <c r="N448" i="11"/>
  <c r="K448" i="11"/>
  <c r="AF447" i="11"/>
  <c r="AD447" i="11"/>
  <c r="AE447" i="11" s="1"/>
  <c r="S447" i="11"/>
  <c r="Q447" i="11"/>
  <c r="N447" i="11"/>
  <c r="K447" i="11"/>
  <c r="AF446" i="11"/>
  <c r="AE446" i="11"/>
  <c r="AD446" i="11"/>
  <c r="S446" i="11"/>
  <c r="Q446" i="11"/>
  <c r="N446" i="11"/>
  <c r="K446" i="11"/>
  <c r="AF445" i="11"/>
  <c r="AD445" i="11"/>
  <c r="AE445" i="11" s="1"/>
  <c r="S445" i="11"/>
  <c r="Q445" i="11"/>
  <c r="N445" i="11"/>
  <c r="K445" i="11"/>
  <c r="AF444" i="11"/>
  <c r="AE444" i="11"/>
  <c r="AD444" i="11"/>
  <c r="S444" i="11"/>
  <c r="Q444" i="11"/>
  <c r="N444" i="11"/>
  <c r="K444" i="11"/>
  <c r="AF443" i="11"/>
  <c r="AD443" i="11"/>
  <c r="AE443" i="11" s="1"/>
  <c r="S443" i="11"/>
  <c r="Q443" i="11"/>
  <c r="N443" i="11"/>
  <c r="K443" i="11"/>
  <c r="AF442" i="11"/>
  <c r="AD442" i="11"/>
  <c r="AE442" i="11" s="1"/>
  <c r="S442" i="11"/>
  <c r="Q442" i="11"/>
  <c r="N442" i="11"/>
  <c r="K442" i="11"/>
  <c r="AF441" i="11"/>
  <c r="AD441" i="11"/>
  <c r="AE441" i="11" s="1"/>
  <c r="S441" i="11"/>
  <c r="Q441" i="11"/>
  <c r="N441" i="11"/>
  <c r="K441" i="11"/>
  <c r="AD440" i="11"/>
  <c r="S440" i="11"/>
  <c r="Q440" i="11"/>
  <c r="N440" i="11"/>
  <c r="K440" i="11"/>
  <c r="AF439" i="11"/>
  <c r="AE439" i="11"/>
  <c r="AD439" i="11"/>
  <c r="S439" i="11"/>
  <c r="Q439" i="11"/>
  <c r="N439" i="11"/>
  <c r="K439" i="11"/>
  <c r="AF438" i="11"/>
  <c r="AD438" i="11"/>
  <c r="AE438" i="11" s="1"/>
  <c r="S438" i="11"/>
  <c r="Q438" i="11"/>
  <c r="N438" i="11"/>
  <c r="K438" i="11"/>
  <c r="AF437" i="11"/>
  <c r="AD437" i="11"/>
  <c r="AE437" i="11" s="1"/>
  <c r="S437" i="11"/>
  <c r="Q437" i="11"/>
  <c r="N437" i="11"/>
  <c r="K437" i="11"/>
  <c r="AF436" i="11"/>
  <c r="AE436" i="11"/>
  <c r="AD436" i="11"/>
  <c r="S436" i="11"/>
  <c r="Q436" i="11"/>
  <c r="N436" i="11"/>
  <c r="K436" i="11"/>
  <c r="AF435" i="11"/>
  <c r="AD435" i="11"/>
  <c r="AE435" i="11" s="1"/>
  <c r="S435" i="11"/>
  <c r="Q435" i="11"/>
  <c r="N435" i="11"/>
  <c r="K435" i="11"/>
  <c r="AD434" i="11"/>
  <c r="AE434" i="11" s="1"/>
  <c r="S434" i="11"/>
  <c r="Q434" i="11"/>
  <c r="N434" i="11"/>
  <c r="K434" i="11"/>
  <c r="AF433" i="11"/>
  <c r="AE433" i="11"/>
  <c r="AD433" i="11"/>
  <c r="S433" i="11"/>
  <c r="Q433" i="11"/>
  <c r="N433" i="11"/>
  <c r="K433" i="11"/>
  <c r="AD432" i="11"/>
  <c r="S432" i="11"/>
  <c r="Q432" i="11"/>
  <c r="N432" i="11"/>
  <c r="K432" i="11"/>
  <c r="AF431" i="11"/>
  <c r="AE431" i="11"/>
  <c r="AD431" i="11"/>
  <c r="Q431" i="11"/>
  <c r="N431" i="11"/>
  <c r="K431" i="11"/>
  <c r="AD430" i="11"/>
  <c r="S430" i="11"/>
  <c r="Q430" i="11"/>
  <c r="N430" i="11"/>
  <c r="K430" i="11"/>
  <c r="AF429" i="11"/>
  <c r="AE429" i="11"/>
  <c r="AD429" i="11"/>
  <c r="S429" i="11"/>
  <c r="Q429" i="11"/>
  <c r="N429" i="11"/>
  <c r="K429" i="11"/>
  <c r="AD428" i="11"/>
  <c r="AF428" i="11" s="1"/>
  <c r="S428" i="11"/>
  <c r="Q428" i="11"/>
  <c r="N428" i="11"/>
  <c r="K428" i="11"/>
  <c r="AF427" i="11"/>
  <c r="AD427" i="11"/>
  <c r="AE427" i="11" s="1"/>
  <c r="S427" i="11"/>
  <c r="Q427" i="11"/>
  <c r="N427" i="11"/>
  <c r="K427" i="11"/>
  <c r="AD426" i="11"/>
  <c r="AF426" i="11" s="1"/>
  <c r="S426" i="11"/>
  <c r="Q426" i="11"/>
  <c r="N426" i="11"/>
  <c r="K426" i="11"/>
  <c r="AD425" i="11"/>
  <c r="S425" i="11"/>
  <c r="Q425" i="11"/>
  <c r="N425" i="11"/>
  <c r="K425" i="11"/>
  <c r="AF424" i="11"/>
  <c r="AD424" i="11"/>
  <c r="AE424" i="11" s="1"/>
  <c r="S424" i="11"/>
  <c r="Q424" i="11"/>
  <c r="N424" i="11"/>
  <c r="K424" i="11"/>
  <c r="AE423" i="11"/>
  <c r="AD423" i="11"/>
  <c r="AF423" i="11" s="1"/>
  <c r="S423" i="11"/>
  <c r="Q423" i="11"/>
  <c r="N423" i="11"/>
  <c r="K423" i="11"/>
  <c r="AD422" i="11"/>
  <c r="S422" i="11"/>
  <c r="Q422" i="11"/>
  <c r="N422" i="11"/>
  <c r="K422" i="11"/>
  <c r="AE421" i="11"/>
  <c r="AD421" i="11"/>
  <c r="AF421" i="11" s="1"/>
  <c r="S421" i="11"/>
  <c r="Q421" i="11"/>
  <c r="N421" i="11"/>
  <c r="K421" i="11"/>
  <c r="AD420" i="11"/>
  <c r="AF420" i="11" s="1"/>
  <c r="S420" i="11"/>
  <c r="Q420" i="11"/>
  <c r="N420" i="11"/>
  <c r="K420" i="11"/>
  <c r="AF419" i="11"/>
  <c r="AD419" i="11"/>
  <c r="AE419" i="11" s="1"/>
  <c r="S419" i="11"/>
  <c r="N419" i="11"/>
  <c r="K419" i="11"/>
  <c r="AD418" i="11"/>
  <c r="AF418" i="11" s="1"/>
  <c r="S418" i="11"/>
  <c r="Q418" i="11"/>
  <c r="N418" i="11"/>
  <c r="K418" i="11"/>
  <c r="AF417" i="11"/>
  <c r="AE417" i="11"/>
  <c r="AD417" i="11"/>
  <c r="S417" i="11"/>
  <c r="Q417" i="11"/>
  <c r="N417" i="11"/>
  <c r="K417" i="11"/>
  <c r="AF416" i="11"/>
  <c r="AE416" i="11"/>
  <c r="AD416" i="11"/>
  <c r="S416" i="11"/>
  <c r="Q416" i="11"/>
  <c r="N416" i="11"/>
  <c r="K416" i="11"/>
  <c r="AD415" i="11"/>
  <c r="S415" i="11"/>
  <c r="Q415" i="11"/>
  <c r="N415" i="11"/>
  <c r="K415" i="11"/>
  <c r="AE414" i="11"/>
  <c r="AD414" i="11"/>
  <c r="AF414" i="11" s="1"/>
  <c r="S414" i="11"/>
  <c r="Q414" i="11"/>
  <c r="N414" i="11"/>
  <c r="K414" i="11"/>
  <c r="AD413" i="11"/>
  <c r="AF413" i="11" s="1"/>
  <c r="S413" i="11"/>
  <c r="Q413" i="11"/>
  <c r="N413" i="11"/>
  <c r="K413" i="11"/>
  <c r="AE412" i="11"/>
  <c r="AD412" i="11"/>
  <c r="AF412" i="11" s="1"/>
  <c r="S412" i="11"/>
  <c r="Q412" i="11"/>
  <c r="N412" i="11"/>
  <c r="K412" i="11"/>
  <c r="AF411" i="11"/>
  <c r="AE411" i="11"/>
  <c r="AD411" i="11"/>
  <c r="S411" i="11"/>
  <c r="Q411" i="11"/>
  <c r="N411" i="11"/>
  <c r="K411" i="11"/>
  <c r="AF410" i="11"/>
  <c r="AE410" i="11"/>
  <c r="AD410" i="11"/>
  <c r="S410" i="11"/>
  <c r="Q410" i="11"/>
  <c r="N410" i="11"/>
  <c r="AF409" i="11"/>
  <c r="AD409" i="11"/>
  <c r="AE409" i="11" s="1"/>
  <c r="S409" i="11"/>
  <c r="Q409" i="11"/>
  <c r="N409" i="11"/>
  <c r="K409" i="11"/>
  <c r="AE408" i="11"/>
  <c r="AD408" i="11"/>
  <c r="AF408" i="11" s="1"/>
  <c r="S408" i="11"/>
  <c r="Q408" i="11"/>
  <c r="P408" i="11"/>
  <c r="N408" i="11"/>
  <c r="K408" i="11"/>
  <c r="AF407" i="11"/>
  <c r="AE407" i="11"/>
  <c r="AD407" i="11"/>
  <c r="S407" i="11"/>
  <c r="Q407" i="11"/>
  <c r="N407" i="11"/>
  <c r="K407" i="11"/>
  <c r="AE406" i="11"/>
  <c r="AD406" i="11"/>
  <c r="AF406" i="11" s="1"/>
  <c r="N406" i="11"/>
  <c r="K406" i="11"/>
  <c r="AF405" i="11"/>
  <c r="AD405" i="11"/>
  <c r="AE405" i="11" s="1"/>
  <c r="S405" i="11"/>
  <c r="Q405" i="11"/>
  <c r="N405" i="11"/>
  <c r="K405" i="11"/>
  <c r="AF404" i="11"/>
  <c r="AD404" i="11"/>
  <c r="AE404" i="11" s="1"/>
  <c r="S404" i="11"/>
  <c r="Q404" i="11"/>
  <c r="N404" i="11"/>
  <c r="K404" i="11"/>
  <c r="AF403" i="11"/>
  <c r="AE403" i="11"/>
  <c r="AD403" i="11"/>
  <c r="S403" i="11"/>
  <c r="Q403" i="11"/>
  <c r="N403" i="11"/>
  <c r="K403" i="11"/>
  <c r="AD402" i="11"/>
  <c r="AE402" i="11" s="1"/>
  <c r="S402" i="11"/>
  <c r="Q402" i="11"/>
  <c r="N402" i="11"/>
  <c r="K402" i="11"/>
  <c r="AD401" i="11"/>
  <c r="S401" i="11"/>
  <c r="Q401" i="11"/>
  <c r="N401" i="11"/>
  <c r="K401" i="11"/>
  <c r="AF400" i="11"/>
  <c r="AE400" i="11"/>
  <c r="AD400" i="11"/>
  <c r="S400" i="11"/>
  <c r="Q400" i="11"/>
  <c r="N400" i="11"/>
  <c r="K400" i="11"/>
  <c r="AD399" i="11"/>
  <c r="S399" i="11"/>
  <c r="Q399" i="11"/>
  <c r="N399" i="11"/>
  <c r="K399" i="11"/>
  <c r="AD398" i="11"/>
  <c r="AF398" i="11" s="1"/>
  <c r="S398" i="11"/>
  <c r="Q398" i="11"/>
  <c r="N398" i="11"/>
  <c r="K398" i="11"/>
  <c r="AD397" i="11"/>
  <c r="S397" i="11"/>
  <c r="Q397" i="11"/>
  <c r="N397" i="11"/>
  <c r="K397" i="11"/>
  <c r="AF396" i="11"/>
  <c r="AD396" i="11"/>
  <c r="AE396" i="11" s="1"/>
  <c r="S396" i="11"/>
  <c r="Q396" i="11"/>
  <c r="N396" i="11"/>
  <c r="K396" i="11"/>
  <c r="AF395" i="11"/>
  <c r="AE395" i="11"/>
  <c r="AD395" i="11"/>
  <c r="S395" i="11"/>
  <c r="Q395" i="11"/>
  <c r="N395" i="11"/>
  <c r="K395" i="11"/>
  <c r="AD394" i="11"/>
  <c r="S394" i="11"/>
  <c r="N394" i="11"/>
  <c r="K394" i="11"/>
  <c r="AF393" i="11"/>
  <c r="AE393" i="11"/>
  <c r="AD393" i="11"/>
  <c r="S393" i="11"/>
  <c r="Q393" i="11"/>
  <c r="N393" i="11"/>
  <c r="K393" i="11"/>
  <c r="AD392" i="11"/>
  <c r="S392" i="11"/>
  <c r="Q392" i="11"/>
  <c r="N392" i="11"/>
  <c r="K392" i="11"/>
  <c r="AD391" i="11"/>
  <c r="S391" i="11"/>
  <c r="Q391" i="11"/>
  <c r="N391" i="11"/>
  <c r="K391" i="11"/>
  <c r="AD390" i="11"/>
  <c r="AE390" i="11" s="1"/>
  <c r="S390" i="11"/>
  <c r="Q390" i="11"/>
  <c r="N390" i="11"/>
  <c r="K390" i="11"/>
  <c r="AE389" i="11"/>
  <c r="AD389" i="11"/>
  <c r="AF389" i="11" s="1"/>
  <c r="E389" i="11"/>
  <c r="AD388" i="11"/>
  <c r="S388" i="11"/>
  <c r="Q388" i="11"/>
  <c r="N388" i="11"/>
  <c r="K388" i="11"/>
  <c r="AF387" i="11"/>
  <c r="AE387" i="11"/>
  <c r="AD387" i="11"/>
  <c r="S387" i="11"/>
  <c r="Q387" i="11"/>
  <c r="N387" i="11"/>
  <c r="K387" i="11"/>
  <c r="AD386" i="11"/>
  <c r="AF386" i="11" s="1"/>
  <c r="S386" i="11"/>
  <c r="Q386" i="11"/>
  <c r="N386" i="11"/>
  <c r="K386" i="11"/>
  <c r="AD385" i="11"/>
  <c r="S385" i="11"/>
  <c r="Q385" i="11"/>
  <c r="N385" i="11"/>
  <c r="K385" i="11"/>
  <c r="AD384" i="11"/>
  <c r="AF384" i="11" s="1"/>
  <c r="S384" i="11"/>
  <c r="Q384" i="11"/>
  <c r="N384" i="11"/>
  <c r="K384" i="11"/>
  <c r="AD383" i="11"/>
  <c r="AF383" i="11" s="1"/>
  <c r="S383" i="11"/>
  <c r="Q383" i="11"/>
  <c r="N383" i="11"/>
  <c r="K383" i="11"/>
  <c r="AE382" i="11"/>
  <c r="AD382" i="11"/>
  <c r="AF382" i="11" s="1"/>
  <c r="S382" i="11"/>
  <c r="Q382" i="11"/>
  <c r="N382" i="11"/>
  <c r="K382" i="11"/>
  <c r="AD381" i="11"/>
  <c r="AF381" i="11" s="1"/>
  <c r="S381" i="11"/>
  <c r="Q381" i="11"/>
  <c r="N381" i="11"/>
  <c r="K381" i="11"/>
  <c r="AF380" i="11"/>
  <c r="AE380" i="11"/>
  <c r="AD380" i="11"/>
  <c r="S380" i="11"/>
  <c r="Q380" i="11"/>
  <c r="N380" i="11"/>
  <c r="K380" i="11"/>
  <c r="AF379" i="11"/>
  <c r="AE379" i="11"/>
  <c r="AD379" i="11"/>
  <c r="S379" i="11"/>
  <c r="Q379" i="11"/>
  <c r="N379" i="11"/>
  <c r="K379" i="11"/>
  <c r="AF378" i="11"/>
  <c r="AD378" i="11"/>
  <c r="AE378" i="11" s="1"/>
  <c r="S378" i="11"/>
  <c r="Q378" i="11"/>
  <c r="N378" i="11"/>
  <c r="K378" i="11"/>
  <c r="AD377" i="11"/>
  <c r="S377" i="11"/>
  <c r="Q377" i="11"/>
  <c r="N377" i="11"/>
  <c r="K377" i="11"/>
  <c r="AD376" i="11"/>
  <c r="AF376" i="11" s="1"/>
  <c r="S376" i="11"/>
  <c r="Q376" i="11"/>
  <c r="N376" i="11"/>
  <c r="K376" i="11"/>
  <c r="AD375" i="11"/>
  <c r="AF375" i="11" s="1"/>
  <c r="S375" i="11"/>
  <c r="Q375" i="11"/>
  <c r="N375" i="11"/>
  <c r="K375" i="11"/>
  <c r="AE374" i="11"/>
  <c r="AD374" i="11"/>
  <c r="AF374" i="11" s="1"/>
  <c r="S374" i="11"/>
  <c r="R374" i="11"/>
  <c r="Q374" i="11"/>
  <c r="N374" i="11"/>
  <c r="K374" i="11"/>
  <c r="AD373" i="11"/>
  <c r="AF373" i="11" s="1"/>
  <c r="S373" i="11"/>
  <c r="Q373" i="11"/>
  <c r="N373" i="11"/>
  <c r="K373" i="11"/>
  <c r="AD372" i="11"/>
  <c r="AF372" i="11" s="1"/>
  <c r="S372" i="11"/>
  <c r="R372" i="11"/>
  <c r="R373" i="11" s="1"/>
  <c r="T373" i="11" s="1"/>
  <c r="Q372" i="11"/>
  <c r="N372" i="11"/>
  <c r="K372" i="11"/>
  <c r="AF371" i="11"/>
  <c r="AE371" i="11"/>
  <c r="AD371" i="11"/>
  <c r="N371" i="11"/>
  <c r="K371" i="11"/>
  <c r="AE370" i="11"/>
  <c r="AD370" i="11"/>
  <c r="AF370" i="11" s="1"/>
  <c r="S370" i="11"/>
  <c r="R370" i="11"/>
  <c r="T370" i="11" s="1"/>
  <c r="Q370" i="11"/>
  <c r="N370" i="11"/>
  <c r="K370" i="11"/>
  <c r="AF369" i="11"/>
  <c r="AE369" i="11"/>
  <c r="AD369" i="11"/>
  <c r="S369" i="11"/>
  <c r="R369" i="11"/>
  <c r="Q369" i="11"/>
  <c r="N369" i="11"/>
  <c r="K369" i="11"/>
  <c r="AD368" i="11"/>
  <c r="AF368" i="11" s="1"/>
  <c r="S368" i="11"/>
  <c r="T368" i="11" s="1"/>
  <c r="Q368" i="11"/>
  <c r="N368" i="11"/>
  <c r="K368" i="11"/>
  <c r="AE367" i="11"/>
  <c r="AD367" i="11"/>
  <c r="AF367" i="11" s="1"/>
  <c r="S367" i="11"/>
  <c r="Q367" i="11"/>
  <c r="N367" i="11"/>
  <c r="K367" i="11"/>
  <c r="AF366" i="11"/>
  <c r="AE366" i="11"/>
  <c r="AD366" i="11"/>
  <c r="S366" i="11"/>
  <c r="Q366" i="11"/>
  <c r="N366" i="11"/>
  <c r="K366" i="11"/>
  <c r="AF365" i="11"/>
  <c r="AE365" i="11"/>
  <c r="AD365" i="11"/>
  <c r="S365" i="11"/>
  <c r="Q365" i="11"/>
  <c r="N365" i="11"/>
  <c r="K365" i="11"/>
  <c r="AF364" i="11"/>
  <c r="AE364" i="11"/>
  <c r="AD364" i="11"/>
  <c r="S364" i="11"/>
  <c r="Q364" i="11"/>
  <c r="N364" i="11"/>
  <c r="K364" i="11"/>
  <c r="AD363" i="11"/>
  <c r="AF363" i="11" s="1"/>
  <c r="S363" i="11"/>
  <c r="Q363" i="11"/>
  <c r="N363" i="11"/>
  <c r="K363" i="11"/>
  <c r="AD362" i="11"/>
  <c r="S362" i="11"/>
  <c r="Q362" i="11"/>
  <c r="N362" i="11"/>
  <c r="K362" i="11"/>
  <c r="AD361" i="11"/>
  <c r="AF361" i="11" s="1"/>
  <c r="S361" i="11"/>
  <c r="Q361" i="11"/>
  <c r="N361" i="11"/>
  <c r="K361" i="11"/>
  <c r="AD360" i="11"/>
  <c r="S360" i="11"/>
  <c r="Q360" i="11"/>
  <c r="N360" i="11"/>
  <c r="K360" i="11"/>
  <c r="AE359" i="11"/>
  <c r="AD359" i="11"/>
  <c r="AF359" i="11" s="1"/>
  <c r="N359" i="11"/>
  <c r="K359" i="11"/>
  <c r="AF358" i="11"/>
  <c r="AE358" i="11"/>
  <c r="AD358" i="11"/>
  <c r="S358" i="11"/>
  <c r="Q358" i="11"/>
  <c r="N358" i="11"/>
  <c r="K358" i="11"/>
  <c r="AD357" i="11"/>
  <c r="S357" i="11"/>
  <c r="Q357" i="11"/>
  <c r="N357" i="11"/>
  <c r="K357" i="11"/>
  <c r="AF356" i="11"/>
  <c r="AE356" i="11"/>
  <c r="AD356" i="11"/>
  <c r="S356" i="11"/>
  <c r="Q356" i="11"/>
  <c r="N356" i="11"/>
  <c r="K356" i="11"/>
  <c r="AD355" i="11"/>
  <c r="S355" i="11"/>
  <c r="Q355" i="11"/>
  <c r="N355" i="11"/>
  <c r="K355" i="11"/>
  <c r="AF354" i="11"/>
  <c r="AE354" i="11"/>
  <c r="AD354" i="11"/>
  <c r="S354" i="11"/>
  <c r="Q354" i="11"/>
  <c r="N354" i="11"/>
  <c r="K354" i="11"/>
  <c r="AD353" i="11"/>
  <c r="S353" i="11"/>
  <c r="Q353" i="11"/>
  <c r="N353" i="11"/>
  <c r="K353" i="11"/>
  <c r="AF352" i="11"/>
  <c r="AD352" i="11"/>
  <c r="AE352" i="11" s="1"/>
  <c r="S352" i="11"/>
  <c r="Q352" i="11"/>
  <c r="N352" i="11"/>
  <c r="K352" i="11"/>
  <c r="AD351" i="11"/>
  <c r="S351" i="11"/>
  <c r="Q351" i="11"/>
  <c r="N351" i="11"/>
  <c r="K351" i="11"/>
  <c r="AF350" i="11"/>
  <c r="AE350" i="11"/>
  <c r="AD350" i="11"/>
  <c r="S350" i="11"/>
  <c r="Q350" i="11"/>
  <c r="N350" i="11"/>
  <c r="K350" i="11"/>
  <c r="AD349" i="11"/>
  <c r="S349" i="11"/>
  <c r="Q349" i="11"/>
  <c r="N349" i="11"/>
  <c r="K349" i="11"/>
  <c r="AF348" i="11"/>
  <c r="AE348" i="11"/>
  <c r="AD348" i="11"/>
  <c r="S348" i="11"/>
  <c r="Q348" i="11"/>
  <c r="N348" i="11"/>
  <c r="K348" i="11"/>
  <c r="AD347" i="11"/>
  <c r="S347" i="11"/>
  <c r="Q347" i="11"/>
  <c r="N347" i="11"/>
  <c r="K347" i="11"/>
  <c r="AF346" i="11"/>
  <c r="AE346" i="11"/>
  <c r="AD346" i="11"/>
  <c r="S346" i="11"/>
  <c r="Q346" i="11"/>
  <c r="N346" i="11"/>
  <c r="K346" i="11"/>
  <c r="AD345" i="11"/>
  <c r="S345" i="11"/>
  <c r="Q345" i="11"/>
  <c r="N345" i="11"/>
  <c r="K345" i="11"/>
  <c r="AF344" i="11"/>
  <c r="AD344" i="11"/>
  <c r="AE344" i="11" s="1"/>
  <c r="S344" i="11"/>
  <c r="Q344" i="11"/>
  <c r="N344" i="11"/>
  <c r="K344" i="11"/>
  <c r="AF343" i="11"/>
  <c r="AE343" i="11"/>
  <c r="AD343" i="11"/>
  <c r="S343" i="11"/>
  <c r="Q343" i="11"/>
  <c r="N343" i="11"/>
  <c r="K343" i="11"/>
  <c r="AF342" i="11"/>
  <c r="AD342" i="11"/>
  <c r="AE342" i="11" s="1"/>
  <c r="S342" i="11"/>
  <c r="Q342" i="11"/>
  <c r="N342" i="11"/>
  <c r="K342" i="11"/>
  <c r="AF341" i="11"/>
  <c r="AD341" i="11"/>
  <c r="AE341" i="11" s="1"/>
  <c r="S341" i="11"/>
  <c r="Q341" i="11"/>
  <c r="N341" i="11"/>
  <c r="K341" i="11"/>
  <c r="AF340" i="11"/>
  <c r="AE340" i="11"/>
  <c r="AD340" i="11"/>
  <c r="S340" i="11"/>
  <c r="Q340" i="11"/>
  <c r="N340" i="11"/>
  <c r="K340" i="11"/>
  <c r="AE339" i="11"/>
  <c r="AD339" i="11"/>
  <c r="AF339" i="11" s="1"/>
  <c r="S339" i="11"/>
  <c r="Q339" i="11"/>
  <c r="N339" i="11"/>
  <c r="K339" i="11"/>
  <c r="AD338" i="11"/>
  <c r="AE338" i="11" s="1"/>
  <c r="S338" i="11"/>
  <c r="Q338" i="11"/>
  <c r="N338" i="11"/>
  <c r="K338" i="11"/>
  <c r="AD337" i="11"/>
  <c r="AF337" i="11" s="1"/>
  <c r="S337" i="11"/>
  <c r="Q337" i="11"/>
  <c r="N337" i="11"/>
  <c r="K337" i="11"/>
  <c r="AD336" i="11"/>
  <c r="AE336" i="11" s="1"/>
  <c r="S336" i="11"/>
  <c r="Q336" i="11"/>
  <c r="N336" i="11"/>
  <c r="K336" i="11"/>
  <c r="AE335" i="11"/>
  <c r="AD335" i="11"/>
  <c r="AF335" i="11" s="1"/>
  <c r="S335" i="11"/>
  <c r="Q335" i="11"/>
  <c r="N335" i="11"/>
  <c r="K335" i="11"/>
  <c r="AD334" i="11"/>
  <c r="AE334" i="11" s="1"/>
  <c r="S334" i="11"/>
  <c r="Q334" i="11"/>
  <c r="N334" i="11"/>
  <c r="K334" i="11"/>
  <c r="AF332" i="11"/>
  <c r="AD332" i="11"/>
  <c r="AE332" i="11" s="1"/>
  <c r="S332" i="11"/>
  <c r="Q332" i="11"/>
  <c r="N332" i="11"/>
  <c r="K332" i="11"/>
  <c r="AF331" i="11"/>
  <c r="AE331" i="11"/>
  <c r="AD331" i="11"/>
  <c r="S331" i="11"/>
  <c r="Q331" i="11"/>
  <c r="N331" i="11"/>
  <c r="K331" i="11"/>
  <c r="AF330" i="11"/>
  <c r="AD330" i="11"/>
  <c r="AE330" i="11" s="1"/>
  <c r="S330" i="11"/>
  <c r="Q330" i="11"/>
  <c r="N330" i="11"/>
  <c r="K330" i="11"/>
  <c r="AD329" i="11"/>
  <c r="AF329" i="11" s="1"/>
  <c r="S329" i="11"/>
  <c r="Q329" i="11"/>
  <c r="N329" i="11"/>
  <c r="K329" i="11"/>
  <c r="AF328" i="11"/>
  <c r="AE328" i="11"/>
  <c r="AD328" i="11"/>
  <c r="S328" i="11"/>
  <c r="Q328" i="11"/>
  <c r="N328" i="11"/>
  <c r="K328" i="11"/>
  <c r="AD327" i="11"/>
  <c r="AE327" i="11" s="1"/>
  <c r="S327" i="11"/>
  <c r="Q327" i="11"/>
  <c r="N327" i="11"/>
  <c r="K327" i="11"/>
  <c r="AF326" i="11"/>
  <c r="AD326" i="11"/>
  <c r="AE326" i="11" s="1"/>
  <c r="S326" i="11"/>
  <c r="Q326" i="11"/>
  <c r="N326" i="11"/>
  <c r="K326" i="11"/>
  <c r="AD325" i="11"/>
  <c r="AF325" i="11" s="1"/>
  <c r="S325" i="11"/>
  <c r="Q325" i="11"/>
  <c r="N325" i="11"/>
  <c r="K325" i="11"/>
  <c r="AD324" i="11"/>
  <c r="AE324" i="11" s="1"/>
  <c r="S324" i="11"/>
  <c r="Q324" i="11"/>
  <c r="N324" i="11"/>
  <c r="K324" i="11"/>
  <c r="AD323" i="11"/>
  <c r="AF323" i="11" s="1"/>
  <c r="S323" i="11"/>
  <c r="Q323" i="11"/>
  <c r="N323" i="11"/>
  <c r="K323" i="11"/>
  <c r="AD322" i="11"/>
  <c r="AF322" i="11" s="1"/>
  <c r="S322" i="11"/>
  <c r="Q322" i="11"/>
  <c r="N322" i="11"/>
  <c r="K322" i="11"/>
  <c r="AE321" i="11"/>
  <c r="AD321" i="11"/>
  <c r="AF321" i="11" s="1"/>
  <c r="S321" i="11"/>
  <c r="Q321" i="11"/>
  <c r="N321" i="11"/>
  <c r="K321" i="11"/>
  <c r="AD320" i="11"/>
  <c r="S320" i="11"/>
  <c r="Q320" i="11"/>
  <c r="N320" i="11"/>
  <c r="K320" i="11"/>
  <c r="AF319" i="11"/>
  <c r="AE319" i="11"/>
  <c r="AD319" i="11"/>
  <c r="S319" i="11"/>
  <c r="Q319" i="11"/>
  <c r="N319" i="11"/>
  <c r="K319" i="11"/>
  <c r="AF318" i="11"/>
  <c r="AE318" i="11"/>
  <c r="AD318" i="11"/>
  <c r="S318" i="11"/>
  <c r="Q318" i="11"/>
  <c r="N318" i="11"/>
  <c r="K318" i="11"/>
  <c r="AF317" i="11"/>
  <c r="AE317" i="11"/>
  <c r="AD317" i="11"/>
  <c r="S317" i="11"/>
  <c r="Q317" i="11"/>
  <c r="N317" i="11"/>
  <c r="K317" i="11"/>
  <c r="AD316" i="11"/>
  <c r="AE316" i="11" s="1"/>
  <c r="S316" i="11"/>
  <c r="Q316" i="11"/>
  <c r="N316" i="11"/>
  <c r="K316" i="11"/>
  <c r="AE315" i="11"/>
  <c r="AD315" i="11"/>
  <c r="AF315" i="11" s="1"/>
  <c r="S315" i="11"/>
  <c r="Q315" i="11"/>
  <c r="N315" i="11"/>
  <c r="K315" i="11"/>
  <c r="AD314" i="11"/>
  <c r="N314" i="11"/>
  <c r="K314" i="11"/>
  <c r="AD313" i="11"/>
  <c r="S313" i="11"/>
  <c r="Q313" i="11"/>
  <c r="N313" i="11"/>
  <c r="K313" i="11"/>
  <c r="AF312" i="11"/>
  <c r="AE312" i="11"/>
  <c r="AD312" i="11"/>
  <c r="S312" i="11"/>
  <c r="Q312" i="11"/>
  <c r="N312" i="11"/>
  <c r="K312" i="11"/>
  <c r="AD311" i="11"/>
  <c r="AE311" i="11" s="1"/>
  <c r="S311" i="11"/>
  <c r="Q311" i="11"/>
  <c r="N311" i="11"/>
  <c r="K311" i="11"/>
  <c r="AF310" i="11"/>
  <c r="AE310" i="11"/>
  <c r="AD310" i="11"/>
  <c r="S310" i="11"/>
  <c r="Q310" i="11"/>
  <c r="N310" i="11"/>
  <c r="K310" i="11"/>
  <c r="AD309" i="11"/>
  <c r="AF309" i="11" s="1"/>
  <c r="S309" i="11"/>
  <c r="Q309" i="11"/>
  <c r="N309" i="11"/>
  <c r="K309" i="11"/>
  <c r="AE308" i="11"/>
  <c r="AD308" i="11"/>
  <c r="AF308" i="11" s="1"/>
  <c r="S308" i="11"/>
  <c r="Q308" i="11"/>
  <c r="N308" i="11"/>
  <c r="K308" i="11"/>
  <c r="AF307" i="11"/>
  <c r="AD307" i="11"/>
  <c r="AE307" i="11" s="1"/>
  <c r="S307" i="11"/>
  <c r="Q307" i="11"/>
  <c r="N307" i="11"/>
  <c r="K307" i="11"/>
  <c r="AF306" i="11"/>
  <c r="AE306" i="11"/>
  <c r="AD306" i="11"/>
  <c r="S306" i="11"/>
  <c r="Q306" i="11"/>
  <c r="N306" i="11"/>
  <c r="K306" i="11"/>
  <c r="AD305" i="11"/>
  <c r="AF305" i="11" s="1"/>
  <c r="S305" i="11"/>
  <c r="Q305" i="11"/>
  <c r="N305" i="11"/>
  <c r="K305" i="11"/>
  <c r="AF304" i="11"/>
  <c r="AE304" i="11"/>
  <c r="AD304" i="11"/>
  <c r="S304" i="11"/>
  <c r="Q304" i="11"/>
  <c r="N304" i="11"/>
  <c r="J304" i="11"/>
  <c r="K304" i="11" s="1"/>
  <c r="AD303" i="11"/>
  <c r="S303" i="11"/>
  <c r="Q303" i="11"/>
  <c r="N303" i="11"/>
  <c r="K303" i="11"/>
  <c r="AF302" i="11"/>
  <c r="AE302" i="11"/>
  <c r="AD302" i="11"/>
  <c r="S302" i="11"/>
  <c r="Q302" i="11"/>
  <c r="N302" i="11"/>
  <c r="K302" i="11"/>
  <c r="AD301" i="11"/>
  <c r="S301" i="11"/>
  <c r="Q301" i="11"/>
  <c r="N301" i="11"/>
  <c r="K301" i="11"/>
  <c r="AD300" i="11"/>
  <c r="AF300" i="11" s="1"/>
  <c r="N300" i="11"/>
  <c r="K300" i="11"/>
  <c r="AF299" i="11"/>
  <c r="AE299" i="11"/>
  <c r="AD299" i="11"/>
  <c r="S299" i="11"/>
  <c r="Q299" i="11"/>
  <c r="N299" i="11"/>
  <c r="K299" i="11"/>
  <c r="AE298" i="11"/>
  <c r="AD298" i="11"/>
  <c r="AF298" i="11" s="1"/>
  <c r="S298" i="11"/>
  <c r="Q298" i="11"/>
  <c r="N298" i="11"/>
  <c r="K298" i="11"/>
  <c r="AD297" i="11"/>
  <c r="S297" i="11"/>
  <c r="Q297" i="11"/>
  <c r="N297" i="11"/>
  <c r="K297" i="11"/>
  <c r="AD296" i="11"/>
  <c r="AF296" i="11" s="1"/>
  <c r="S296" i="11"/>
  <c r="Q296" i="11"/>
  <c r="N296" i="11"/>
  <c r="K296" i="11"/>
  <c r="AF295" i="11"/>
  <c r="AD295" i="11"/>
  <c r="AE295" i="11" s="1"/>
  <c r="S295" i="11"/>
  <c r="Q295" i="11"/>
  <c r="N295" i="11"/>
  <c r="K295" i="11"/>
  <c r="AF294" i="11"/>
  <c r="AE294" i="11"/>
  <c r="AD294" i="11"/>
  <c r="S294" i="11"/>
  <c r="Q294" i="11"/>
  <c r="N294" i="11"/>
  <c r="K294" i="11"/>
  <c r="AD293" i="11"/>
  <c r="AF293" i="11" s="1"/>
  <c r="S293" i="11"/>
  <c r="Q293" i="11"/>
  <c r="N293" i="11"/>
  <c r="K293" i="11"/>
  <c r="AF292" i="11"/>
  <c r="AE292" i="11"/>
  <c r="AD292" i="11"/>
  <c r="S292" i="11"/>
  <c r="Q292" i="11"/>
  <c r="N292" i="11"/>
  <c r="K292" i="11"/>
  <c r="AD291" i="11"/>
  <c r="S291" i="11"/>
  <c r="Q291" i="11"/>
  <c r="N291" i="11"/>
  <c r="K291" i="11"/>
  <c r="AE290" i="11"/>
  <c r="AD290" i="11"/>
  <c r="AF290" i="11" s="1"/>
  <c r="S290" i="11"/>
  <c r="Q290" i="11"/>
  <c r="N290" i="11"/>
  <c r="K290" i="11"/>
  <c r="AF289" i="11"/>
  <c r="AE289" i="11"/>
  <c r="AD289" i="11"/>
  <c r="S289" i="11"/>
  <c r="Q289" i="11"/>
  <c r="N289" i="11"/>
  <c r="K289" i="11"/>
  <c r="AD288" i="11"/>
  <c r="V288" i="11"/>
  <c r="S288" i="11"/>
  <c r="Q288" i="11"/>
  <c r="N288" i="11"/>
  <c r="K288" i="11"/>
  <c r="AD287" i="11"/>
  <c r="S287" i="11"/>
  <c r="Q287" i="11"/>
  <c r="N287" i="11"/>
  <c r="K287" i="11"/>
  <c r="AD286" i="11"/>
  <c r="AE286" i="11" s="1"/>
  <c r="S286" i="11"/>
  <c r="Q286" i="11"/>
  <c r="N286" i="11"/>
  <c r="K286" i="11"/>
  <c r="AF285" i="11"/>
  <c r="AD285" i="11"/>
  <c r="AE285" i="11" s="1"/>
  <c r="S285" i="11"/>
  <c r="Q285" i="11"/>
  <c r="N285" i="11"/>
  <c r="K285" i="11"/>
  <c r="AF284" i="11"/>
  <c r="AE284" i="11"/>
  <c r="AD284" i="11"/>
  <c r="S284" i="11"/>
  <c r="Q284" i="11"/>
  <c r="N284" i="11"/>
  <c r="K284" i="11"/>
  <c r="AF283" i="11"/>
  <c r="AE283" i="11"/>
  <c r="AD283" i="11"/>
  <c r="S283" i="11"/>
  <c r="Q283" i="11"/>
  <c r="N283" i="11"/>
  <c r="K283" i="11"/>
  <c r="AD282" i="11"/>
  <c r="AF282" i="11" s="1"/>
  <c r="N282" i="11"/>
  <c r="K282" i="11"/>
  <c r="AD281" i="11"/>
  <c r="AF281" i="11" s="1"/>
  <c r="S281" i="11"/>
  <c r="Q281" i="11"/>
  <c r="N281" i="11"/>
  <c r="K281" i="11"/>
  <c r="AE280" i="11"/>
  <c r="AD280" i="11"/>
  <c r="AF280" i="11" s="1"/>
  <c r="S280" i="11"/>
  <c r="Q280" i="11"/>
  <c r="N280" i="11"/>
  <c r="K280" i="11"/>
  <c r="AF279" i="11"/>
  <c r="AE279" i="11"/>
  <c r="AD279" i="11"/>
  <c r="S279" i="11"/>
  <c r="Q279" i="11"/>
  <c r="N279" i="11"/>
  <c r="K279" i="11"/>
  <c r="AF278" i="11"/>
  <c r="AD278" i="11"/>
  <c r="AE278" i="11" s="1"/>
  <c r="S278" i="11"/>
  <c r="Q278" i="11"/>
  <c r="N278" i="11"/>
  <c r="K278" i="11"/>
  <c r="AF277" i="11"/>
  <c r="AD277" i="11"/>
  <c r="AE277" i="11" s="1"/>
  <c r="S277" i="11"/>
  <c r="Q277" i="11"/>
  <c r="N277" i="11"/>
  <c r="K277" i="11"/>
  <c r="AD276" i="11"/>
  <c r="AF276" i="11" s="1"/>
  <c r="S276" i="11"/>
  <c r="N276" i="11"/>
  <c r="K276" i="11"/>
  <c r="AF275" i="11"/>
  <c r="AD275" i="11"/>
  <c r="AE275" i="11" s="1"/>
  <c r="S275" i="11"/>
  <c r="Q275" i="11"/>
  <c r="N275" i="11"/>
  <c r="K275" i="11"/>
  <c r="AF274" i="11"/>
  <c r="AE274" i="11"/>
  <c r="AD274" i="11"/>
  <c r="S274" i="11"/>
  <c r="Q274" i="11"/>
  <c r="N274" i="11"/>
  <c r="K274" i="11"/>
  <c r="AE273" i="11"/>
  <c r="AD273" i="11"/>
  <c r="AF273" i="11" s="1"/>
  <c r="S273" i="11"/>
  <c r="Q273" i="11"/>
  <c r="N273" i="11"/>
  <c r="K273" i="11"/>
  <c r="AD272" i="11"/>
  <c r="S272" i="11"/>
  <c r="Q272" i="11"/>
  <c r="N272" i="11"/>
  <c r="K272" i="11"/>
  <c r="AF271" i="11"/>
  <c r="AD271" i="11"/>
  <c r="AE271" i="11" s="1"/>
  <c r="S271" i="11"/>
  <c r="Q271" i="11"/>
  <c r="N271" i="11"/>
  <c r="K271" i="11"/>
  <c r="AF270" i="11"/>
  <c r="AE270" i="11"/>
  <c r="AD270" i="11"/>
  <c r="S270" i="11"/>
  <c r="Q270" i="11"/>
  <c r="N270" i="11"/>
  <c r="K270" i="11"/>
  <c r="AF269" i="11"/>
  <c r="AE269" i="11"/>
  <c r="AD269" i="11"/>
  <c r="S269" i="11"/>
  <c r="Q269" i="11"/>
  <c r="N269" i="11"/>
  <c r="K269" i="11"/>
  <c r="AF268" i="11"/>
  <c r="AE268" i="11"/>
  <c r="AD268" i="11"/>
  <c r="S268" i="11"/>
  <c r="Q268" i="11"/>
  <c r="N268" i="11"/>
  <c r="K268" i="11"/>
  <c r="AF267" i="11"/>
  <c r="AE267" i="11"/>
  <c r="AD267" i="11"/>
  <c r="S267" i="11"/>
  <c r="Q267" i="11"/>
  <c r="N267" i="11"/>
  <c r="K267" i="11"/>
  <c r="AF266" i="11"/>
  <c r="AE266" i="11"/>
  <c r="AD266" i="11"/>
  <c r="S266" i="11"/>
  <c r="Q266" i="11"/>
  <c r="N266" i="11"/>
  <c r="K266" i="11"/>
  <c r="AF265" i="11"/>
  <c r="AE265" i="11"/>
  <c r="AD265" i="11"/>
  <c r="S265" i="11"/>
  <c r="Q265" i="11"/>
  <c r="N265" i="11"/>
  <c r="K265" i="11"/>
  <c r="AD264" i="11"/>
  <c r="S264" i="11"/>
  <c r="Q264" i="11"/>
  <c r="N264" i="11"/>
  <c r="K264" i="11"/>
  <c r="AF263" i="11"/>
  <c r="AE263" i="11"/>
  <c r="AD263" i="11"/>
  <c r="S263" i="11"/>
  <c r="Q263" i="11"/>
  <c r="N263" i="11"/>
  <c r="K263" i="11"/>
  <c r="AE262" i="11"/>
  <c r="AD262" i="11"/>
  <c r="AF262" i="11" s="1"/>
  <c r="S262" i="11"/>
  <c r="Q262" i="11"/>
  <c r="N262" i="11"/>
  <c r="K262" i="11"/>
  <c r="AF261" i="11"/>
  <c r="AE261" i="11"/>
  <c r="AD261" i="11"/>
  <c r="S261" i="11"/>
  <c r="Q261" i="11"/>
  <c r="N261" i="11"/>
  <c r="K261" i="11"/>
  <c r="AF260" i="11"/>
  <c r="AE260" i="11"/>
  <c r="AD260" i="11"/>
  <c r="N260" i="11"/>
  <c r="K260" i="11"/>
  <c r="AF259" i="11"/>
  <c r="AE259" i="11"/>
  <c r="AD259" i="11"/>
  <c r="S259" i="11"/>
  <c r="Q259" i="11"/>
  <c r="N259" i="11"/>
  <c r="K259" i="11"/>
  <c r="AD258" i="11"/>
  <c r="S258" i="11"/>
  <c r="Q258" i="11"/>
  <c r="N258" i="11"/>
  <c r="K258" i="11"/>
  <c r="AD257" i="11"/>
  <c r="AF257" i="11" s="1"/>
  <c r="S257" i="11"/>
  <c r="Q257" i="11"/>
  <c r="N257" i="11"/>
  <c r="K257" i="11"/>
  <c r="AD256" i="11"/>
  <c r="S256" i="11"/>
  <c r="Q256" i="11"/>
  <c r="N256" i="11"/>
  <c r="K256" i="11"/>
  <c r="AF255" i="11"/>
  <c r="AE255" i="11"/>
  <c r="AD255" i="11"/>
  <c r="S255" i="11"/>
  <c r="Q255" i="11"/>
  <c r="N255" i="11"/>
  <c r="K255" i="11"/>
  <c r="AF254" i="11"/>
  <c r="AD254" i="11"/>
  <c r="AE254" i="11" s="1"/>
  <c r="S254" i="11"/>
  <c r="Q254" i="11"/>
  <c r="N254" i="11"/>
  <c r="K254" i="11"/>
  <c r="AD253" i="11"/>
  <c r="S253" i="11"/>
  <c r="Q253" i="11"/>
  <c r="N253" i="11"/>
  <c r="K253" i="11"/>
  <c r="AD252" i="11"/>
  <c r="AF252" i="11" s="1"/>
  <c r="S252" i="11"/>
  <c r="Q252" i="11"/>
  <c r="N252" i="11"/>
  <c r="K252" i="11"/>
  <c r="AF251" i="11"/>
  <c r="AE251" i="11"/>
  <c r="AD251" i="11"/>
  <c r="S251" i="11"/>
  <c r="Q251" i="11"/>
  <c r="N251" i="11"/>
  <c r="K251" i="11"/>
  <c r="AD250" i="11"/>
  <c r="AF250" i="11" s="1"/>
  <c r="S250" i="11"/>
  <c r="Q250" i="11"/>
  <c r="N250" i="11"/>
  <c r="K250" i="11"/>
  <c r="AD249" i="11"/>
  <c r="AF249" i="11" s="1"/>
  <c r="S249" i="11"/>
  <c r="Q249" i="11"/>
  <c r="N249" i="11"/>
  <c r="K249" i="11"/>
  <c r="AF248" i="11"/>
  <c r="AE248" i="11"/>
  <c r="AD248" i="11"/>
  <c r="S248" i="11"/>
  <c r="Q248" i="11"/>
  <c r="N248" i="11"/>
  <c r="K248" i="11"/>
  <c r="AD247" i="11"/>
  <c r="AF247" i="11" s="1"/>
  <c r="S247" i="11"/>
  <c r="Q247" i="11"/>
  <c r="N247" i="11"/>
  <c r="K247" i="11"/>
  <c r="AF246" i="11"/>
  <c r="AD246" i="11"/>
  <c r="AE246" i="11" s="1"/>
  <c r="S246" i="11"/>
  <c r="Q246" i="11"/>
  <c r="N246" i="11"/>
  <c r="K246" i="11"/>
  <c r="AD245" i="11"/>
  <c r="AF245" i="11" s="1"/>
  <c r="S245" i="11"/>
  <c r="Q245" i="11"/>
  <c r="N245" i="11"/>
  <c r="K245" i="11"/>
  <c r="AD244" i="11"/>
  <c r="AF244" i="11" s="1"/>
  <c r="S244" i="11"/>
  <c r="Q244" i="11"/>
  <c r="N244" i="11"/>
  <c r="K244" i="11"/>
  <c r="AF243" i="11"/>
  <c r="AE243" i="11"/>
  <c r="AD243" i="11"/>
  <c r="S243" i="11"/>
  <c r="R243" i="11"/>
  <c r="T243" i="11" s="1"/>
  <c r="Q243" i="11"/>
  <c r="N243" i="11"/>
  <c r="K243" i="11"/>
  <c r="AE242" i="11"/>
  <c r="AD242" i="11"/>
  <c r="AF242" i="11" s="1"/>
  <c r="S242" i="11"/>
  <c r="T242" i="11" s="1"/>
  <c r="Q242" i="11"/>
  <c r="N242" i="11"/>
  <c r="K242" i="11"/>
  <c r="AD241" i="11"/>
  <c r="S241" i="11"/>
  <c r="T241" i="11" s="1"/>
  <c r="Q241" i="11"/>
  <c r="N241" i="11"/>
  <c r="K241" i="11"/>
  <c r="AD240" i="11"/>
  <c r="AF240" i="11" s="1"/>
  <c r="S240" i="11"/>
  <c r="T240" i="11" s="1"/>
  <c r="Q240" i="11"/>
  <c r="N240" i="11"/>
  <c r="K240" i="11"/>
  <c r="AF239" i="11"/>
  <c r="AE239" i="11"/>
  <c r="AD239" i="11"/>
  <c r="S239" i="11"/>
  <c r="T239" i="11" s="1"/>
  <c r="Q239" i="11"/>
  <c r="N239" i="11"/>
  <c r="K239" i="11"/>
  <c r="AD238" i="11"/>
  <c r="AF238" i="11" s="1"/>
  <c r="N238" i="11"/>
  <c r="K238" i="11"/>
  <c r="AD237" i="11"/>
  <c r="S237" i="11"/>
  <c r="T237" i="11" s="1"/>
  <c r="Q237" i="11"/>
  <c r="N237" i="11"/>
  <c r="K237" i="11"/>
  <c r="AD236" i="11"/>
  <c r="S236" i="11"/>
  <c r="T236" i="11" s="1"/>
  <c r="Q236" i="11"/>
  <c r="K236" i="11"/>
  <c r="AD235" i="11"/>
  <c r="AF235" i="11" s="1"/>
  <c r="S235" i="11"/>
  <c r="T235" i="11" s="1"/>
  <c r="Q235" i="11"/>
  <c r="N235" i="11"/>
  <c r="K235" i="11"/>
  <c r="AF234" i="11"/>
  <c r="AE234" i="11"/>
  <c r="AD234" i="11"/>
  <c r="T234" i="11"/>
  <c r="S234" i="11"/>
  <c r="Q234" i="11"/>
  <c r="N234" i="11"/>
  <c r="K234" i="11"/>
  <c r="AD233" i="11"/>
  <c r="T233" i="11"/>
  <c r="S233" i="11"/>
  <c r="Q233" i="11"/>
  <c r="N233" i="11"/>
  <c r="K233" i="11"/>
  <c r="AF232" i="11"/>
  <c r="AE232" i="11"/>
  <c r="AD232" i="11"/>
  <c r="T232" i="11"/>
  <c r="S232" i="11"/>
  <c r="Q232" i="11"/>
  <c r="N232" i="11"/>
  <c r="K232" i="11"/>
  <c r="AF231" i="11"/>
  <c r="AE231" i="11"/>
  <c r="AD231" i="11"/>
  <c r="S231" i="11"/>
  <c r="T231" i="11" s="1"/>
  <c r="Q231" i="11"/>
  <c r="N231" i="11"/>
  <c r="K231" i="11"/>
  <c r="AF230" i="11"/>
  <c r="AE230" i="11"/>
  <c r="AD230" i="11"/>
  <c r="S230" i="11"/>
  <c r="T230" i="11" s="1"/>
  <c r="Q230" i="11"/>
  <c r="N230" i="11"/>
  <c r="K230" i="11"/>
  <c r="AF229" i="11"/>
  <c r="AE229" i="11"/>
  <c r="AD229" i="11"/>
  <c r="S229" i="11"/>
  <c r="T229" i="11" s="1"/>
  <c r="Q229" i="11"/>
  <c r="N229" i="11"/>
  <c r="K229" i="11"/>
  <c r="AD228" i="11"/>
  <c r="S228" i="11"/>
  <c r="T228" i="11" s="1"/>
  <c r="Q228" i="11"/>
  <c r="N228" i="11"/>
  <c r="K228" i="11"/>
  <c r="AF227" i="11"/>
  <c r="AE227" i="11"/>
  <c r="AD227" i="11"/>
  <c r="S227" i="11"/>
  <c r="T227" i="11" s="1"/>
  <c r="Q227" i="11"/>
  <c r="N227" i="11"/>
  <c r="K227" i="11"/>
  <c r="E226" i="11"/>
  <c r="AD225" i="11"/>
  <c r="AF225" i="11" s="1"/>
  <c r="S225" i="11"/>
  <c r="T225" i="11" s="1"/>
  <c r="Q225" i="11"/>
  <c r="N225" i="11"/>
  <c r="K225" i="11"/>
  <c r="AF224" i="11"/>
  <c r="AE224" i="11"/>
  <c r="AD224" i="11"/>
  <c r="T224" i="11"/>
  <c r="S224" i="11"/>
  <c r="Q224" i="11"/>
  <c r="N224" i="11"/>
  <c r="K224" i="11"/>
  <c r="AD223" i="11"/>
  <c r="AF223" i="11" s="1"/>
  <c r="S223" i="11"/>
  <c r="T223" i="11" s="1"/>
  <c r="Q223" i="11"/>
  <c r="N223" i="11"/>
  <c r="K223" i="11"/>
  <c r="AF222" i="11"/>
  <c r="AE222" i="11"/>
  <c r="AD222" i="11"/>
  <c r="S222" i="11"/>
  <c r="T222" i="11" s="1"/>
  <c r="Q222" i="11"/>
  <c r="N222" i="11"/>
  <c r="K222" i="11"/>
  <c r="AD221" i="11"/>
  <c r="AF221" i="11" s="1"/>
  <c r="S221" i="11"/>
  <c r="T221" i="11" s="1"/>
  <c r="Q221" i="11"/>
  <c r="N221" i="11"/>
  <c r="K221" i="11"/>
  <c r="AD220" i="11"/>
  <c r="S220" i="11"/>
  <c r="Q220" i="11"/>
  <c r="N220" i="11"/>
  <c r="K220" i="11"/>
  <c r="AD219" i="11"/>
  <c r="AF219" i="11" s="1"/>
  <c r="S219" i="11"/>
  <c r="Q219" i="11"/>
  <c r="N219" i="11"/>
  <c r="K219" i="11"/>
  <c r="AF218" i="11"/>
  <c r="AD218" i="11"/>
  <c r="AE218" i="11" s="1"/>
  <c r="S218" i="11"/>
  <c r="Q218" i="11"/>
  <c r="N218" i="11"/>
  <c r="K218" i="11"/>
  <c r="AF217" i="11"/>
  <c r="AE217" i="11"/>
  <c r="AD217" i="11"/>
  <c r="S217" i="11"/>
  <c r="Q217" i="11"/>
  <c r="N217" i="11"/>
  <c r="K217" i="11"/>
  <c r="AD216" i="11"/>
  <c r="S216" i="11"/>
  <c r="Q216" i="11"/>
  <c r="N216" i="11"/>
  <c r="K216" i="11"/>
  <c r="AF215" i="11"/>
  <c r="AE215" i="11"/>
  <c r="AD215" i="11"/>
  <c r="S215" i="11"/>
  <c r="Q215" i="11"/>
  <c r="N215" i="11"/>
  <c r="K215" i="11"/>
  <c r="AF214" i="11"/>
  <c r="AE214" i="11"/>
  <c r="AD214" i="11"/>
  <c r="S214" i="11"/>
  <c r="Q214" i="11"/>
  <c r="N214" i="11"/>
  <c r="K214" i="11"/>
  <c r="AD213" i="11"/>
  <c r="S213" i="11"/>
  <c r="Q213" i="11"/>
  <c r="N213" i="11"/>
  <c r="K213" i="11"/>
  <c r="AD212" i="11"/>
  <c r="S212" i="11"/>
  <c r="Q212" i="11"/>
  <c r="N212" i="11"/>
  <c r="K212" i="11"/>
  <c r="AF211" i="11"/>
  <c r="AE211" i="11"/>
  <c r="AD211" i="11"/>
  <c r="S211" i="11"/>
  <c r="Q211" i="11"/>
  <c r="N211" i="11"/>
  <c r="K211" i="11"/>
  <c r="AF210" i="11"/>
  <c r="AD210" i="11"/>
  <c r="AE210" i="11" s="1"/>
  <c r="S210" i="11"/>
  <c r="Q210" i="11"/>
  <c r="N210" i="11"/>
  <c r="K210" i="11"/>
  <c r="AF209" i="11"/>
  <c r="AE209" i="11"/>
  <c r="AD209" i="11"/>
  <c r="S209" i="11"/>
  <c r="Q209" i="11"/>
  <c r="N209" i="11"/>
  <c r="K209" i="11"/>
  <c r="E208" i="11"/>
  <c r="AF207" i="11"/>
  <c r="AE207" i="11"/>
  <c r="AD207" i="11"/>
  <c r="S207" i="11"/>
  <c r="Q207" i="11"/>
  <c r="N207" i="11"/>
  <c r="K207" i="11"/>
  <c r="AF206" i="11"/>
  <c r="AD206" i="11"/>
  <c r="AE206" i="11" s="1"/>
  <c r="S206" i="11"/>
  <c r="Q206" i="11"/>
  <c r="N206" i="11"/>
  <c r="K206" i="11"/>
  <c r="AF205" i="11"/>
  <c r="AE205" i="11"/>
  <c r="AD205" i="11"/>
  <c r="S205" i="11"/>
  <c r="Q205" i="11"/>
  <c r="N205" i="11"/>
  <c r="K205" i="11"/>
  <c r="AF204" i="11"/>
  <c r="AE204" i="11"/>
  <c r="AD204" i="11"/>
  <c r="S204" i="11"/>
  <c r="Q204" i="11"/>
  <c r="N204" i="11"/>
  <c r="K204" i="11"/>
  <c r="AD203" i="11"/>
  <c r="AF203" i="11" s="1"/>
  <c r="S203" i="11"/>
  <c r="Q203" i="11"/>
  <c r="N203" i="11"/>
  <c r="K203" i="11"/>
  <c r="AF202" i="11"/>
  <c r="AD202" i="11"/>
  <c r="AE202" i="11" s="1"/>
  <c r="S202" i="11"/>
  <c r="Q202" i="11"/>
  <c r="N202" i="11"/>
  <c r="K202" i="11"/>
  <c r="AD201" i="11"/>
  <c r="AF201" i="11" s="1"/>
  <c r="S201" i="11"/>
  <c r="Q201" i="11"/>
  <c r="N201" i="11"/>
  <c r="K201" i="11"/>
  <c r="AF200" i="11"/>
  <c r="AD200" i="11"/>
  <c r="AE200" i="11" s="1"/>
  <c r="S200" i="11"/>
  <c r="Q200" i="11"/>
  <c r="N200" i="11"/>
  <c r="K200" i="11"/>
  <c r="AD199" i="11"/>
  <c r="AF199" i="11" s="1"/>
  <c r="S199" i="11"/>
  <c r="Q199" i="11"/>
  <c r="N199" i="11"/>
  <c r="K199" i="11"/>
  <c r="AD198" i="11"/>
  <c r="AF198" i="11" s="1"/>
  <c r="S198" i="11"/>
  <c r="Q198" i="11"/>
  <c r="N198" i="11"/>
  <c r="K198" i="11"/>
  <c r="AF197" i="11"/>
  <c r="AE197" i="11"/>
  <c r="AD197" i="11"/>
  <c r="S197" i="11"/>
  <c r="Q197" i="11"/>
  <c r="N197" i="11"/>
  <c r="K197" i="11"/>
  <c r="AF196" i="11"/>
  <c r="AD196" i="11"/>
  <c r="AE196" i="11" s="1"/>
  <c r="S196" i="11"/>
  <c r="Q196" i="11"/>
  <c r="N196" i="11"/>
  <c r="K196" i="11"/>
  <c r="AE195" i="11"/>
  <c r="AD195" i="11"/>
  <c r="AF195" i="11" s="1"/>
  <c r="S195" i="11"/>
  <c r="Q195" i="11"/>
  <c r="N195" i="11"/>
  <c r="K195" i="11"/>
  <c r="AD194" i="11"/>
  <c r="AF194" i="11" s="1"/>
  <c r="S194" i="11"/>
  <c r="Q194" i="11"/>
  <c r="N194" i="11"/>
  <c r="K194" i="11"/>
  <c r="AF193" i="11"/>
  <c r="AD193" i="11"/>
  <c r="AE193" i="11" s="1"/>
  <c r="S193" i="11"/>
  <c r="Q193" i="11"/>
  <c r="N193" i="11"/>
  <c r="K193" i="11"/>
  <c r="AF192" i="11"/>
  <c r="AD192" i="11"/>
  <c r="AE192" i="11" s="1"/>
  <c r="S192" i="11"/>
  <c r="Q192" i="11"/>
  <c r="N192" i="11"/>
  <c r="K192" i="11"/>
  <c r="AF191" i="11"/>
  <c r="AE191" i="11"/>
  <c r="AD191" i="11"/>
  <c r="S191" i="11"/>
  <c r="Q191" i="11"/>
  <c r="N191" i="11"/>
  <c r="K191" i="11"/>
  <c r="AE190" i="11"/>
  <c r="AD190" i="11"/>
  <c r="AF190" i="11" s="1"/>
  <c r="S190" i="11"/>
  <c r="Q190" i="11"/>
  <c r="N190" i="11"/>
  <c r="K190" i="11"/>
  <c r="AF189" i="11"/>
  <c r="AE189" i="11"/>
  <c r="AD189" i="11"/>
  <c r="S189" i="11"/>
  <c r="Q189" i="11"/>
  <c r="N189" i="11"/>
  <c r="K189" i="11"/>
  <c r="AD188" i="11"/>
  <c r="AE188" i="11" s="1"/>
  <c r="S188" i="11"/>
  <c r="Q188" i="11"/>
  <c r="N188" i="11"/>
  <c r="K188" i="11"/>
  <c r="AD187" i="11"/>
  <c r="AF187" i="11" s="1"/>
  <c r="S187" i="11"/>
  <c r="Q187" i="11"/>
  <c r="N187" i="11"/>
  <c r="K187" i="11"/>
  <c r="AD186" i="11"/>
  <c r="AF186" i="11" s="1"/>
  <c r="S186" i="11"/>
  <c r="Q186" i="11"/>
  <c r="N186" i="11"/>
  <c r="K186" i="11"/>
  <c r="AD185" i="11"/>
  <c r="AF185" i="11" s="1"/>
  <c r="S185" i="11"/>
  <c r="Q185" i="11"/>
  <c r="N185" i="11"/>
  <c r="K185" i="11"/>
  <c r="AF184" i="11"/>
  <c r="AD184" i="11"/>
  <c r="AE184" i="11" s="1"/>
  <c r="S184" i="11"/>
  <c r="Q184" i="11"/>
  <c r="N184" i="11"/>
  <c r="K184" i="11"/>
  <c r="AE183" i="11"/>
  <c r="AD183" i="11"/>
  <c r="AF183" i="11" s="1"/>
  <c r="S183" i="11"/>
  <c r="Q183" i="11"/>
  <c r="N183" i="11"/>
  <c r="K183" i="11"/>
  <c r="AD182" i="11"/>
  <c r="AF182" i="11" s="1"/>
  <c r="S182" i="11"/>
  <c r="R182" i="11"/>
  <c r="R183" i="11" s="1"/>
  <c r="R184" i="11" s="1"/>
  <c r="Q182" i="11"/>
  <c r="N182" i="11"/>
  <c r="K182" i="11"/>
  <c r="AF181" i="11"/>
  <c r="AE181" i="11"/>
  <c r="AD181" i="11"/>
  <c r="S181" i="11"/>
  <c r="T181" i="11" s="1"/>
  <c r="Q181" i="11"/>
  <c r="N181" i="11"/>
  <c r="K181" i="11"/>
  <c r="AF180" i="11"/>
  <c r="AE180" i="11"/>
  <c r="AD180" i="11"/>
  <c r="S180" i="11"/>
  <c r="Q180" i="11"/>
  <c r="N180" i="11"/>
  <c r="K180" i="11"/>
  <c r="AD179" i="11"/>
  <c r="S179" i="11"/>
  <c r="Q179" i="11"/>
  <c r="N179" i="11"/>
  <c r="K179" i="11"/>
  <c r="AF178" i="11"/>
  <c r="AD178" i="11"/>
  <c r="AE178" i="11" s="1"/>
  <c r="E178" i="11"/>
  <c r="AF177" i="11"/>
  <c r="AE177" i="11"/>
  <c r="AD177" i="11"/>
  <c r="S177" i="11"/>
  <c r="Q177" i="11"/>
  <c r="N177" i="11"/>
  <c r="K177" i="11"/>
  <c r="AD176" i="11"/>
  <c r="AF176" i="11" s="1"/>
  <c r="S176" i="11"/>
  <c r="Q176" i="11"/>
  <c r="N176" i="11"/>
  <c r="K176" i="11"/>
  <c r="AD175" i="11"/>
  <c r="AE175" i="11" s="1"/>
  <c r="S175" i="11"/>
  <c r="N175" i="11"/>
  <c r="K175" i="11"/>
  <c r="AF174" i="11"/>
  <c r="AE174" i="11"/>
  <c r="AD174" i="11"/>
  <c r="S174" i="11"/>
  <c r="Q174" i="11"/>
  <c r="N174" i="11"/>
  <c r="K174" i="11"/>
  <c r="AD173" i="11"/>
  <c r="AE173" i="11" s="1"/>
  <c r="S173" i="11"/>
  <c r="Q173" i="11"/>
  <c r="N173" i="11"/>
  <c r="K173" i="11"/>
  <c r="AF172" i="11"/>
  <c r="AD172" i="11"/>
  <c r="AE172" i="11" s="1"/>
  <c r="S172" i="11"/>
  <c r="Q172" i="11"/>
  <c r="N172" i="11"/>
  <c r="K172" i="11"/>
  <c r="AD171" i="11"/>
  <c r="AF171" i="11" s="1"/>
  <c r="S171" i="11"/>
  <c r="Q171" i="11"/>
  <c r="N171" i="11"/>
  <c r="K171" i="11"/>
  <c r="AD170" i="11"/>
  <c r="AF170" i="11" s="1"/>
  <c r="S170" i="11"/>
  <c r="Q170" i="11"/>
  <c r="N170" i="11"/>
  <c r="K170" i="11"/>
  <c r="AF169" i="11"/>
  <c r="AE169" i="11"/>
  <c r="AD169" i="11"/>
  <c r="S169" i="11"/>
  <c r="Q169" i="11"/>
  <c r="N169" i="11"/>
  <c r="K169" i="11"/>
  <c r="AF168" i="11"/>
  <c r="AE168" i="11"/>
  <c r="AD168" i="11"/>
  <c r="S168" i="11"/>
  <c r="Q168" i="11"/>
  <c r="N168" i="11"/>
  <c r="K168" i="11"/>
  <c r="AD167" i="11"/>
  <c r="AF167" i="11" s="1"/>
  <c r="S167" i="11"/>
  <c r="Q167" i="11"/>
  <c r="N167" i="11"/>
  <c r="K167" i="11"/>
  <c r="AF166" i="11"/>
  <c r="AE166" i="11"/>
  <c r="AD166" i="11"/>
  <c r="S166" i="11"/>
  <c r="Q166" i="11"/>
  <c r="N166" i="11"/>
  <c r="K166" i="11"/>
  <c r="AF165" i="11"/>
  <c r="AE165" i="11"/>
  <c r="AD165" i="11"/>
  <c r="S165" i="11"/>
  <c r="R165" i="11"/>
  <c r="Q165" i="11"/>
  <c r="N165" i="11"/>
  <c r="K165" i="11"/>
  <c r="AF164" i="11"/>
  <c r="AD164" i="11"/>
  <c r="AE164" i="11" s="1"/>
  <c r="T164" i="11"/>
  <c r="S164" i="11"/>
  <c r="Q164" i="11"/>
  <c r="N164" i="11"/>
  <c r="K164" i="11"/>
  <c r="AF163" i="11"/>
  <c r="AD163" i="11"/>
  <c r="AE163" i="11" s="1"/>
  <c r="S163" i="11"/>
  <c r="Q163" i="11"/>
  <c r="N163" i="11"/>
  <c r="K163" i="11"/>
  <c r="AD162" i="11"/>
  <c r="S162" i="11"/>
  <c r="Q162" i="11"/>
  <c r="N162" i="11"/>
  <c r="K162" i="11"/>
  <c r="AF161" i="11"/>
  <c r="AE161" i="11"/>
  <c r="AD161" i="11"/>
  <c r="S161" i="11"/>
  <c r="Q161" i="11"/>
  <c r="N161" i="11"/>
  <c r="K161" i="11"/>
  <c r="AF160" i="11"/>
  <c r="AE160" i="11"/>
  <c r="AD160" i="11"/>
  <c r="S160" i="11"/>
  <c r="Q160" i="11"/>
  <c r="N160" i="11"/>
  <c r="K160" i="11"/>
  <c r="E159" i="11"/>
  <c r="AD158" i="11"/>
  <c r="AF158" i="11" s="1"/>
  <c r="S158" i="11"/>
  <c r="Q158" i="11"/>
  <c r="N158" i="11"/>
  <c r="K158" i="11"/>
  <c r="AD157" i="11"/>
  <c r="S157" i="11"/>
  <c r="Q157" i="11"/>
  <c r="N157" i="11"/>
  <c r="K157" i="11"/>
  <c r="AD156" i="11"/>
  <c r="AF156" i="11" s="1"/>
  <c r="S156" i="11"/>
  <c r="Q156" i="11"/>
  <c r="N156" i="11"/>
  <c r="K156" i="11"/>
  <c r="AF155" i="11"/>
  <c r="AD155" i="11"/>
  <c r="AE155" i="11" s="1"/>
  <c r="S155" i="11"/>
  <c r="Q155" i="11"/>
  <c r="N155" i="11"/>
  <c r="K155" i="11"/>
  <c r="AD154" i="11"/>
  <c r="AE154" i="11" s="1"/>
  <c r="S154" i="11"/>
  <c r="Q154" i="11"/>
  <c r="N154" i="11"/>
  <c r="K154" i="11"/>
  <c r="AD153" i="11"/>
  <c r="S153" i="11"/>
  <c r="Q153" i="11"/>
  <c r="N153" i="11"/>
  <c r="K153" i="11"/>
  <c r="AF152" i="11"/>
  <c r="AE152" i="11"/>
  <c r="AD152" i="11"/>
  <c r="S152" i="11"/>
  <c r="Q152" i="11"/>
  <c r="N152" i="11"/>
  <c r="K152" i="11"/>
  <c r="AD151" i="11"/>
  <c r="AF151" i="11" s="1"/>
  <c r="S151" i="11"/>
  <c r="Q151" i="11"/>
  <c r="N151" i="11"/>
  <c r="K151" i="11"/>
  <c r="AE150" i="11"/>
  <c r="AD150" i="11"/>
  <c r="AF150" i="11" s="1"/>
  <c r="S150" i="11"/>
  <c r="Q150" i="11"/>
  <c r="N150" i="11"/>
  <c r="K150" i="11"/>
  <c r="AD149" i="11"/>
  <c r="AF149" i="11" s="1"/>
  <c r="S149" i="11"/>
  <c r="Q149" i="11"/>
  <c r="N149" i="11"/>
  <c r="K149" i="11"/>
  <c r="AD148" i="11"/>
  <c r="S148" i="11"/>
  <c r="Q148" i="11"/>
  <c r="N148" i="11"/>
  <c r="K148" i="11"/>
  <c r="AF147" i="11"/>
  <c r="AD147" i="11"/>
  <c r="AE147" i="11" s="1"/>
  <c r="S147" i="11"/>
  <c r="Q147" i="11"/>
  <c r="N147" i="11"/>
  <c r="K147" i="11"/>
  <c r="AF146" i="11"/>
  <c r="AD146" i="11"/>
  <c r="AE146" i="11" s="1"/>
  <c r="S146" i="11"/>
  <c r="Q146" i="11"/>
  <c r="N146" i="11"/>
  <c r="K146" i="11"/>
  <c r="AE145" i="11"/>
  <c r="AD145" i="11"/>
  <c r="AF145" i="11" s="1"/>
  <c r="S145" i="11"/>
  <c r="Q145" i="11"/>
  <c r="N145" i="11"/>
  <c r="K145" i="11"/>
  <c r="AF144" i="11"/>
  <c r="AE144" i="11"/>
  <c r="AD144" i="11"/>
  <c r="S144" i="11"/>
  <c r="Q144" i="11"/>
  <c r="N144" i="11"/>
  <c r="K144" i="11"/>
  <c r="AF143" i="11"/>
  <c r="AE143" i="11"/>
  <c r="AD143" i="11"/>
  <c r="S143" i="11"/>
  <c r="Q143" i="11"/>
  <c r="N143" i="11"/>
  <c r="K143" i="11"/>
  <c r="AD142" i="11"/>
  <c r="AF142" i="11" s="1"/>
  <c r="S142" i="11"/>
  <c r="Q142" i="11"/>
  <c r="N142" i="11"/>
  <c r="K142" i="11"/>
  <c r="AD141" i="11"/>
  <c r="S141" i="11"/>
  <c r="Q141" i="11"/>
  <c r="N141" i="11"/>
  <c r="K141" i="11"/>
  <c r="AD140" i="11"/>
  <c r="AF140" i="11" s="1"/>
  <c r="S140" i="11"/>
  <c r="Q140" i="11"/>
  <c r="N140" i="11"/>
  <c r="K140" i="11"/>
  <c r="AF139" i="11"/>
  <c r="AD139" i="11"/>
  <c r="AE139" i="11" s="1"/>
  <c r="S139" i="11"/>
  <c r="Q139" i="11"/>
  <c r="N139" i="11"/>
  <c r="K139" i="11"/>
  <c r="AD138" i="11"/>
  <c r="AF138" i="11" s="1"/>
  <c r="S138" i="11"/>
  <c r="Q138" i="11"/>
  <c r="N138" i="11"/>
  <c r="K138" i="11"/>
  <c r="AD137" i="11"/>
  <c r="S137" i="11"/>
  <c r="Q137" i="11"/>
  <c r="N137" i="11"/>
  <c r="K137" i="11"/>
  <c r="AF136" i="11"/>
  <c r="AE136" i="11"/>
  <c r="AD136" i="11"/>
  <c r="V136" i="11"/>
  <c r="U136" i="11"/>
  <c r="S136" i="11"/>
  <c r="Q136" i="11"/>
  <c r="P136" i="11"/>
  <c r="N136" i="11"/>
  <c r="K136" i="11"/>
  <c r="AF135" i="11"/>
  <c r="AE135" i="11"/>
  <c r="AD135" i="11"/>
  <c r="S135" i="11"/>
  <c r="Q135" i="11"/>
  <c r="N135" i="11"/>
  <c r="K135" i="11"/>
  <c r="AD134" i="11"/>
  <c r="S134" i="11"/>
  <c r="Q134" i="11"/>
  <c r="N134" i="11"/>
  <c r="K134" i="11"/>
  <c r="E133" i="11"/>
  <c r="AF132" i="11"/>
  <c r="AD132" i="11"/>
  <c r="AE132" i="11" s="1"/>
  <c r="S132" i="11"/>
  <c r="Q132" i="11"/>
  <c r="N132" i="11"/>
  <c r="K132" i="11"/>
  <c r="F132" i="11"/>
  <c r="AF131" i="11"/>
  <c r="AD131" i="11"/>
  <c r="AE131" i="11" s="1"/>
  <c r="S131" i="11"/>
  <c r="Q131" i="11"/>
  <c r="N131" i="11"/>
  <c r="K131" i="11"/>
  <c r="F131" i="11"/>
  <c r="AF130" i="11"/>
  <c r="AD130" i="11"/>
  <c r="AE130" i="11" s="1"/>
  <c r="S130" i="11"/>
  <c r="Q130" i="11"/>
  <c r="N130" i="11"/>
  <c r="K130" i="11"/>
  <c r="AF129" i="11"/>
  <c r="AD129" i="11"/>
  <c r="AE129" i="11" s="1"/>
  <c r="S129" i="11"/>
  <c r="Q129" i="11"/>
  <c r="N129" i="11"/>
  <c r="K129" i="11"/>
  <c r="AD128" i="11"/>
  <c r="AF128" i="11" s="1"/>
  <c r="S128" i="11"/>
  <c r="Q128" i="11"/>
  <c r="N128" i="11"/>
  <c r="K128" i="11"/>
  <c r="AF127" i="11"/>
  <c r="AE127" i="11"/>
  <c r="AD127" i="11"/>
  <c r="S127" i="11"/>
  <c r="Q127" i="11"/>
  <c r="N127" i="11"/>
  <c r="K127" i="11"/>
  <c r="AF126" i="11"/>
  <c r="AE126" i="11"/>
  <c r="AD126" i="11"/>
  <c r="S126" i="11"/>
  <c r="Q126" i="11"/>
  <c r="N126" i="11"/>
  <c r="K126" i="11"/>
  <c r="AD125" i="11"/>
  <c r="S125" i="11"/>
  <c r="Q125" i="11"/>
  <c r="N125" i="11"/>
  <c r="K125" i="11"/>
  <c r="AD124" i="11"/>
  <c r="S124" i="11"/>
  <c r="Q124" i="11"/>
  <c r="N124" i="11"/>
  <c r="K124" i="11"/>
  <c r="AF123" i="11"/>
  <c r="AD123" i="11"/>
  <c r="AE123" i="11" s="1"/>
  <c r="S123" i="11"/>
  <c r="Q123" i="11"/>
  <c r="N123" i="11"/>
  <c r="K123" i="11"/>
  <c r="AD122" i="11"/>
  <c r="AE122" i="11" s="1"/>
  <c r="S122" i="11"/>
  <c r="Q122" i="11"/>
  <c r="N122" i="11"/>
  <c r="K122" i="11"/>
  <c r="AF121" i="11"/>
  <c r="AD121" i="11"/>
  <c r="AE121" i="11" s="1"/>
  <c r="S121" i="11"/>
  <c r="Q121" i="11"/>
  <c r="N121" i="11"/>
  <c r="K121" i="11"/>
  <c r="AD120" i="11"/>
  <c r="AF120" i="11" s="1"/>
  <c r="S120" i="11"/>
  <c r="Q120" i="11"/>
  <c r="N120" i="11"/>
  <c r="K120" i="11"/>
  <c r="AD119" i="11"/>
  <c r="AF119" i="11" s="1"/>
  <c r="S119" i="11"/>
  <c r="Q119" i="11"/>
  <c r="N119" i="11"/>
  <c r="K119" i="11"/>
  <c r="AF118" i="11"/>
  <c r="AE118" i="11"/>
  <c r="AD118" i="11"/>
  <c r="S118" i="11"/>
  <c r="Q118" i="11"/>
  <c r="N118" i="11"/>
  <c r="K118" i="11"/>
  <c r="AF117" i="11"/>
  <c r="AD117" i="11"/>
  <c r="AE117" i="11" s="1"/>
  <c r="S117" i="11"/>
  <c r="Q117" i="11"/>
  <c r="N117" i="11"/>
  <c r="K117" i="11"/>
  <c r="AD116" i="11"/>
  <c r="S116" i="11"/>
  <c r="Q116" i="11"/>
  <c r="N116" i="11"/>
  <c r="K116" i="11"/>
  <c r="E115" i="11"/>
  <c r="AF114" i="11"/>
  <c r="AE114" i="11"/>
  <c r="AD114" i="11"/>
  <c r="S114" i="11"/>
  <c r="Q114" i="11"/>
  <c r="N114" i="11"/>
  <c r="K114" i="11"/>
  <c r="AD113" i="11"/>
  <c r="S113" i="11"/>
  <c r="Q113" i="11"/>
  <c r="N113" i="11"/>
  <c r="K113" i="11"/>
  <c r="AD112" i="11"/>
  <c r="S112" i="11"/>
  <c r="Q112" i="11"/>
  <c r="N112" i="11"/>
  <c r="K112" i="11"/>
  <c r="AE111" i="11"/>
  <c r="AD111" i="11"/>
  <c r="AF111" i="11" s="1"/>
  <c r="S111" i="11"/>
  <c r="Q111" i="11"/>
  <c r="N111" i="11"/>
  <c r="K111" i="11"/>
  <c r="AD110" i="11"/>
  <c r="AF110" i="11" s="1"/>
  <c r="S110" i="11"/>
  <c r="Q110" i="11"/>
  <c r="N110" i="11"/>
  <c r="K110" i="11"/>
  <c r="AF109" i="11"/>
  <c r="AE109" i="11"/>
  <c r="AD109" i="11"/>
  <c r="S109" i="11"/>
  <c r="Q109" i="11"/>
  <c r="N109" i="11"/>
  <c r="K109" i="11"/>
  <c r="AD108" i="11"/>
  <c r="S108" i="11"/>
  <c r="Q108" i="11"/>
  <c r="N108" i="11"/>
  <c r="K108" i="11"/>
  <c r="AD107" i="11"/>
  <c r="AE107" i="11" s="1"/>
  <c r="S107" i="11"/>
  <c r="Q107" i="11"/>
  <c r="N107" i="11"/>
  <c r="K107" i="11"/>
  <c r="AF106" i="11"/>
  <c r="AE106" i="11"/>
  <c r="AD106" i="11"/>
  <c r="S106" i="11"/>
  <c r="Q106" i="11"/>
  <c r="N106" i="11"/>
  <c r="K106" i="11"/>
  <c r="AD105" i="11"/>
  <c r="AF105" i="11" s="1"/>
  <c r="S105" i="11"/>
  <c r="Q105" i="11"/>
  <c r="N105" i="11"/>
  <c r="K105" i="11"/>
  <c r="AD104" i="11"/>
  <c r="S104" i="11"/>
  <c r="Q104" i="11"/>
  <c r="N104" i="11"/>
  <c r="K104" i="11"/>
  <c r="AD103" i="11"/>
  <c r="AE103" i="11" s="1"/>
  <c r="S103" i="11"/>
  <c r="Q103" i="11"/>
  <c r="N103" i="11"/>
  <c r="K103" i="11"/>
  <c r="E102" i="11"/>
  <c r="AE101" i="11"/>
  <c r="AD101" i="11"/>
  <c r="AF101" i="11" s="1"/>
  <c r="S101" i="11"/>
  <c r="Q101" i="11"/>
  <c r="N101" i="11"/>
  <c r="K101" i="11"/>
  <c r="AF100" i="11"/>
  <c r="AD100" i="11"/>
  <c r="AE100" i="11" s="1"/>
  <c r="S100" i="11"/>
  <c r="Q100" i="11"/>
  <c r="N100" i="11"/>
  <c r="K100" i="11"/>
  <c r="AD99" i="11"/>
  <c r="S99" i="11"/>
  <c r="Q99" i="11"/>
  <c r="N99" i="11"/>
  <c r="K99" i="11"/>
  <c r="AD98" i="11"/>
  <c r="S98" i="11"/>
  <c r="Q98" i="11"/>
  <c r="N98" i="11"/>
  <c r="K98" i="11"/>
  <c r="AF97" i="11"/>
  <c r="AE97" i="11"/>
  <c r="AD97" i="11"/>
  <c r="S97" i="11"/>
  <c r="Q97" i="11"/>
  <c r="N97" i="11"/>
  <c r="K97" i="11"/>
  <c r="AD96" i="11"/>
  <c r="AE96" i="11" s="1"/>
  <c r="S96" i="11"/>
  <c r="Q96" i="11"/>
  <c r="N96" i="11"/>
  <c r="K96" i="11"/>
  <c r="AE95" i="11"/>
  <c r="AD95" i="11"/>
  <c r="AF95" i="11" s="1"/>
  <c r="S95" i="11"/>
  <c r="Q95" i="11"/>
  <c r="N95" i="11"/>
  <c r="K95" i="11"/>
  <c r="AF94" i="11"/>
  <c r="AE94" i="11"/>
  <c r="AD94" i="11"/>
  <c r="S94" i="11"/>
  <c r="Q94" i="11"/>
  <c r="N94" i="11"/>
  <c r="K94" i="11"/>
  <c r="AF93" i="11"/>
  <c r="AE93" i="11"/>
  <c r="AD93" i="11"/>
  <c r="S93" i="11"/>
  <c r="Q93" i="11"/>
  <c r="N93" i="11"/>
  <c r="K93" i="11"/>
  <c r="AF92" i="11"/>
  <c r="AD92" i="11"/>
  <c r="AE92" i="11" s="1"/>
  <c r="S92" i="11"/>
  <c r="Q92" i="11"/>
  <c r="N92" i="11"/>
  <c r="K92" i="11"/>
  <c r="AD91" i="11"/>
  <c r="AF91" i="11" s="1"/>
  <c r="S91" i="11"/>
  <c r="Q91" i="11"/>
  <c r="N91" i="11"/>
  <c r="K91" i="11"/>
  <c r="AF90" i="11"/>
  <c r="AE90" i="11"/>
  <c r="AD90" i="11"/>
  <c r="S90" i="11"/>
  <c r="Q90" i="11"/>
  <c r="N90" i="11"/>
  <c r="K90" i="11"/>
  <c r="AF89" i="11"/>
  <c r="AE89" i="11"/>
  <c r="AD89" i="11"/>
  <c r="S89" i="11"/>
  <c r="Q89" i="11"/>
  <c r="N89" i="11"/>
  <c r="K89" i="11"/>
  <c r="AF88" i="11"/>
  <c r="AE88" i="11"/>
  <c r="AD88" i="11"/>
  <c r="S88" i="11"/>
  <c r="Q88" i="11"/>
  <c r="N88" i="11"/>
  <c r="K88" i="11"/>
  <c r="AE87" i="11"/>
  <c r="AD87" i="11"/>
  <c r="AF87" i="11" s="1"/>
  <c r="S87" i="11"/>
  <c r="Q87" i="11"/>
  <c r="N87" i="11"/>
  <c r="K87" i="11"/>
  <c r="AD86" i="11"/>
  <c r="S86" i="11"/>
  <c r="Q86" i="11"/>
  <c r="N86" i="11"/>
  <c r="K86" i="11"/>
  <c r="AD85" i="11"/>
  <c r="AF85" i="11" s="1"/>
  <c r="S85" i="11"/>
  <c r="Q85" i="11"/>
  <c r="N85" i="11"/>
  <c r="K85" i="11"/>
  <c r="AF84" i="11"/>
  <c r="AD84" i="11"/>
  <c r="AE84" i="11" s="1"/>
  <c r="N84" i="11"/>
  <c r="K84" i="11"/>
  <c r="AD83" i="11"/>
  <c r="AF83" i="11" s="1"/>
  <c r="S83" i="11"/>
  <c r="Q83" i="11"/>
  <c r="N83" i="11"/>
  <c r="K83" i="11"/>
  <c r="AF82" i="11"/>
  <c r="AE82" i="11"/>
  <c r="AD82" i="11"/>
  <c r="S82" i="11"/>
  <c r="Q82" i="11"/>
  <c r="N82" i="11"/>
  <c r="K82" i="11"/>
  <c r="AD81" i="11"/>
  <c r="AE81" i="11" s="1"/>
  <c r="S81" i="11"/>
  <c r="Q81" i="11"/>
  <c r="N81" i="11"/>
  <c r="K81" i="11"/>
  <c r="AD80" i="11"/>
  <c r="AF80" i="11" s="1"/>
  <c r="S80" i="11"/>
  <c r="Q80" i="11"/>
  <c r="N80" i="11"/>
  <c r="K80" i="11"/>
  <c r="AD79" i="11"/>
  <c r="AF79" i="11" s="1"/>
  <c r="S79" i="11"/>
  <c r="Q79" i="11"/>
  <c r="N79" i="11"/>
  <c r="K79" i="11"/>
  <c r="AD78" i="11"/>
  <c r="S78" i="11"/>
  <c r="Q78" i="11"/>
  <c r="N78" i="11"/>
  <c r="K78" i="11"/>
  <c r="AD77" i="11"/>
  <c r="S77" i="11"/>
  <c r="Q77" i="11"/>
  <c r="N77" i="11"/>
  <c r="K77" i="11"/>
  <c r="AE76" i="11"/>
  <c r="AD76" i="11"/>
  <c r="AF76" i="11" s="1"/>
  <c r="S76" i="11"/>
  <c r="Q76" i="11"/>
  <c r="N76" i="11"/>
  <c r="K76" i="11"/>
  <c r="AD75" i="11"/>
  <c r="AE75" i="11" s="1"/>
  <c r="S75" i="11"/>
  <c r="Q75" i="11"/>
  <c r="N75" i="11"/>
  <c r="K75" i="11"/>
  <c r="AF74" i="11"/>
  <c r="AE74" i="11"/>
  <c r="AD74" i="11"/>
  <c r="S74" i="11"/>
  <c r="Q74" i="11"/>
  <c r="N74" i="11"/>
  <c r="K74" i="11"/>
  <c r="E73" i="11"/>
  <c r="AF72" i="11"/>
  <c r="AE72" i="11"/>
  <c r="AD72" i="11"/>
  <c r="S72" i="11"/>
  <c r="Q72" i="11"/>
  <c r="N72" i="11"/>
  <c r="K72" i="11"/>
  <c r="AE71" i="11"/>
  <c r="AD71" i="11"/>
  <c r="AF71" i="11" s="1"/>
  <c r="S71" i="11"/>
  <c r="Q71" i="11"/>
  <c r="N71" i="11"/>
  <c r="K71" i="11"/>
  <c r="AE70" i="11"/>
  <c r="AD70" i="11"/>
  <c r="AF70" i="11" s="1"/>
  <c r="S70" i="11"/>
  <c r="Q70" i="11"/>
  <c r="N70" i="11"/>
  <c r="K70" i="11"/>
  <c r="AE69" i="11"/>
  <c r="AD69" i="11"/>
  <c r="AF69" i="11" s="1"/>
  <c r="S69" i="11"/>
  <c r="Q69" i="11"/>
  <c r="N69" i="11"/>
  <c r="K69" i="11"/>
  <c r="AE68" i="11"/>
  <c r="AD68" i="11"/>
  <c r="AF68" i="11" s="1"/>
  <c r="S68" i="11"/>
  <c r="Q68" i="11"/>
  <c r="N68" i="11"/>
  <c r="K68" i="11"/>
  <c r="AF67" i="11"/>
  <c r="AE67" i="11"/>
  <c r="AD67" i="11"/>
  <c r="S67" i="11"/>
  <c r="Q67" i="11"/>
  <c r="N67" i="11"/>
  <c r="K67" i="11"/>
  <c r="AF66" i="11"/>
  <c r="AE66" i="11"/>
  <c r="AD66" i="11"/>
  <c r="S66" i="11"/>
  <c r="Q66" i="11"/>
  <c r="N66" i="11"/>
  <c r="K66" i="11"/>
  <c r="AF65" i="11"/>
  <c r="AD65" i="11"/>
  <c r="AE65" i="11" s="1"/>
  <c r="S65" i="11"/>
  <c r="Q65" i="11"/>
  <c r="N65" i="11"/>
  <c r="K65" i="11"/>
  <c r="AF64" i="11"/>
  <c r="AE64" i="11"/>
  <c r="AD64" i="11"/>
  <c r="S64" i="11"/>
  <c r="Q64" i="11"/>
  <c r="N64" i="11"/>
  <c r="K64" i="11"/>
  <c r="AF63" i="11"/>
  <c r="AE63" i="11"/>
  <c r="AD63" i="11"/>
  <c r="S63" i="11"/>
  <c r="Q63" i="11"/>
  <c r="N63" i="11"/>
  <c r="K63" i="11"/>
  <c r="AD62" i="11"/>
  <c r="AF62" i="11" s="1"/>
  <c r="S62" i="11"/>
  <c r="Q62" i="11"/>
  <c r="N62" i="11"/>
  <c r="K62" i="11"/>
  <c r="AF61" i="11"/>
  <c r="AE61" i="11"/>
  <c r="AD61" i="11"/>
  <c r="S61" i="11"/>
  <c r="Q61" i="11"/>
  <c r="N61" i="11"/>
  <c r="K61" i="11"/>
  <c r="AD60" i="11"/>
  <c r="AF60" i="11" s="1"/>
  <c r="S60" i="11"/>
  <c r="Q60" i="11"/>
  <c r="N60" i="11"/>
  <c r="K60" i="11"/>
  <c r="AE59" i="11"/>
  <c r="AD59" i="11"/>
  <c r="AF59" i="11" s="1"/>
  <c r="S59" i="11"/>
  <c r="Q59" i="11"/>
  <c r="N59" i="11"/>
  <c r="K59" i="11"/>
  <c r="AD58" i="11"/>
  <c r="AF58" i="11" s="1"/>
  <c r="S58" i="11"/>
  <c r="Q58" i="11"/>
  <c r="N58" i="11"/>
  <c r="K58" i="11"/>
  <c r="E57" i="11"/>
  <c r="AD56" i="11"/>
  <c r="S56" i="11"/>
  <c r="Q56" i="11"/>
  <c r="N56" i="11"/>
  <c r="K56" i="11"/>
  <c r="AD55" i="11"/>
  <c r="AE55" i="11" s="1"/>
  <c r="S55" i="11"/>
  <c r="Q55" i="11"/>
  <c r="N55" i="11"/>
  <c r="K55" i="11"/>
  <c r="AF54" i="11"/>
  <c r="AD54" i="11"/>
  <c r="AE54" i="11" s="1"/>
  <c r="S54" i="11"/>
  <c r="Q54" i="11"/>
  <c r="N54" i="11"/>
  <c r="K54" i="11"/>
  <c r="AF53" i="11"/>
  <c r="AE53" i="11"/>
  <c r="AD53" i="11"/>
  <c r="S53" i="11"/>
  <c r="Q53" i="11"/>
  <c r="N53" i="11"/>
  <c r="K53" i="11"/>
  <c r="AE52" i="11"/>
  <c r="AD52" i="11"/>
  <c r="AF52" i="11" s="1"/>
  <c r="S52" i="11"/>
  <c r="Q52" i="11"/>
  <c r="N52" i="11"/>
  <c r="K52" i="11"/>
  <c r="AF51" i="11"/>
  <c r="AD51" i="11"/>
  <c r="AE51" i="11" s="1"/>
  <c r="S51" i="11"/>
  <c r="Q51" i="11"/>
  <c r="N51" i="11"/>
  <c r="K51" i="11"/>
  <c r="AD50" i="11"/>
  <c r="AF50" i="11" s="1"/>
  <c r="S50" i="11"/>
  <c r="Q50" i="11"/>
  <c r="N50" i="11"/>
  <c r="K50" i="11"/>
  <c r="AD49" i="11"/>
  <c r="AF49" i="11" s="1"/>
  <c r="S49" i="11"/>
  <c r="Q49" i="11"/>
  <c r="N49" i="11"/>
  <c r="K49" i="11"/>
  <c r="AD48" i="11"/>
  <c r="S48" i="11"/>
  <c r="Q48" i="11"/>
  <c r="N48" i="11"/>
  <c r="K48" i="11"/>
  <c r="AD47" i="11"/>
  <c r="AE47" i="11" s="1"/>
  <c r="S47" i="11"/>
  <c r="Q47" i="11"/>
  <c r="N47" i="11"/>
  <c r="K47" i="11"/>
  <c r="AF46" i="11"/>
  <c r="AD46" i="11"/>
  <c r="AE46" i="11" s="1"/>
  <c r="S46" i="11"/>
  <c r="Q46" i="11"/>
  <c r="N46" i="11"/>
  <c r="K46" i="11"/>
  <c r="AF45" i="11"/>
  <c r="AE45" i="11"/>
  <c r="AD45" i="11"/>
  <c r="S45" i="11"/>
  <c r="Q45" i="11"/>
  <c r="N45" i="11"/>
  <c r="K45" i="11"/>
  <c r="AD44" i="11"/>
  <c r="S44" i="11"/>
  <c r="Q44" i="11"/>
  <c r="N44" i="11"/>
  <c r="K44" i="11"/>
  <c r="AD43" i="11"/>
  <c r="AF43" i="11" s="1"/>
  <c r="S43" i="11"/>
  <c r="Q43" i="11"/>
  <c r="N43" i="11"/>
  <c r="K43" i="11"/>
  <c r="AF42" i="11"/>
  <c r="AD42" i="11"/>
  <c r="AE42" i="11" s="1"/>
  <c r="S42" i="11"/>
  <c r="Q42" i="11"/>
  <c r="N42" i="11"/>
  <c r="K42" i="11"/>
  <c r="AF41" i="11"/>
  <c r="AE41" i="11"/>
  <c r="AD41" i="11"/>
  <c r="S41" i="11"/>
  <c r="Q41" i="11"/>
  <c r="N41" i="11"/>
  <c r="K41" i="11"/>
  <c r="AD40" i="11"/>
  <c r="S40" i="11"/>
  <c r="Q40" i="11"/>
  <c r="N40" i="11"/>
  <c r="K40" i="11"/>
  <c r="AF39" i="11"/>
  <c r="AE39" i="11"/>
  <c r="AD39" i="11"/>
  <c r="S39" i="11"/>
  <c r="Q39" i="11"/>
  <c r="N39" i="11"/>
  <c r="K39" i="11"/>
  <c r="AD38" i="11"/>
  <c r="AE38" i="11" s="1"/>
  <c r="S38" i="11"/>
  <c r="Q38" i="11"/>
  <c r="N38" i="11"/>
  <c r="K38" i="11"/>
  <c r="AF37" i="11"/>
  <c r="AE37" i="11"/>
  <c r="AD37" i="11"/>
  <c r="S37" i="11"/>
  <c r="N37" i="11"/>
  <c r="K37" i="11"/>
  <c r="AD36" i="11"/>
  <c r="AE36" i="11" s="1"/>
  <c r="S36" i="11"/>
  <c r="Q36" i="11"/>
  <c r="N36" i="11"/>
  <c r="K36" i="11"/>
  <c r="AE35" i="11"/>
  <c r="AD35" i="11"/>
  <c r="AF35" i="11" s="1"/>
  <c r="S35" i="11"/>
  <c r="Q35" i="11"/>
  <c r="N35" i="11"/>
  <c r="K35" i="11"/>
  <c r="AF34" i="11"/>
  <c r="AE34" i="11"/>
  <c r="AD34" i="11"/>
  <c r="S34" i="11"/>
  <c r="Q34" i="11"/>
  <c r="N34" i="11"/>
  <c r="K34" i="11"/>
  <c r="AD33" i="11"/>
  <c r="AF33" i="11" s="1"/>
  <c r="S33" i="11"/>
  <c r="Q33" i="11"/>
  <c r="N33" i="11"/>
  <c r="K33" i="11"/>
  <c r="AF32" i="11"/>
  <c r="AD32" i="11"/>
  <c r="AE32" i="11" s="1"/>
  <c r="S32" i="11"/>
  <c r="Q32" i="11"/>
  <c r="N32" i="11"/>
  <c r="K32" i="11"/>
  <c r="AF31" i="11"/>
  <c r="AE31" i="11"/>
  <c r="AD31" i="11"/>
  <c r="S31" i="11"/>
  <c r="Q31" i="11"/>
  <c r="N31" i="11"/>
  <c r="K31" i="11"/>
  <c r="AF30" i="11"/>
  <c r="AE30" i="11"/>
  <c r="AD30" i="11"/>
  <c r="S30" i="11"/>
  <c r="Q30" i="11"/>
  <c r="N30" i="11"/>
  <c r="K30" i="11"/>
  <c r="AF29" i="11"/>
  <c r="AE29" i="11"/>
  <c r="AD29" i="11"/>
  <c r="S29" i="11"/>
  <c r="Q29" i="11"/>
  <c r="N29" i="11"/>
  <c r="K29" i="11"/>
  <c r="AD28" i="11"/>
  <c r="AF28" i="11" s="1"/>
  <c r="S28" i="11"/>
  <c r="R28" i="11"/>
  <c r="R29" i="11" s="1"/>
  <c r="T29" i="11" s="1"/>
  <c r="Q28" i="11"/>
  <c r="N28" i="11"/>
  <c r="K28" i="11"/>
  <c r="AD27" i="11"/>
  <c r="AF27" i="11" s="1"/>
  <c r="S27" i="11"/>
  <c r="R27" i="11"/>
  <c r="T27" i="11" s="1"/>
  <c r="Q27" i="11"/>
  <c r="N27" i="11"/>
  <c r="K27" i="11"/>
  <c r="AD26" i="11"/>
  <c r="AF26" i="11" s="1"/>
  <c r="S26" i="11"/>
  <c r="T26" i="11" s="1"/>
  <c r="R26" i="11"/>
  <c r="Q26" i="11"/>
  <c r="N26" i="11"/>
  <c r="K26" i="11"/>
  <c r="AE25" i="11"/>
  <c r="AD25" i="11"/>
  <c r="AF25" i="11" s="1"/>
  <c r="S25" i="11"/>
  <c r="T25" i="11" s="1"/>
  <c r="Q25" i="11"/>
  <c r="N25" i="11"/>
  <c r="K25" i="11"/>
  <c r="AF24" i="11"/>
  <c r="AE24" i="11"/>
  <c r="AD24" i="11"/>
  <c r="S24" i="11"/>
  <c r="Q24" i="11"/>
  <c r="N24" i="11"/>
  <c r="K24" i="11"/>
  <c r="AD23" i="11"/>
  <c r="AE23" i="11" s="1"/>
  <c r="S23" i="11"/>
  <c r="Q23" i="11"/>
  <c r="N23" i="11"/>
  <c r="K23" i="11"/>
  <c r="AF22" i="11"/>
  <c r="AE22" i="11"/>
  <c r="AD22" i="11"/>
  <c r="S22" i="11"/>
  <c r="Q22" i="11"/>
  <c r="N22" i="11"/>
  <c r="K22" i="11"/>
  <c r="AF21" i="11"/>
  <c r="AE21" i="11"/>
  <c r="AD21" i="11"/>
  <c r="S21" i="11"/>
  <c r="Q21" i="11"/>
  <c r="N21" i="11"/>
  <c r="K21" i="11"/>
  <c r="AF20" i="11"/>
  <c r="AD20" i="11"/>
  <c r="AE20" i="11" s="1"/>
  <c r="S20" i="11"/>
  <c r="Q20" i="11"/>
  <c r="N20" i="11"/>
  <c r="K20" i="11"/>
  <c r="AD19" i="11"/>
  <c r="S19" i="11"/>
  <c r="Q19" i="11"/>
  <c r="N19" i="11"/>
  <c r="K19" i="11"/>
  <c r="AD18" i="11"/>
  <c r="AF18" i="11" s="1"/>
  <c r="S18" i="11"/>
  <c r="Q18" i="11"/>
  <c r="N18" i="11"/>
  <c r="K18" i="11"/>
  <c r="AF17" i="11"/>
  <c r="AD17" i="11"/>
  <c r="AE17" i="11" s="1"/>
  <c r="S17" i="11"/>
  <c r="Q17" i="11"/>
  <c r="N17" i="11"/>
  <c r="K17" i="11"/>
  <c r="AF16" i="11"/>
  <c r="AE16" i="11"/>
  <c r="AD16" i="11"/>
  <c r="S16" i="11"/>
  <c r="Q16" i="11"/>
  <c r="N16" i="11"/>
  <c r="K16" i="11"/>
  <c r="AE15" i="11"/>
  <c r="AD15" i="11"/>
  <c r="AF15" i="11" s="1"/>
  <c r="S15" i="11"/>
  <c r="Q15" i="11"/>
  <c r="N15" i="11"/>
  <c r="K15" i="11"/>
  <c r="AD14" i="11"/>
  <c r="AE14" i="11" s="1"/>
  <c r="S14" i="11"/>
  <c r="Q14" i="11"/>
  <c r="N14" i="11"/>
  <c r="K14" i="11"/>
  <c r="AE13" i="11"/>
  <c r="AD13" i="11"/>
  <c r="AF13" i="11" s="1"/>
  <c r="S13" i="11"/>
  <c r="Q13" i="11"/>
  <c r="N13" i="11"/>
  <c r="K13" i="11"/>
  <c r="AD12" i="11"/>
  <c r="AE12" i="11" s="1"/>
  <c r="S12" i="11"/>
  <c r="Q12" i="11"/>
  <c r="N12" i="11"/>
  <c r="K12" i="11"/>
  <c r="AD11" i="11"/>
  <c r="S11" i="11"/>
  <c r="Q11" i="11"/>
  <c r="N11" i="11"/>
  <c r="K11" i="11"/>
  <c r="AF10" i="11"/>
  <c r="AE10" i="11"/>
  <c r="AD10" i="11"/>
  <c r="S10" i="11"/>
  <c r="Q10" i="11"/>
  <c r="N10" i="11"/>
  <c r="K10" i="1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6" i="11" s="1"/>
  <c r="A817" i="11" s="1"/>
  <c r="A818" i="11" s="1"/>
  <c r="A819" i="11" s="1"/>
  <c r="A820" i="11" s="1"/>
  <c r="A822" i="11" s="1"/>
  <c r="A823" i="11" s="1"/>
  <c r="A824" i="11" s="1"/>
  <c r="A825" i="11" s="1"/>
  <c r="A826" i="11" s="1"/>
  <c r="A828" i="11" s="1"/>
  <c r="A829" i="11" s="1"/>
  <c r="A830" i="11" s="1"/>
  <c r="A831" i="11" s="1"/>
  <c r="A832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8" i="11" s="1"/>
  <c r="A889" i="11" s="1"/>
  <c r="A890" i="11" s="1"/>
  <c r="A891" i="11" s="1"/>
  <c r="A892" i="11" s="1"/>
  <c r="A893" i="11" s="1"/>
  <c r="A894" i="11" s="1"/>
  <c r="A895" i="11" s="1"/>
  <c r="A897" i="11" s="1"/>
  <c r="A898" i="11" s="1"/>
  <c r="A899" i="11" s="1"/>
  <c r="A900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6" i="11" s="1"/>
  <c r="A977" i="11" s="1"/>
  <c r="AF9" i="11"/>
  <c r="AD9" i="11"/>
  <c r="AE9" i="11" s="1"/>
  <c r="S9" i="11"/>
  <c r="R9" i="11"/>
  <c r="R10" i="11" s="1"/>
  <c r="T10" i="11" s="1"/>
  <c r="Q9" i="11"/>
  <c r="N9" i="11"/>
  <c r="K9" i="11"/>
  <c r="AF8" i="11"/>
  <c r="AE8" i="11"/>
  <c r="AD8" i="11"/>
  <c r="S8" i="11"/>
  <c r="R8" i="11"/>
  <c r="Q8" i="11"/>
  <c r="N8" i="11"/>
  <c r="K8" i="11"/>
  <c r="A8" i="11"/>
  <c r="A9" i="11" s="1"/>
  <c r="AF7" i="11"/>
  <c r="AD7" i="11"/>
  <c r="AE7" i="11" s="1"/>
  <c r="S7" i="11"/>
  <c r="T7" i="11" s="1"/>
  <c r="Q7" i="11"/>
  <c r="N7" i="11"/>
  <c r="K7" i="11"/>
  <c r="K5" i="11"/>
  <c r="K4" i="11"/>
  <c r="Q1" i="11"/>
  <c r="K38" i="3"/>
  <c r="N38" i="3"/>
  <c r="Q38" i="3"/>
  <c r="S38" i="3"/>
  <c r="AD38" i="3"/>
  <c r="AE38" i="3" s="1"/>
  <c r="K39" i="3"/>
  <c r="N39" i="3"/>
  <c r="Q39" i="3"/>
  <c r="S39" i="3"/>
  <c r="AD39" i="3"/>
  <c r="AE39" i="3" s="1"/>
  <c r="K40" i="3"/>
  <c r="N40" i="3"/>
  <c r="Q40" i="3"/>
  <c r="S40" i="3"/>
  <c r="AD40" i="3"/>
  <c r="AE40" i="3" s="1"/>
  <c r="T184" i="11" l="1"/>
  <c r="R185" i="11"/>
  <c r="T182" i="11"/>
  <c r="T183" i="11"/>
  <c r="AF549" i="11"/>
  <c r="AE549" i="11"/>
  <c r="AE91" i="11"/>
  <c r="AF258" i="11"/>
  <c r="AE258" i="11"/>
  <c r="AE276" i="11"/>
  <c r="AE105" i="11"/>
  <c r="AF148" i="11"/>
  <c r="AE148" i="11"/>
  <c r="AF338" i="11"/>
  <c r="AF81" i="11"/>
  <c r="AE128" i="11"/>
  <c r="AE43" i="11"/>
  <c r="AF173" i="11"/>
  <c r="AF175" i="11"/>
  <c r="AF256" i="11"/>
  <c r="AE256" i="11"/>
  <c r="AF440" i="11"/>
  <c r="AE440" i="11"/>
  <c r="AF862" i="11"/>
  <c r="AE862" i="11"/>
  <c r="AF272" i="11"/>
  <c r="AE272" i="11"/>
  <c r="AE345" i="11"/>
  <c r="AF345" i="11"/>
  <c r="T374" i="11"/>
  <c r="R375" i="11"/>
  <c r="AE376" i="11"/>
  <c r="AF112" i="11"/>
  <c r="AE112" i="11"/>
  <c r="AF124" i="11"/>
  <c r="AE124" i="11"/>
  <c r="AE219" i="11"/>
  <c r="AE309" i="11"/>
  <c r="AF311" i="11"/>
  <c r="AF334" i="11"/>
  <c r="AF430" i="11"/>
  <c r="AE430" i="11"/>
  <c r="AE60" i="11"/>
  <c r="AE142" i="11"/>
  <c r="AE149" i="11"/>
  <c r="AF388" i="11"/>
  <c r="AE388" i="11"/>
  <c r="AE420" i="11"/>
  <c r="AE120" i="11"/>
  <c r="AF36" i="11"/>
  <c r="AF38" i="11"/>
  <c r="AE50" i="11"/>
  <c r="AE138" i="11"/>
  <c r="AF154" i="11"/>
  <c r="AE156" i="11"/>
  <c r="AE186" i="11"/>
  <c r="AF188" i="11"/>
  <c r="AF213" i="11"/>
  <c r="AE213" i="11"/>
  <c r="R244" i="11"/>
  <c r="AE368" i="11"/>
  <c r="AE372" i="11"/>
  <c r="AE384" i="11"/>
  <c r="AF216" i="11"/>
  <c r="AE216" i="11"/>
  <c r="AF347" i="11"/>
  <c r="AE347" i="11"/>
  <c r="AF864" i="11"/>
  <c r="AE864" i="11"/>
  <c r="R166" i="11"/>
  <c r="T165" i="11"/>
  <c r="AE171" i="11"/>
  <c r="R186" i="11"/>
  <c r="T185" i="11"/>
  <c r="AF390" i="11"/>
  <c r="AF630" i="11"/>
  <c r="AE999" i="11"/>
  <c r="AF999" i="11"/>
  <c r="AE79" i="11"/>
  <c r="AE83" i="11"/>
  <c r="AE245" i="11"/>
  <c r="AF288" i="11"/>
  <c r="AE288" i="11"/>
  <c r="AF313" i="11"/>
  <c r="AE313" i="11"/>
  <c r="AE221" i="11"/>
  <c r="AE223" i="11"/>
  <c r="AE247" i="11"/>
  <c r="AF96" i="11"/>
  <c r="AE225" i="11"/>
  <c r="AE249" i="11"/>
  <c r="AF622" i="11"/>
  <c r="AE622" i="11"/>
  <c r="AF286" i="11"/>
  <c r="AE300" i="11"/>
  <c r="AF314" i="11"/>
  <c r="AE314" i="11"/>
  <c r="AF122" i="11"/>
  <c r="AF12" i="11"/>
  <c r="T372" i="11"/>
  <c r="AE418" i="11"/>
  <c r="AE194" i="11"/>
  <c r="AF48" i="11"/>
  <c r="AE48" i="11"/>
  <c r="AF236" i="11"/>
  <c r="AE236" i="11"/>
  <c r="AE351" i="11"/>
  <c r="AF351" i="11"/>
  <c r="AF561" i="11"/>
  <c r="AE561" i="11"/>
  <c r="AE809" i="11"/>
  <c r="AF809" i="11"/>
  <c r="AE33" i="11"/>
  <c r="AF610" i="11"/>
  <c r="AE610" i="11"/>
  <c r="T28" i="11"/>
  <c r="AF458" i="11"/>
  <c r="AE458" i="11"/>
  <c r="AE151" i="11"/>
  <c r="AF336" i="11"/>
  <c r="AF55" i="11"/>
  <c r="AE58" i="11"/>
  <c r="AF77" i="11"/>
  <c r="AE77" i="11"/>
  <c r="AE282" i="11"/>
  <c r="AF497" i="11"/>
  <c r="AE497" i="11"/>
  <c r="AF233" i="11"/>
  <c r="AE233" i="11"/>
  <c r="AE140" i="11"/>
  <c r="AE158" i="11"/>
  <c r="AF40" i="11"/>
  <c r="AE40" i="11"/>
  <c r="AF44" i="11"/>
  <c r="AE44" i="11"/>
  <c r="T9" i="11"/>
  <c r="R11" i="11"/>
  <c r="AF113" i="11"/>
  <c r="AE113" i="11"/>
  <c r="AF116" i="11"/>
  <c r="AE116" i="11"/>
  <c r="AE296" i="11"/>
  <c r="AE569" i="11"/>
  <c r="AF656" i="11"/>
  <c r="AE656" i="11"/>
  <c r="AF823" i="11"/>
  <c r="AE823" i="11"/>
  <c r="AE85" i="11"/>
  <c r="AE119" i="11"/>
  <c r="AF731" i="11"/>
  <c r="AE731" i="11"/>
  <c r="R30" i="11"/>
  <c r="AF107" i="11"/>
  <c r="AF554" i="11"/>
  <c r="AE554" i="11"/>
  <c r="AE49" i="11"/>
  <c r="AF602" i="11"/>
  <c r="AF47" i="11"/>
  <c r="AF228" i="11"/>
  <c r="AE228" i="11"/>
  <c r="AF355" i="11"/>
  <c r="AE355" i="11"/>
  <c r="AE26" i="11"/>
  <c r="AE28" i="11"/>
  <c r="AF98" i="11"/>
  <c r="AE98" i="11"/>
  <c r="AF103" i="11"/>
  <c r="AF985" i="11"/>
  <c r="AE985" i="11"/>
  <c r="AE62" i="11"/>
  <c r="AF108" i="11"/>
  <c r="AE108" i="11"/>
  <c r="AE110" i="11"/>
  <c r="AE353" i="11"/>
  <c r="AF353" i="11"/>
  <c r="AE361" i="11"/>
  <c r="AF14" i="11"/>
  <c r="AF134" i="11"/>
  <c r="AE134" i="11"/>
  <c r="AE386" i="11"/>
  <c r="AF78" i="11"/>
  <c r="AE78" i="11"/>
  <c r="AF99" i="11"/>
  <c r="AE99" i="11"/>
  <c r="AF511" i="11"/>
  <c r="AE511" i="11"/>
  <c r="AF551" i="11"/>
  <c r="AE551" i="11"/>
  <c r="AF320" i="11"/>
  <c r="AE320" i="11"/>
  <c r="AE360" i="11"/>
  <c r="AF360" i="11"/>
  <c r="AF422" i="11"/>
  <c r="AE422" i="11"/>
  <c r="AE425" i="11"/>
  <c r="AF425" i="11"/>
  <c r="AE18" i="11"/>
  <c r="AF75" i="11"/>
  <c r="AE291" i="11"/>
  <c r="AF291" i="11"/>
  <c r="AF391" i="11"/>
  <c r="AE391" i="11"/>
  <c r="AF477" i="11"/>
  <c r="AE477" i="11"/>
  <c r="AF589" i="11"/>
  <c r="AE589" i="11"/>
  <c r="AF19" i="11"/>
  <c r="AE19" i="11"/>
  <c r="AF23" i="11"/>
  <c r="AF162" i="11"/>
  <c r="AE162" i="11"/>
  <c r="AF253" i="11"/>
  <c r="AE253" i="11"/>
  <c r="AF349" i="11"/>
  <c r="AE349" i="11"/>
  <c r="AF392" i="11"/>
  <c r="AE392" i="11"/>
  <c r="AF815" i="11"/>
  <c r="AE815" i="11"/>
  <c r="T8" i="11"/>
  <c r="AF11" i="11"/>
  <c r="AE11" i="11"/>
  <c r="AF237" i="11"/>
  <c r="AE237" i="11"/>
  <c r="AF301" i="11"/>
  <c r="AE301" i="11"/>
  <c r="AF303" i="11"/>
  <c r="AE303" i="11"/>
  <c r="AF362" i="11"/>
  <c r="AE362" i="11"/>
  <c r="AF456" i="11"/>
  <c r="AE456" i="11"/>
  <c r="AF56" i="11"/>
  <c r="AE56" i="11"/>
  <c r="AF153" i="11"/>
  <c r="AE153" i="11"/>
  <c r="AF157" i="11"/>
  <c r="AE157" i="11"/>
  <c r="AF264" i="11"/>
  <c r="AE264" i="11"/>
  <c r="AE293" i="11"/>
  <c r="AF297" i="11"/>
  <c r="AE297" i="11"/>
  <c r="AE325" i="11"/>
  <c r="AE398" i="11"/>
  <c r="AE487" i="11"/>
  <c r="AF523" i="11"/>
  <c r="AE523" i="11"/>
  <c r="AF587" i="11"/>
  <c r="AE587" i="11"/>
  <c r="AF287" i="11"/>
  <c r="AE287" i="11"/>
  <c r="AF567" i="11"/>
  <c r="AE567" i="11"/>
  <c r="AD739" i="11"/>
  <c r="Q739" i="11"/>
  <c r="AF906" i="11"/>
  <c r="AE906" i="11"/>
  <c r="AE80" i="11"/>
  <c r="AF86" i="11"/>
  <c r="AE86" i="11"/>
  <c r="AE170" i="11"/>
  <c r="AE199" i="11"/>
  <c r="AE201" i="11"/>
  <c r="AE235" i="11"/>
  <c r="AE238" i="11"/>
  <c r="AE240" i="11"/>
  <c r="AE252" i="11"/>
  <c r="AE323" i="11"/>
  <c r="AF415" i="11"/>
  <c r="AE415" i="11"/>
  <c r="AE626" i="11"/>
  <c r="AE634" i="11"/>
  <c r="AE676" i="11"/>
  <c r="AE244" i="11"/>
  <c r="AF432" i="11"/>
  <c r="AE432" i="11"/>
  <c r="AE472" i="11"/>
  <c r="AF757" i="11"/>
  <c r="AE757" i="11"/>
  <c r="AE849" i="11"/>
  <c r="AF849" i="11"/>
  <c r="AE27" i="11"/>
  <c r="AF125" i="11"/>
  <c r="AE125" i="11"/>
  <c r="AF137" i="11"/>
  <c r="AE137" i="11"/>
  <c r="AF141" i="11"/>
  <c r="AE141" i="11"/>
  <c r="AF179" i="11"/>
  <c r="AE179" i="11"/>
  <c r="AE185" i="11"/>
  <c r="AF212" i="11"/>
  <c r="AE212" i="11"/>
  <c r="AF394" i="11"/>
  <c r="AE394" i="11"/>
  <c r="AF649" i="11"/>
  <c r="AE649" i="11"/>
  <c r="AF658" i="11"/>
  <c r="AF663" i="11"/>
  <c r="AE663" i="11"/>
  <c r="AE687" i="11"/>
  <c r="R701" i="11"/>
  <c r="T700" i="11"/>
  <c r="AE828" i="11"/>
  <c r="AF104" i="11"/>
  <c r="AE104" i="11"/>
  <c r="AF623" i="11"/>
  <c r="AE623" i="11"/>
  <c r="AF866" i="11"/>
  <c r="AE866" i="11"/>
  <c r="AF981" i="11"/>
  <c r="AE981" i="11"/>
  <c r="AE187" i="11"/>
  <c r="AE203" i="11"/>
  <c r="AF316" i="11"/>
  <c r="AF451" i="11"/>
  <c r="AF463" i="11"/>
  <c r="AE463" i="11"/>
  <c r="AF661" i="11"/>
  <c r="AE661" i="11"/>
  <c r="AF220" i="11"/>
  <c r="AE220" i="11"/>
  <c r="AE167" i="11"/>
  <c r="AE176" i="11"/>
  <c r="AE182" i="11"/>
  <c r="AE198" i="11"/>
  <c r="AE250" i="11"/>
  <c r="AE257" i="11"/>
  <c r="AE281" i="11"/>
  <c r="AF324" i="11"/>
  <c r="AE373" i="11"/>
  <c r="AE375" i="11"/>
  <c r="AF377" i="11"/>
  <c r="AE377" i="11"/>
  <c r="AE381" i="11"/>
  <c r="AE383" i="11"/>
  <c r="AE413" i="11"/>
  <c r="AF434" i="11"/>
  <c r="AF461" i="11"/>
  <c r="AE461" i="11"/>
  <c r="AE503" i="11"/>
  <c r="AE505" i="11"/>
  <c r="AE584" i="11"/>
  <c r="AF643" i="11"/>
  <c r="AF651" i="11"/>
  <c r="AF722" i="11"/>
  <c r="AE722" i="11"/>
  <c r="AE736" i="11"/>
  <c r="AF736" i="11"/>
  <c r="AF937" i="11"/>
  <c r="AE937" i="11"/>
  <c r="AF241" i="11"/>
  <c r="AE241" i="11"/>
  <c r="AF385" i="11"/>
  <c r="AE385" i="11"/>
  <c r="AF402" i="11"/>
  <c r="AF469" i="11"/>
  <c r="AE469" i="11"/>
  <c r="AF480" i="11"/>
  <c r="AE480" i="11"/>
  <c r="AF788" i="11"/>
  <c r="AE788" i="11"/>
  <c r="AF522" i="11"/>
  <c r="AE522" i="11"/>
  <c r="AF543" i="11"/>
  <c r="AE543" i="11"/>
  <c r="AF797" i="11"/>
  <c r="AE797" i="11"/>
  <c r="AF946" i="11"/>
  <c r="AE946" i="11"/>
  <c r="AF1025" i="11"/>
  <c r="AE1025" i="11"/>
  <c r="AF357" i="11"/>
  <c r="AE357" i="11"/>
  <c r="AF485" i="11"/>
  <c r="AE485" i="11"/>
  <c r="AF508" i="11"/>
  <c r="AE508" i="11"/>
  <c r="AF606" i="11"/>
  <c r="AE606" i="11"/>
  <c r="AF644" i="11"/>
  <c r="AE644" i="11"/>
  <c r="AF889" i="11"/>
  <c r="AE889" i="11"/>
  <c r="AE305" i="11"/>
  <c r="AE322" i="11"/>
  <c r="AF327" i="11"/>
  <c r="AE329" i="11"/>
  <c r="AE337" i="11"/>
  <c r="AE363" i="11"/>
  <c r="AE426" i="11"/>
  <c r="AE428" i="11"/>
  <c r="AE483" i="11"/>
  <c r="AE498" i="11"/>
  <c r="AE500" i="11"/>
  <c r="AE524" i="11"/>
  <c r="AE558" i="11"/>
  <c r="AE593" i="11"/>
  <c r="T369" i="11"/>
  <c r="AF401" i="11"/>
  <c r="AE401" i="11"/>
  <c r="Q522" i="11"/>
  <c r="AF563" i="11"/>
  <c r="AE563" i="11"/>
  <c r="AE993" i="11"/>
  <c r="AF993" i="11"/>
  <c r="AF397" i="11"/>
  <c r="AE397" i="11"/>
  <c r="AE399" i="11"/>
  <c r="AF399" i="11"/>
  <c r="AF642" i="11"/>
  <c r="AE642" i="11"/>
  <c r="AF706" i="11"/>
  <c r="AE706" i="11"/>
  <c r="AF726" i="11"/>
  <c r="AF729" i="11"/>
  <c r="AE729" i="11"/>
  <c r="AE952" i="11"/>
  <c r="AF952" i="11"/>
  <c r="AF657" i="11"/>
  <c r="AE657" i="11"/>
  <c r="AF732" i="11"/>
  <c r="AE732" i="11"/>
  <c r="AF969" i="11"/>
  <c r="AE969" i="11"/>
  <c r="AF588" i="11"/>
  <c r="AE588" i="11"/>
  <c r="AF614" i="11"/>
  <c r="AE614" i="11"/>
  <c r="AF770" i="11"/>
  <c r="AE770" i="11"/>
  <c r="AE882" i="11"/>
  <c r="AE983" i="11"/>
  <c r="AF994" i="11"/>
  <c r="AE994" i="11"/>
  <c r="AF1020" i="11"/>
  <c r="AE1020" i="11"/>
  <c r="AF816" i="11"/>
  <c r="AE816" i="11"/>
  <c r="AF977" i="11"/>
  <c r="AE977" i="11"/>
  <c r="AE536" i="11"/>
  <c r="AE544" i="11"/>
  <c r="AE579" i="11"/>
  <c r="AE581" i="11"/>
  <c r="AF612" i="11"/>
  <c r="AE612" i="11"/>
  <c r="AF648" i="11"/>
  <c r="AE648" i="11"/>
  <c r="AE740" i="11"/>
  <c r="AF773" i="11"/>
  <c r="AE773" i="11"/>
  <c r="AE965" i="11"/>
  <c r="AF448" i="11"/>
  <c r="AE448" i="11"/>
  <c r="AE583" i="11"/>
  <c r="AF583" i="11"/>
  <c r="AF727" i="11"/>
  <c r="AE727" i="11"/>
  <c r="AE768" i="11"/>
  <c r="R810" i="11"/>
  <c r="T809" i="11"/>
  <c r="AF841" i="11"/>
  <c r="AF890" i="11"/>
  <c r="AE890" i="11"/>
  <c r="AE895" i="11"/>
  <c r="AF895" i="11"/>
  <c r="AE967" i="11"/>
  <c r="AE986" i="11"/>
  <c r="AF568" i="11"/>
  <c r="AE568" i="11"/>
  <c r="AF646" i="11"/>
  <c r="AE646" i="11"/>
  <c r="AF846" i="11"/>
  <c r="AE846" i="11"/>
  <c r="AF885" i="11"/>
  <c r="AE885" i="11"/>
  <c r="AF921" i="11"/>
  <c r="AE921" i="11"/>
  <c r="AF992" i="11"/>
  <c r="AE992" i="11"/>
  <c r="AF560" i="11"/>
  <c r="AE560" i="11"/>
  <c r="AF747" i="11"/>
  <c r="AE747" i="11"/>
  <c r="AF693" i="11"/>
  <c r="AE693" i="11"/>
  <c r="AF707" i="11"/>
  <c r="AE707" i="11"/>
  <c r="AF745" i="11"/>
  <c r="AE745" i="11"/>
  <c r="AE457" i="11"/>
  <c r="AE465" i="11"/>
  <c r="AE479" i="11"/>
  <c r="AE519" i="11"/>
  <c r="AE564" i="11"/>
  <c r="AE590" i="11"/>
  <c r="AE631" i="11"/>
  <c r="AE633" i="11"/>
  <c r="AF664" i="11"/>
  <c r="AE664" i="11"/>
  <c r="AE667" i="11"/>
  <c r="AE669" i="11"/>
  <c r="AE698" i="11"/>
  <c r="AF714" i="11"/>
  <c r="AE714" i="11"/>
  <c r="AE730" i="11"/>
  <c r="AF734" i="11"/>
  <c r="AF777" i="11"/>
  <c r="AE777" i="11"/>
  <c r="AE791" i="11"/>
  <c r="AE824" i="11"/>
  <c r="AF829" i="11"/>
  <c r="AE829" i="11"/>
  <c r="AE859" i="11"/>
  <c r="AE964" i="11"/>
  <c r="AE997" i="11"/>
  <c r="AF997" i="11"/>
  <c r="AE1016" i="11"/>
  <c r="AF636" i="11"/>
  <c r="AE636" i="11"/>
  <c r="AE1014" i="11"/>
  <c r="AF756" i="11"/>
  <c r="AF784" i="11"/>
  <c r="AE784" i="11"/>
  <c r="AF905" i="11"/>
  <c r="AE905" i="11"/>
  <c r="R985" i="11"/>
  <c r="AE1012" i="11"/>
  <c r="AF691" i="11"/>
  <c r="AF717" i="11"/>
  <c r="AF737" i="11"/>
  <c r="AF775" i="11"/>
  <c r="AF814" i="11"/>
  <c r="AE814" i="11"/>
  <c r="AF843" i="11"/>
  <c r="AE843" i="11"/>
  <c r="AE857" i="11"/>
  <c r="AF938" i="11"/>
  <c r="AE938" i="11"/>
  <c r="AF754" i="11"/>
  <c r="AE754" i="11"/>
  <c r="AF792" i="11"/>
  <c r="AE792" i="11"/>
  <c r="AF820" i="11"/>
  <c r="AF953" i="11"/>
  <c r="AE1021" i="11"/>
  <c r="AF840" i="11"/>
  <c r="AE840" i="11"/>
  <c r="AE577" i="11"/>
  <c r="AE585" i="11"/>
  <c r="AE603" i="11"/>
  <c r="AE611" i="11"/>
  <c r="AE632" i="11"/>
  <c r="AE653" i="11"/>
  <c r="AF668" i="11"/>
  <c r="AE668" i="11"/>
  <c r="AE674" i="11"/>
  <c r="AE759" i="11"/>
  <c r="AE771" i="11"/>
  <c r="AE780" i="11"/>
  <c r="AF922" i="11"/>
  <c r="AE922" i="11"/>
  <c r="AE1000" i="11"/>
  <c r="AF1009" i="11"/>
  <c r="AE594" i="11"/>
  <c r="AE599" i="11"/>
  <c r="AE620" i="11"/>
  <c r="AE641" i="11"/>
  <c r="AE662" i="11"/>
  <c r="AE672" i="11"/>
  <c r="AE692" i="11"/>
  <c r="AF709" i="11"/>
  <c r="AF761" i="11"/>
  <c r="AE991" i="11"/>
  <c r="T686" i="11"/>
  <c r="AF899" i="11"/>
  <c r="AE899" i="11"/>
  <c r="AF848" i="11"/>
  <c r="AE848" i="11"/>
  <c r="AE677" i="11"/>
  <c r="AE682" i="11"/>
  <c r="AE702" i="11"/>
  <c r="AE721" i="11"/>
  <c r="AE746" i="11"/>
  <c r="AE758" i="11"/>
  <c r="AE763" i="11"/>
  <c r="AF772" i="11"/>
  <c r="AE787" i="11"/>
  <c r="AE832" i="11"/>
  <c r="AE836" i="11"/>
  <c r="AE852" i="11"/>
  <c r="AE886" i="11"/>
  <c r="AE907" i="11"/>
  <c r="AF914" i="11"/>
  <c r="AE914" i="11"/>
  <c r="AE923" i="11"/>
  <c r="AF930" i="11"/>
  <c r="AE930" i="11"/>
  <c r="AE939" i="11"/>
  <c r="AE959" i="11"/>
  <c r="AE1013" i="11"/>
  <c r="AE1024" i="11"/>
  <c r="AE673" i="11"/>
  <c r="AE688" i="11"/>
  <c r="AE711" i="11"/>
  <c r="AE728" i="11"/>
  <c r="AE738" i="11"/>
  <c r="AE776" i="11"/>
  <c r="AE783" i="11"/>
  <c r="AE800" i="11"/>
  <c r="AE817" i="11"/>
  <c r="AE856" i="11"/>
  <c r="AE865" i="11"/>
  <c r="AE872" i="11"/>
  <c r="AE892" i="11"/>
  <c r="AE968" i="11"/>
  <c r="AE684" i="11"/>
  <c r="AE881" i="11"/>
  <c r="AE909" i="11"/>
  <c r="AE925" i="11"/>
  <c r="AE941" i="11"/>
  <c r="AE950" i="11"/>
  <c r="AE954" i="11"/>
  <c r="AF961" i="11"/>
  <c r="AE961" i="11"/>
  <c r="AE970" i="11"/>
  <c r="AE1002" i="11"/>
  <c r="AE1006" i="11"/>
  <c r="AE976" i="11"/>
  <c r="AE987" i="11"/>
  <c r="AE1010" i="11"/>
  <c r="AE1018" i="11"/>
  <c r="AE1026" i="11"/>
  <c r="AF40" i="3"/>
  <c r="AF38" i="3"/>
  <c r="AF39" i="3"/>
  <c r="T701" i="11" l="1"/>
  <c r="R702" i="11"/>
  <c r="R245" i="11"/>
  <c r="T244" i="11"/>
  <c r="R986" i="11"/>
  <c r="T985" i="11"/>
  <c r="AF739" i="11"/>
  <c r="AE739" i="11"/>
  <c r="R376" i="11"/>
  <c r="T375" i="11"/>
  <c r="R12" i="11"/>
  <c r="T11" i="11"/>
  <c r="T186" i="11"/>
  <c r="R187" i="11"/>
  <c r="T810" i="11"/>
  <c r="R811" i="11"/>
  <c r="T30" i="11"/>
  <c r="R31" i="11"/>
  <c r="T166" i="11"/>
  <c r="R167" i="11"/>
  <c r="Q979" i="3"/>
  <c r="N979" i="3"/>
  <c r="K979" i="3"/>
  <c r="T986" i="11" l="1"/>
  <c r="R987" i="11"/>
  <c r="R168" i="11"/>
  <c r="T167" i="11"/>
  <c r="R246" i="11"/>
  <c r="T245" i="11"/>
  <c r="T31" i="11"/>
  <c r="R32" i="11"/>
  <c r="R703" i="11"/>
  <c r="T702" i="11"/>
  <c r="T811" i="11"/>
  <c r="R812" i="11"/>
  <c r="R188" i="11"/>
  <c r="T187" i="11"/>
  <c r="R13" i="11"/>
  <c r="T12" i="11"/>
  <c r="T376" i="11"/>
  <c r="R377" i="11"/>
  <c r="N422" i="3"/>
  <c r="Q348" i="3"/>
  <c r="Q346" i="3"/>
  <c r="Q277" i="3"/>
  <c r="N232" i="3"/>
  <c r="N233" i="3"/>
  <c r="F132" i="3"/>
  <c r="F131" i="3"/>
  <c r="N117" i="3"/>
  <c r="K117" i="3"/>
  <c r="N37" i="3"/>
  <c r="Q541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6" i="3"/>
  <c r="N617" i="3"/>
  <c r="N618" i="3"/>
  <c r="N619" i="3"/>
  <c r="N620" i="3"/>
  <c r="N621" i="3"/>
  <c r="N622" i="3"/>
  <c r="N623" i="3"/>
  <c r="N624" i="3"/>
  <c r="N626" i="3"/>
  <c r="N627" i="3"/>
  <c r="N628" i="3"/>
  <c r="N629" i="3"/>
  <c r="N630" i="3"/>
  <c r="N631" i="3"/>
  <c r="N632" i="3"/>
  <c r="N633" i="3"/>
  <c r="N634" i="3"/>
  <c r="N636" i="3"/>
  <c r="N637" i="3"/>
  <c r="N638" i="3"/>
  <c r="N639" i="3"/>
  <c r="N640" i="3"/>
  <c r="N641" i="3"/>
  <c r="N642" i="3"/>
  <c r="N643" i="3"/>
  <c r="N644" i="3"/>
  <c r="N646" i="3"/>
  <c r="N647" i="3"/>
  <c r="N648" i="3"/>
  <c r="N649" i="3"/>
  <c r="N650" i="3"/>
  <c r="N651" i="3"/>
  <c r="N652" i="3"/>
  <c r="N653" i="3"/>
  <c r="N654" i="3"/>
  <c r="N656" i="3"/>
  <c r="N657" i="3"/>
  <c r="N658" i="3"/>
  <c r="N659" i="3"/>
  <c r="N660" i="3"/>
  <c r="N661" i="3"/>
  <c r="N662" i="3"/>
  <c r="N663" i="3"/>
  <c r="N664" i="3"/>
  <c r="N666" i="3"/>
  <c r="N667" i="3"/>
  <c r="N668" i="3"/>
  <c r="N669" i="3"/>
  <c r="N670" i="3"/>
  <c r="N671" i="3"/>
  <c r="N672" i="3"/>
  <c r="N673" i="3"/>
  <c r="N674" i="3"/>
  <c r="N676" i="3"/>
  <c r="N677" i="3"/>
  <c r="N678" i="3"/>
  <c r="N679" i="3"/>
  <c r="N680" i="3"/>
  <c r="N681" i="3"/>
  <c r="N682" i="3"/>
  <c r="N683" i="3"/>
  <c r="N684" i="3"/>
  <c r="N686" i="3"/>
  <c r="N687" i="3"/>
  <c r="N688" i="3"/>
  <c r="N689" i="3"/>
  <c r="N690" i="3"/>
  <c r="N691" i="3"/>
  <c r="N692" i="3"/>
  <c r="N693" i="3"/>
  <c r="N694" i="3"/>
  <c r="N696" i="3"/>
  <c r="N697" i="3"/>
  <c r="N698" i="3"/>
  <c r="N699" i="3"/>
  <c r="N700" i="3"/>
  <c r="N701" i="3"/>
  <c r="N702" i="3"/>
  <c r="N703" i="3"/>
  <c r="N704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6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4" i="3"/>
  <c r="N135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7" i="3"/>
  <c r="N228" i="3"/>
  <c r="N229" i="3"/>
  <c r="N230" i="3"/>
  <c r="N231" i="3"/>
  <c r="N234" i="3"/>
  <c r="N235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7" i="3"/>
  <c r="N488" i="3"/>
  <c r="N489" i="3"/>
  <c r="N490" i="3"/>
  <c r="N491" i="3"/>
  <c r="N492" i="3"/>
  <c r="N493" i="3"/>
  <c r="N494" i="3"/>
  <c r="K494" i="3"/>
  <c r="T13" i="11" l="1"/>
  <c r="R14" i="11"/>
  <c r="R704" i="11"/>
  <c r="T703" i="11"/>
  <c r="T246" i="11"/>
  <c r="R247" i="11"/>
  <c r="R189" i="11"/>
  <c r="T188" i="11"/>
  <c r="T32" i="11"/>
  <c r="R16" i="11"/>
  <c r="T168" i="11"/>
  <c r="R169" i="11"/>
  <c r="T377" i="11"/>
  <c r="R378" i="11"/>
  <c r="R988" i="11"/>
  <c r="T987" i="11"/>
  <c r="R813" i="11"/>
  <c r="T812" i="11"/>
  <c r="K144" i="3"/>
  <c r="D1028" i="3"/>
  <c r="AD1026" i="3"/>
  <c r="AF1026" i="3" s="1"/>
  <c r="S1026" i="3"/>
  <c r="Q1026" i="3"/>
  <c r="K1026" i="3"/>
  <c r="AD1025" i="3"/>
  <c r="AF1025" i="3" s="1"/>
  <c r="S1025" i="3"/>
  <c r="Q1025" i="3"/>
  <c r="K1025" i="3"/>
  <c r="AD1024" i="3"/>
  <c r="AE1024" i="3" s="1"/>
  <c r="S1024" i="3"/>
  <c r="Q1024" i="3"/>
  <c r="K1024" i="3"/>
  <c r="AD1023" i="3"/>
  <c r="AF1023" i="3" s="1"/>
  <c r="S1023" i="3"/>
  <c r="Q1023" i="3"/>
  <c r="K1023" i="3"/>
  <c r="AD1022" i="3"/>
  <c r="AE1022" i="3" s="1"/>
  <c r="S1022" i="3"/>
  <c r="Q1022" i="3"/>
  <c r="K1022" i="3"/>
  <c r="AD1021" i="3"/>
  <c r="AF1021" i="3" s="1"/>
  <c r="S1021" i="3"/>
  <c r="Q1021" i="3"/>
  <c r="K1021" i="3"/>
  <c r="AD1020" i="3"/>
  <c r="AF1020" i="3" s="1"/>
  <c r="S1020" i="3"/>
  <c r="Q1020" i="3"/>
  <c r="K1020" i="3"/>
  <c r="AD1019" i="3"/>
  <c r="AE1019" i="3" s="1"/>
  <c r="S1019" i="3"/>
  <c r="Q1019" i="3"/>
  <c r="K1019" i="3"/>
  <c r="AD1018" i="3"/>
  <c r="AF1018" i="3" s="1"/>
  <c r="S1018" i="3"/>
  <c r="Q1018" i="3"/>
  <c r="K1018" i="3"/>
  <c r="AD1017" i="3"/>
  <c r="AF1017" i="3" s="1"/>
  <c r="S1017" i="3"/>
  <c r="Q1017" i="3"/>
  <c r="K1017" i="3"/>
  <c r="AD1016" i="3"/>
  <c r="AF1016" i="3" s="1"/>
  <c r="S1016" i="3"/>
  <c r="Q1016" i="3"/>
  <c r="K1016" i="3"/>
  <c r="AD1015" i="3"/>
  <c r="AF1015" i="3" s="1"/>
  <c r="S1015" i="3"/>
  <c r="Q1015" i="3"/>
  <c r="K1015" i="3"/>
  <c r="AD1014" i="3"/>
  <c r="AE1014" i="3" s="1"/>
  <c r="S1014" i="3"/>
  <c r="Q1014" i="3"/>
  <c r="K1014" i="3"/>
  <c r="AD1013" i="3"/>
  <c r="S1013" i="3"/>
  <c r="Q1013" i="3"/>
  <c r="K1013" i="3"/>
  <c r="AD1012" i="3"/>
  <c r="AF1012" i="3" s="1"/>
  <c r="S1012" i="3"/>
  <c r="Q1012" i="3"/>
  <c r="K1012" i="3"/>
  <c r="AD1011" i="3"/>
  <c r="AF1011" i="3" s="1"/>
  <c r="S1011" i="3"/>
  <c r="Q1011" i="3"/>
  <c r="K1011" i="3"/>
  <c r="AD1010" i="3"/>
  <c r="AF1010" i="3" s="1"/>
  <c r="S1010" i="3"/>
  <c r="Q1010" i="3"/>
  <c r="K1010" i="3"/>
  <c r="AD1009" i="3"/>
  <c r="AF1009" i="3" s="1"/>
  <c r="S1009" i="3"/>
  <c r="Q1009" i="3"/>
  <c r="K1009" i="3"/>
  <c r="AD1008" i="3"/>
  <c r="S1008" i="3"/>
  <c r="Q1008" i="3"/>
  <c r="K1008" i="3"/>
  <c r="AD1007" i="3"/>
  <c r="AE1007" i="3" s="1"/>
  <c r="S1007" i="3"/>
  <c r="Q1007" i="3"/>
  <c r="K1007" i="3"/>
  <c r="AD1006" i="3"/>
  <c r="Q1006" i="3"/>
  <c r="K1006" i="3"/>
  <c r="AD1005" i="3"/>
  <c r="AF1005" i="3" s="1"/>
  <c r="S1005" i="3"/>
  <c r="Q1005" i="3"/>
  <c r="K1005" i="3"/>
  <c r="AD1004" i="3"/>
  <c r="AE1004" i="3" s="1"/>
  <c r="S1004" i="3"/>
  <c r="Q1004" i="3"/>
  <c r="K1004" i="3"/>
  <c r="AD1003" i="3"/>
  <c r="AF1003" i="3" s="1"/>
  <c r="S1003" i="3"/>
  <c r="Q1003" i="3"/>
  <c r="K1003" i="3"/>
  <c r="AD1002" i="3"/>
  <c r="AF1002" i="3" s="1"/>
  <c r="S1002" i="3"/>
  <c r="Q1002" i="3"/>
  <c r="K1002" i="3"/>
  <c r="AD1001" i="3"/>
  <c r="AE1001" i="3" s="1"/>
  <c r="K1001" i="3"/>
  <c r="AD1000" i="3"/>
  <c r="S1000" i="3"/>
  <c r="Q1000" i="3"/>
  <c r="K1000" i="3"/>
  <c r="AD999" i="3"/>
  <c r="AF999" i="3" s="1"/>
  <c r="S999" i="3"/>
  <c r="Q999" i="3"/>
  <c r="K999" i="3"/>
  <c r="AD998" i="3"/>
  <c r="AE998" i="3" s="1"/>
  <c r="S998" i="3"/>
  <c r="Q998" i="3"/>
  <c r="K998" i="3"/>
  <c r="AD997" i="3"/>
  <c r="AF997" i="3" s="1"/>
  <c r="S997" i="3"/>
  <c r="Q997" i="3"/>
  <c r="K997" i="3"/>
  <c r="AD996" i="3"/>
  <c r="AF996" i="3" s="1"/>
  <c r="S996" i="3"/>
  <c r="Q996" i="3"/>
  <c r="K996" i="3"/>
  <c r="AD995" i="3"/>
  <c r="S995" i="3"/>
  <c r="Q995" i="3"/>
  <c r="K995" i="3"/>
  <c r="AD994" i="3"/>
  <c r="AF994" i="3" s="1"/>
  <c r="S994" i="3"/>
  <c r="Q994" i="3"/>
  <c r="K994" i="3"/>
  <c r="AD993" i="3"/>
  <c r="S993" i="3"/>
  <c r="Q993" i="3"/>
  <c r="K993" i="3"/>
  <c r="AD992" i="3"/>
  <c r="S992" i="3"/>
  <c r="Q992" i="3"/>
  <c r="K992" i="3"/>
  <c r="AD991" i="3"/>
  <c r="S991" i="3"/>
  <c r="Q991" i="3"/>
  <c r="K991" i="3"/>
  <c r="AD990" i="3"/>
  <c r="AE990" i="3" s="1"/>
  <c r="S990" i="3"/>
  <c r="Q990" i="3"/>
  <c r="K990" i="3"/>
  <c r="AD989" i="3"/>
  <c r="AF989" i="3" s="1"/>
  <c r="S989" i="3"/>
  <c r="Q989" i="3"/>
  <c r="K989" i="3"/>
  <c r="AD988" i="3"/>
  <c r="AF988" i="3" s="1"/>
  <c r="S988" i="3"/>
  <c r="S136" i="3" s="1"/>
  <c r="Q988" i="3"/>
  <c r="K988" i="3"/>
  <c r="AD987" i="3"/>
  <c r="AF987" i="3" s="1"/>
  <c r="S987" i="3"/>
  <c r="Q987" i="3"/>
  <c r="K987" i="3"/>
  <c r="AD986" i="3"/>
  <c r="AF986" i="3" s="1"/>
  <c r="S986" i="3"/>
  <c r="Q986" i="3"/>
  <c r="K986" i="3"/>
  <c r="AD985" i="3"/>
  <c r="AE985" i="3" s="1"/>
  <c r="S985" i="3"/>
  <c r="Q985" i="3"/>
  <c r="K985" i="3"/>
  <c r="AD984" i="3"/>
  <c r="S984" i="3"/>
  <c r="Q984" i="3"/>
  <c r="K984" i="3"/>
  <c r="AD983" i="3"/>
  <c r="AE983" i="3" s="1"/>
  <c r="S983" i="3"/>
  <c r="Q983" i="3"/>
  <c r="K983" i="3"/>
  <c r="AD982" i="3"/>
  <c r="AE982" i="3" s="1"/>
  <c r="S982" i="3"/>
  <c r="R982" i="3"/>
  <c r="Q982" i="3"/>
  <c r="K982" i="3"/>
  <c r="AD981" i="3"/>
  <c r="AF981" i="3" s="1"/>
  <c r="S981" i="3"/>
  <c r="T981" i="3" s="1"/>
  <c r="Q981" i="3"/>
  <c r="K981" i="3"/>
  <c r="AD980" i="3"/>
  <c r="K980" i="3"/>
  <c r="AD977" i="3"/>
  <c r="AF977" i="3" s="1"/>
  <c r="S977" i="3"/>
  <c r="Q977" i="3"/>
  <c r="K977" i="3"/>
  <c r="AD976" i="3"/>
  <c r="AE976" i="3" s="1"/>
  <c r="S976" i="3"/>
  <c r="Q976" i="3"/>
  <c r="K976" i="3"/>
  <c r="AD975" i="3"/>
  <c r="AF975" i="3" s="1"/>
  <c r="K975" i="3"/>
  <c r="AD974" i="3"/>
  <c r="AE974" i="3" s="1"/>
  <c r="S974" i="3"/>
  <c r="Q974" i="3"/>
  <c r="K974" i="3"/>
  <c r="AD973" i="3"/>
  <c r="S973" i="3"/>
  <c r="Q973" i="3"/>
  <c r="K973" i="3"/>
  <c r="AD972" i="3"/>
  <c r="AF972" i="3" s="1"/>
  <c r="S972" i="3"/>
  <c r="Q972" i="3"/>
  <c r="K972" i="3"/>
  <c r="AD971" i="3"/>
  <c r="S971" i="3"/>
  <c r="Q971" i="3"/>
  <c r="K971" i="3"/>
  <c r="AD970" i="3"/>
  <c r="AF970" i="3" s="1"/>
  <c r="S970" i="3"/>
  <c r="Q970" i="3"/>
  <c r="K970" i="3"/>
  <c r="AD969" i="3"/>
  <c r="AE969" i="3" s="1"/>
  <c r="S969" i="3"/>
  <c r="Q969" i="3"/>
  <c r="K969" i="3"/>
  <c r="AD968" i="3"/>
  <c r="AF968" i="3" s="1"/>
  <c r="S968" i="3"/>
  <c r="Q968" i="3"/>
  <c r="K968" i="3"/>
  <c r="AD967" i="3"/>
  <c r="AF967" i="3" s="1"/>
  <c r="S967" i="3"/>
  <c r="Q967" i="3"/>
  <c r="K967" i="3"/>
  <c r="AD966" i="3"/>
  <c r="AE966" i="3" s="1"/>
  <c r="S966" i="3"/>
  <c r="Q966" i="3"/>
  <c r="K966" i="3"/>
  <c r="AD965" i="3"/>
  <c r="S965" i="3"/>
  <c r="Q965" i="3"/>
  <c r="K965" i="3"/>
  <c r="AD964" i="3"/>
  <c r="AE964" i="3" s="1"/>
  <c r="S964" i="3"/>
  <c r="Q964" i="3"/>
  <c r="K964" i="3"/>
  <c r="AD963" i="3"/>
  <c r="AE963" i="3" s="1"/>
  <c r="S963" i="3"/>
  <c r="Q963" i="3"/>
  <c r="K963" i="3"/>
  <c r="AD962" i="3"/>
  <c r="AF962" i="3" s="1"/>
  <c r="S962" i="3"/>
  <c r="Q962" i="3"/>
  <c r="K962" i="3"/>
  <c r="AD961" i="3"/>
  <c r="AE961" i="3" s="1"/>
  <c r="S961" i="3"/>
  <c r="Q961" i="3"/>
  <c r="K961" i="3"/>
  <c r="AD960" i="3"/>
  <c r="AF960" i="3" s="1"/>
  <c r="S960" i="3"/>
  <c r="Q960" i="3"/>
  <c r="K960" i="3"/>
  <c r="AD959" i="3"/>
  <c r="AF959" i="3" s="1"/>
  <c r="S959" i="3"/>
  <c r="Q959" i="3"/>
  <c r="K959" i="3"/>
  <c r="AD958" i="3"/>
  <c r="AE958" i="3" s="1"/>
  <c r="S958" i="3"/>
  <c r="Q958" i="3"/>
  <c r="K958" i="3"/>
  <c r="AD957" i="3"/>
  <c r="S957" i="3"/>
  <c r="Q957" i="3"/>
  <c r="K957" i="3"/>
  <c r="AD956" i="3"/>
  <c r="AE956" i="3" s="1"/>
  <c r="S956" i="3"/>
  <c r="Q956" i="3"/>
  <c r="K956" i="3"/>
  <c r="AD955" i="3"/>
  <c r="AE955" i="3" s="1"/>
  <c r="S955" i="3"/>
  <c r="Q955" i="3"/>
  <c r="K955" i="3"/>
  <c r="AD954" i="3"/>
  <c r="AF954" i="3" s="1"/>
  <c r="K954" i="3"/>
  <c r="AD953" i="3"/>
  <c r="S953" i="3"/>
  <c r="Q953" i="3"/>
  <c r="K953" i="3"/>
  <c r="AD952" i="3"/>
  <c r="AE952" i="3" s="1"/>
  <c r="S952" i="3"/>
  <c r="Q952" i="3"/>
  <c r="K952" i="3"/>
  <c r="AD951" i="3"/>
  <c r="AF951" i="3" s="1"/>
  <c r="S951" i="3"/>
  <c r="Q951" i="3"/>
  <c r="K951" i="3"/>
  <c r="AD950" i="3"/>
  <c r="AF950" i="3" s="1"/>
  <c r="S950" i="3"/>
  <c r="Q950" i="3"/>
  <c r="K950" i="3"/>
  <c r="AD949" i="3"/>
  <c r="AE949" i="3" s="1"/>
  <c r="S949" i="3"/>
  <c r="Q949" i="3"/>
  <c r="K949" i="3"/>
  <c r="AD948" i="3"/>
  <c r="AF948" i="3" s="1"/>
  <c r="S948" i="3"/>
  <c r="Q948" i="3"/>
  <c r="K948" i="3"/>
  <c r="AD947" i="3"/>
  <c r="AE947" i="3" s="1"/>
  <c r="S947" i="3"/>
  <c r="Q947" i="3"/>
  <c r="K947" i="3"/>
  <c r="AD946" i="3"/>
  <c r="AF946" i="3" s="1"/>
  <c r="S946" i="3"/>
  <c r="Q946" i="3"/>
  <c r="K946" i="3"/>
  <c r="AD945" i="3"/>
  <c r="S945" i="3"/>
  <c r="Q945" i="3"/>
  <c r="K945" i="3"/>
  <c r="AD944" i="3"/>
  <c r="AF944" i="3" s="1"/>
  <c r="S944" i="3"/>
  <c r="Q944" i="3"/>
  <c r="AD943" i="3"/>
  <c r="AE943" i="3" s="1"/>
  <c r="S943" i="3"/>
  <c r="Q943" i="3"/>
  <c r="K943" i="3"/>
  <c r="AD942" i="3"/>
  <c r="AF942" i="3" s="1"/>
  <c r="S942" i="3"/>
  <c r="Q942" i="3"/>
  <c r="K942" i="3"/>
  <c r="AD941" i="3"/>
  <c r="AF941" i="3" s="1"/>
  <c r="S941" i="3"/>
  <c r="Q941" i="3"/>
  <c r="K941" i="3"/>
  <c r="AD940" i="3"/>
  <c r="AE940" i="3" s="1"/>
  <c r="S940" i="3"/>
  <c r="Q940" i="3"/>
  <c r="K940" i="3"/>
  <c r="AD939" i="3"/>
  <c r="S939" i="3"/>
  <c r="Q939" i="3"/>
  <c r="K939" i="3"/>
  <c r="AD938" i="3"/>
  <c r="AE938" i="3" s="1"/>
  <c r="S938" i="3"/>
  <c r="Q938" i="3"/>
  <c r="K938" i="3"/>
  <c r="AD937" i="3"/>
  <c r="AE937" i="3" s="1"/>
  <c r="S937" i="3"/>
  <c r="Q937" i="3"/>
  <c r="K937" i="3"/>
  <c r="AD936" i="3"/>
  <c r="AF936" i="3" s="1"/>
  <c r="S936" i="3"/>
  <c r="Q936" i="3"/>
  <c r="K936" i="3"/>
  <c r="AD935" i="3"/>
  <c r="AF935" i="3" s="1"/>
  <c r="S935" i="3"/>
  <c r="Q935" i="3"/>
  <c r="K935" i="3"/>
  <c r="AD934" i="3"/>
  <c r="AF934" i="3" s="1"/>
  <c r="S934" i="3"/>
  <c r="Q934" i="3"/>
  <c r="K934" i="3"/>
  <c r="AD933" i="3"/>
  <c r="AF933" i="3" s="1"/>
  <c r="S933" i="3"/>
  <c r="Q933" i="3"/>
  <c r="K933" i="3"/>
  <c r="AD932" i="3"/>
  <c r="AE932" i="3" s="1"/>
  <c r="S932" i="3"/>
  <c r="Q932" i="3"/>
  <c r="K932" i="3"/>
  <c r="AD931" i="3"/>
  <c r="S931" i="3"/>
  <c r="Q931" i="3"/>
  <c r="K931" i="3"/>
  <c r="AD930" i="3"/>
  <c r="AF930" i="3" s="1"/>
  <c r="S930" i="3"/>
  <c r="Q930" i="3"/>
  <c r="K930" i="3"/>
  <c r="AD929" i="3"/>
  <c r="AE929" i="3" s="1"/>
  <c r="S929" i="3"/>
  <c r="Q929" i="3"/>
  <c r="K929" i="3"/>
  <c r="AD928" i="3"/>
  <c r="AF928" i="3" s="1"/>
  <c r="S928" i="3"/>
  <c r="Q928" i="3"/>
  <c r="K928" i="3"/>
  <c r="AD927" i="3"/>
  <c r="AE927" i="3" s="1"/>
  <c r="S927" i="3"/>
  <c r="Q927" i="3"/>
  <c r="K927" i="3"/>
  <c r="AD926" i="3"/>
  <c r="S926" i="3"/>
  <c r="Q926" i="3"/>
  <c r="K926" i="3"/>
  <c r="AD925" i="3"/>
  <c r="AE925" i="3" s="1"/>
  <c r="S925" i="3"/>
  <c r="Q925" i="3"/>
  <c r="K925" i="3"/>
  <c r="AD924" i="3"/>
  <c r="AE924" i="3" s="1"/>
  <c r="S924" i="3"/>
  <c r="Q924" i="3"/>
  <c r="K924" i="3"/>
  <c r="AD923" i="3"/>
  <c r="S923" i="3"/>
  <c r="Q923" i="3"/>
  <c r="K923" i="3"/>
  <c r="AD922" i="3"/>
  <c r="AF922" i="3" s="1"/>
  <c r="S922" i="3"/>
  <c r="Q922" i="3"/>
  <c r="K922" i="3"/>
  <c r="AD921" i="3"/>
  <c r="AE921" i="3" s="1"/>
  <c r="S921" i="3"/>
  <c r="Q921" i="3"/>
  <c r="K921" i="3"/>
  <c r="AD920" i="3"/>
  <c r="AF920" i="3" s="1"/>
  <c r="S920" i="3"/>
  <c r="Q920" i="3"/>
  <c r="K920" i="3"/>
  <c r="AD919" i="3"/>
  <c r="AF919" i="3" s="1"/>
  <c r="S919" i="3"/>
  <c r="Q919" i="3"/>
  <c r="K919" i="3"/>
  <c r="AD918" i="3"/>
  <c r="AE918" i="3" s="1"/>
  <c r="S918" i="3"/>
  <c r="Q918" i="3"/>
  <c r="K918" i="3"/>
  <c r="AD917" i="3"/>
  <c r="AF917" i="3" s="1"/>
  <c r="S917" i="3"/>
  <c r="Q917" i="3"/>
  <c r="K917" i="3"/>
  <c r="AD916" i="3"/>
  <c r="S916" i="3"/>
  <c r="Q916" i="3"/>
  <c r="K916" i="3"/>
  <c r="AD915" i="3"/>
  <c r="S915" i="3"/>
  <c r="Q915" i="3"/>
  <c r="K915" i="3"/>
  <c r="AD914" i="3"/>
  <c r="AF914" i="3" s="1"/>
  <c r="S914" i="3"/>
  <c r="Q914" i="3"/>
  <c r="K914" i="3"/>
  <c r="AD913" i="3"/>
  <c r="AE913" i="3" s="1"/>
  <c r="S913" i="3"/>
  <c r="Q913" i="3"/>
  <c r="K913" i="3"/>
  <c r="AD912" i="3"/>
  <c r="AF912" i="3" s="1"/>
  <c r="S912" i="3"/>
  <c r="Q912" i="3"/>
  <c r="K912" i="3"/>
  <c r="AD911" i="3"/>
  <c r="AE911" i="3" s="1"/>
  <c r="S911" i="3"/>
  <c r="Q911" i="3"/>
  <c r="K911" i="3"/>
  <c r="AD910" i="3"/>
  <c r="AF910" i="3" s="1"/>
  <c r="S910" i="3"/>
  <c r="Q910" i="3"/>
  <c r="K910" i="3"/>
  <c r="AD909" i="3"/>
  <c r="AE909" i="3" s="1"/>
  <c r="S909" i="3"/>
  <c r="Q909" i="3"/>
  <c r="K909" i="3"/>
  <c r="AD908" i="3"/>
  <c r="AF908" i="3" s="1"/>
  <c r="S908" i="3"/>
  <c r="Q908" i="3"/>
  <c r="K908" i="3"/>
  <c r="AD907" i="3"/>
  <c r="S907" i="3"/>
  <c r="Q907" i="3"/>
  <c r="K907" i="3"/>
  <c r="AD906" i="3"/>
  <c r="AF906" i="3" s="1"/>
  <c r="S906" i="3"/>
  <c r="Q906" i="3"/>
  <c r="K906" i="3"/>
  <c r="AD905" i="3"/>
  <c r="AE905" i="3" s="1"/>
  <c r="S905" i="3"/>
  <c r="Q905" i="3"/>
  <c r="K905" i="3"/>
  <c r="AD904" i="3"/>
  <c r="AF904" i="3" s="1"/>
  <c r="S904" i="3"/>
  <c r="Q904" i="3"/>
  <c r="K904" i="3"/>
  <c r="AD903" i="3"/>
  <c r="S903" i="3"/>
  <c r="Q903" i="3"/>
  <c r="K903" i="3"/>
  <c r="AD902" i="3"/>
  <c r="AF902" i="3" s="1"/>
  <c r="S902" i="3"/>
  <c r="Q902" i="3"/>
  <c r="K902" i="3"/>
  <c r="AD901" i="3"/>
  <c r="AF901" i="3" s="1"/>
  <c r="K901" i="3"/>
  <c r="AD900" i="3"/>
  <c r="AF900" i="3" s="1"/>
  <c r="S900" i="3"/>
  <c r="Q900" i="3"/>
  <c r="K900" i="3"/>
  <c r="AD899" i="3"/>
  <c r="S899" i="3"/>
  <c r="Q899" i="3"/>
  <c r="K899" i="3"/>
  <c r="AD898" i="3"/>
  <c r="AF898" i="3" s="1"/>
  <c r="S898" i="3"/>
  <c r="Q898" i="3"/>
  <c r="K898" i="3"/>
  <c r="AD897" i="3"/>
  <c r="S897" i="3"/>
  <c r="Q897" i="3"/>
  <c r="K897" i="3"/>
  <c r="AD896" i="3"/>
  <c r="K896" i="3"/>
  <c r="AD895" i="3"/>
  <c r="AF895" i="3" s="1"/>
  <c r="S895" i="3"/>
  <c r="Q895" i="3"/>
  <c r="K895" i="3"/>
  <c r="AD894" i="3"/>
  <c r="AE894" i="3" s="1"/>
  <c r="S894" i="3"/>
  <c r="Q894" i="3"/>
  <c r="K894" i="3"/>
  <c r="AD893" i="3"/>
  <c r="AF893" i="3" s="1"/>
  <c r="S893" i="3"/>
  <c r="Q893" i="3"/>
  <c r="K893" i="3"/>
  <c r="AD892" i="3"/>
  <c r="AF892" i="3" s="1"/>
  <c r="S892" i="3"/>
  <c r="Q892" i="3"/>
  <c r="K892" i="3"/>
  <c r="AD891" i="3"/>
  <c r="AF891" i="3" s="1"/>
  <c r="S891" i="3"/>
  <c r="Q891" i="3"/>
  <c r="K891" i="3"/>
  <c r="AD890" i="3"/>
  <c r="S890" i="3"/>
  <c r="Q890" i="3"/>
  <c r="K890" i="3"/>
  <c r="AD889" i="3"/>
  <c r="S889" i="3"/>
  <c r="Q889" i="3"/>
  <c r="K889" i="3"/>
  <c r="AD888" i="3"/>
  <c r="AE888" i="3" s="1"/>
  <c r="S888" i="3"/>
  <c r="Q888" i="3"/>
  <c r="K888" i="3"/>
  <c r="AD887" i="3"/>
  <c r="AF887" i="3" s="1"/>
  <c r="K887" i="3"/>
  <c r="AD886" i="3"/>
  <c r="AF886" i="3" s="1"/>
  <c r="S886" i="3"/>
  <c r="Q886" i="3"/>
  <c r="K886" i="3"/>
  <c r="AD885" i="3"/>
  <c r="AE885" i="3" s="1"/>
  <c r="S885" i="3"/>
  <c r="Q885" i="3"/>
  <c r="K885" i="3"/>
  <c r="AD884" i="3"/>
  <c r="AF884" i="3" s="1"/>
  <c r="S884" i="3"/>
  <c r="Q884" i="3"/>
  <c r="K884" i="3"/>
  <c r="AD883" i="3"/>
  <c r="AF883" i="3" s="1"/>
  <c r="S883" i="3"/>
  <c r="Q883" i="3"/>
  <c r="K883" i="3"/>
  <c r="AD882" i="3"/>
  <c r="AE882" i="3" s="1"/>
  <c r="S882" i="3"/>
  <c r="Q882" i="3"/>
  <c r="K882" i="3"/>
  <c r="AD881" i="3"/>
  <c r="AF881" i="3" s="1"/>
  <c r="S881" i="3"/>
  <c r="Q881" i="3"/>
  <c r="K881" i="3"/>
  <c r="AD880" i="3"/>
  <c r="AE880" i="3" s="1"/>
  <c r="S880" i="3"/>
  <c r="Q880" i="3"/>
  <c r="K880" i="3"/>
  <c r="AD879" i="3"/>
  <c r="AE879" i="3" s="1"/>
  <c r="S879" i="3"/>
  <c r="Q879" i="3"/>
  <c r="K879" i="3"/>
  <c r="AD878" i="3"/>
  <c r="AF878" i="3" s="1"/>
  <c r="S878" i="3"/>
  <c r="Q878" i="3"/>
  <c r="K878" i="3"/>
  <c r="AD877" i="3"/>
  <c r="AE877" i="3" s="1"/>
  <c r="S877" i="3"/>
  <c r="Q877" i="3"/>
  <c r="K877" i="3"/>
  <c r="AD876" i="3"/>
  <c r="AF876" i="3" s="1"/>
  <c r="S876" i="3"/>
  <c r="Q876" i="3"/>
  <c r="K876" i="3"/>
  <c r="AD875" i="3"/>
  <c r="S875" i="3"/>
  <c r="Q875" i="3"/>
  <c r="K875" i="3"/>
  <c r="AD874" i="3"/>
  <c r="AE874" i="3" s="1"/>
  <c r="S874" i="3"/>
  <c r="Q874" i="3"/>
  <c r="K874" i="3"/>
  <c r="AD873" i="3"/>
  <c r="S873" i="3"/>
  <c r="Q873" i="3"/>
  <c r="K873" i="3"/>
  <c r="AD872" i="3"/>
  <c r="AF872" i="3" s="1"/>
  <c r="S872" i="3"/>
  <c r="Q872" i="3"/>
  <c r="K872" i="3"/>
  <c r="AD871" i="3"/>
  <c r="AF871" i="3" s="1"/>
  <c r="S871" i="3"/>
  <c r="Q871" i="3"/>
  <c r="K871" i="3"/>
  <c r="AD870" i="3"/>
  <c r="S870" i="3"/>
  <c r="Q870" i="3"/>
  <c r="K870" i="3"/>
  <c r="AD869" i="3"/>
  <c r="S869" i="3"/>
  <c r="Q869" i="3"/>
  <c r="K869" i="3"/>
  <c r="AD868" i="3"/>
  <c r="AF868" i="3" s="1"/>
  <c r="S868" i="3"/>
  <c r="Q868" i="3"/>
  <c r="K868" i="3"/>
  <c r="AD867" i="3"/>
  <c r="AF867" i="3" s="1"/>
  <c r="S867" i="3"/>
  <c r="Q867" i="3"/>
  <c r="K867" i="3"/>
  <c r="AD866" i="3"/>
  <c r="AF866" i="3" s="1"/>
  <c r="S866" i="3"/>
  <c r="Q866" i="3"/>
  <c r="K866" i="3"/>
  <c r="AD865" i="3"/>
  <c r="AF865" i="3" s="1"/>
  <c r="S865" i="3"/>
  <c r="Q865" i="3"/>
  <c r="K865" i="3"/>
  <c r="AD864" i="3"/>
  <c r="AF864" i="3" s="1"/>
  <c r="S864" i="3"/>
  <c r="Q864" i="3"/>
  <c r="K864" i="3"/>
  <c r="AD863" i="3"/>
  <c r="AF863" i="3" s="1"/>
  <c r="S863" i="3"/>
  <c r="Q863" i="3"/>
  <c r="K863" i="3"/>
  <c r="AD862" i="3"/>
  <c r="AF862" i="3" s="1"/>
  <c r="S862" i="3"/>
  <c r="Q862" i="3"/>
  <c r="K862" i="3"/>
  <c r="AD861" i="3"/>
  <c r="AE861" i="3" s="1"/>
  <c r="S861" i="3"/>
  <c r="Q861" i="3"/>
  <c r="K861" i="3"/>
  <c r="AD860" i="3"/>
  <c r="AE860" i="3" s="1"/>
  <c r="S860" i="3"/>
  <c r="Q860" i="3"/>
  <c r="K860" i="3"/>
  <c r="AD859" i="3"/>
  <c r="S859" i="3"/>
  <c r="Q859" i="3"/>
  <c r="K859" i="3"/>
  <c r="AD858" i="3"/>
  <c r="AF858" i="3" s="1"/>
  <c r="S858" i="3"/>
  <c r="Q858" i="3"/>
  <c r="K858" i="3"/>
  <c r="AD857" i="3"/>
  <c r="AF857" i="3" s="1"/>
  <c r="S857" i="3"/>
  <c r="Q857" i="3"/>
  <c r="K857" i="3"/>
  <c r="AD856" i="3"/>
  <c r="S856" i="3"/>
  <c r="Q856" i="3"/>
  <c r="K856" i="3"/>
  <c r="AD855" i="3"/>
  <c r="AF855" i="3" s="1"/>
  <c r="S855" i="3"/>
  <c r="Q855" i="3"/>
  <c r="K855" i="3"/>
  <c r="AD854" i="3"/>
  <c r="AF854" i="3" s="1"/>
  <c r="K854" i="3"/>
  <c r="AD853" i="3"/>
  <c r="AF853" i="3" s="1"/>
  <c r="S853" i="3"/>
  <c r="Q853" i="3"/>
  <c r="K853" i="3"/>
  <c r="AD852" i="3"/>
  <c r="AF852" i="3" s="1"/>
  <c r="S852" i="3"/>
  <c r="Q852" i="3"/>
  <c r="K852" i="3"/>
  <c r="AD851" i="3"/>
  <c r="AF851" i="3" s="1"/>
  <c r="S851" i="3"/>
  <c r="Q851" i="3"/>
  <c r="K851" i="3"/>
  <c r="AD850" i="3"/>
  <c r="AE850" i="3" s="1"/>
  <c r="S850" i="3"/>
  <c r="Q850" i="3"/>
  <c r="K850" i="3"/>
  <c r="AD849" i="3"/>
  <c r="S849" i="3"/>
  <c r="Q849" i="3"/>
  <c r="K849" i="3"/>
  <c r="AD848" i="3"/>
  <c r="AE848" i="3" s="1"/>
  <c r="S848" i="3"/>
  <c r="Q848" i="3"/>
  <c r="K848" i="3"/>
  <c r="AD847" i="3"/>
  <c r="S847" i="3"/>
  <c r="Q847" i="3"/>
  <c r="K847" i="3"/>
  <c r="AD846" i="3"/>
  <c r="AF846" i="3" s="1"/>
  <c r="S846" i="3"/>
  <c r="Q846" i="3"/>
  <c r="K846" i="3"/>
  <c r="AD845" i="3"/>
  <c r="S845" i="3"/>
  <c r="Q845" i="3"/>
  <c r="K845" i="3"/>
  <c r="AD844" i="3"/>
  <c r="S844" i="3"/>
  <c r="Q844" i="3"/>
  <c r="K844" i="3"/>
  <c r="AD843" i="3"/>
  <c r="AF843" i="3" s="1"/>
  <c r="S843" i="3"/>
  <c r="Q843" i="3"/>
  <c r="K843" i="3"/>
  <c r="AD842" i="3"/>
  <c r="AF842" i="3" s="1"/>
  <c r="S842" i="3"/>
  <c r="Q842" i="3"/>
  <c r="K842" i="3"/>
  <c r="AD841" i="3"/>
  <c r="S841" i="3"/>
  <c r="Q841" i="3"/>
  <c r="K841" i="3"/>
  <c r="AD840" i="3"/>
  <c r="AF840" i="3" s="1"/>
  <c r="S840" i="3"/>
  <c r="Q840" i="3"/>
  <c r="K840" i="3"/>
  <c r="AD839" i="3"/>
  <c r="AE839" i="3" s="1"/>
  <c r="S839" i="3"/>
  <c r="Q839" i="3"/>
  <c r="K839" i="3"/>
  <c r="AD838" i="3"/>
  <c r="AF838" i="3" s="1"/>
  <c r="S838" i="3"/>
  <c r="Q838" i="3"/>
  <c r="K838" i="3"/>
  <c r="AD837" i="3"/>
  <c r="AF837" i="3" s="1"/>
  <c r="S837" i="3"/>
  <c r="Q837" i="3"/>
  <c r="K837" i="3"/>
  <c r="AD836" i="3"/>
  <c r="AF836" i="3" s="1"/>
  <c r="S836" i="3"/>
  <c r="Q836" i="3"/>
  <c r="K836" i="3"/>
  <c r="AD835" i="3"/>
  <c r="AF835" i="3" s="1"/>
  <c r="S835" i="3"/>
  <c r="Q835" i="3"/>
  <c r="K835" i="3"/>
  <c r="AD834" i="3"/>
  <c r="S834" i="3"/>
  <c r="Q834" i="3"/>
  <c r="K834" i="3"/>
  <c r="AD833" i="3"/>
  <c r="K833" i="3"/>
  <c r="AD832" i="3"/>
  <c r="AF832" i="3" s="1"/>
  <c r="S832" i="3"/>
  <c r="Q832" i="3"/>
  <c r="K832" i="3"/>
  <c r="AD831" i="3"/>
  <c r="S831" i="3"/>
  <c r="Q831" i="3"/>
  <c r="K831" i="3"/>
  <c r="AD830" i="3"/>
  <c r="AF830" i="3" s="1"/>
  <c r="S830" i="3"/>
  <c r="Q830" i="3"/>
  <c r="K830" i="3"/>
  <c r="AD829" i="3"/>
  <c r="AF829" i="3" s="1"/>
  <c r="S829" i="3"/>
  <c r="Q829" i="3"/>
  <c r="K829" i="3"/>
  <c r="AD828" i="3"/>
  <c r="AE828" i="3" s="1"/>
  <c r="S828" i="3"/>
  <c r="Q828" i="3"/>
  <c r="K828" i="3"/>
  <c r="AD827" i="3"/>
  <c r="AF827" i="3" s="1"/>
  <c r="K827" i="3"/>
  <c r="AD826" i="3"/>
  <c r="AE826" i="3" s="1"/>
  <c r="S826" i="3"/>
  <c r="Q826" i="3"/>
  <c r="K826" i="3"/>
  <c r="AD825" i="3"/>
  <c r="AF825" i="3" s="1"/>
  <c r="S825" i="3"/>
  <c r="Q825" i="3"/>
  <c r="K825" i="3"/>
  <c r="AD824" i="3"/>
  <c r="S824" i="3"/>
  <c r="Q824" i="3"/>
  <c r="K824" i="3"/>
  <c r="AD823" i="3"/>
  <c r="AE823" i="3" s="1"/>
  <c r="S823" i="3"/>
  <c r="Q823" i="3"/>
  <c r="K823" i="3"/>
  <c r="AD822" i="3"/>
  <c r="AE822" i="3" s="1"/>
  <c r="S822" i="3"/>
  <c r="Q822" i="3"/>
  <c r="K822" i="3"/>
  <c r="AD821" i="3"/>
  <c r="AF821" i="3" s="1"/>
  <c r="K821" i="3"/>
  <c r="AD820" i="3"/>
  <c r="AF820" i="3" s="1"/>
  <c r="S820" i="3"/>
  <c r="Q820" i="3"/>
  <c r="K820" i="3"/>
  <c r="AD819" i="3"/>
  <c r="AE819" i="3" s="1"/>
  <c r="S819" i="3"/>
  <c r="Q819" i="3"/>
  <c r="K819" i="3"/>
  <c r="AD818" i="3"/>
  <c r="AF818" i="3" s="1"/>
  <c r="S818" i="3"/>
  <c r="Q818" i="3"/>
  <c r="K818" i="3"/>
  <c r="AD817" i="3"/>
  <c r="S817" i="3"/>
  <c r="Q817" i="3"/>
  <c r="K817" i="3"/>
  <c r="AD816" i="3"/>
  <c r="AE816" i="3" s="1"/>
  <c r="S816" i="3"/>
  <c r="Q816" i="3"/>
  <c r="K816" i="3"/>
  <c r="AD815" i="3"/>
  <c r="AF815" i="3" s="1"/>
  <c r="K815" i="3"/>
  <c r="AD814" i="3"/>
  <c r="S814" i="3"/>
  <c r="Q814" i="3"/>
  <c r="K814" i="3"/>
  <c r="AD813" i="3"/>
  <c r="AE813" i="3" s="1"/>
  <c r="S813" i="3"/>
  <c r="Q813" i="3"/>
  <c r="K813" i="3"/>
  <c r="AD812" i="3"/>
  <c r="AF812" i="3" s="1"/>
  <c r="S812" i="3"/>
  <c r="Q812" i="3"/>
  <c r="K812" i="3"/>
  <c r="AD811" i="3"/>
  <c r="AF811" i="3" s="1"/>
  <c r="S811" i="3"/>
  <c r="Q811" i="3"/>
  <c r="K811" i="3"/>
  <c r="AD810" i="3"/>
  <c r="AF810" i="3" s="1"/>
  <c r="S810" i="3"/>
  <c r="Q810" i="3"/>
  <c r="K810" i="3"/>
  <c r="AD809" i="3"/>
  <c r="AE809" i="3" s="1"/>
  <c r="S809" i="3"/>
  <c r="Q809" i="3"/>
  <c r="K809" i="3"/>
  <c r="AD808" i="3"/>
  <c r="AF808" i="3" s="1"/>
  <c r="S808" i="3"/>
  <c r="R808" i="3"/>
  <c r="R809" i="3" s="1"/>
  <c r="Q808" i="3"/>
  <c r="K808" i="3"/>
  <c r="AD807" i="3"/>
  <c r="S807" i="3"/>
  <c r="T807" i="3" s="1"/>
  <c r="Q807" i="3"/>
  <c r="K807" i="3"/>
  <c r="AD806" i="3"/>
  <c r="AE806" i="3" s="1"/>
  <c r="S806" i="3"/>
  <c r="T806" i="3" s="1"/>
  <c r="Q806" i="3"/>
  <c r="K806" i="3"/>
  <c r="AD805" i="3"/>
  <c r="AE805" i="3" s="1"/>
  <c r="K805" i="3"/>
  <c r="AD804" i="3"/>
  <c r="AE804" i="3" s="1"/>
  <c r="S804" i="3"/>
  <c r="Q804" i="3"/>
  <c r="K804" i="3"/>
  <c r="AD803" i="3"/>
  <c r="AF803" i="3" s="1"/>
  <c r="S803" i="3"/>
  <c r="Q803" i="3"/>
  <c r="K803" i="3"/>
  <c r="AD802" i="3"/>
  <c r="AF802" i="3" s="1"/>
  <c r="S802" i="3"/>
  <c r="Q802" i="3"/>
  <c r="K802" i="3"/>
  <c r="AD801" i="3"/>
  <c r="AF801" i="3" s="1"/>
  <c r="S801" i="3"/>
  <c r="Q801" i="3"/>
  <c r="K801" i="3"/>
  <c r="AD800" i="3"/>
  <c r="AE800" i="3" s="1"/>
  <c r="S800" i="3"/>
  <c r="Q800" i="3"/>
  <c r="K800" i="3"/>
  <c r="AD799" i="3"/>
  <c r="AE799" i="3" s="1"/>
  <c r="S799" i="3"/>
  <c r="Q799" i="3"/>
  <c r="K799" i="3"/>
  <c r="AD798" i="3"/>
  <c r="AF798" i="3" s="1"/>
  <c r="S798" i="3"/>
  <c r="Q798" i="3"/>
  <c r="K798" i="3"/>
  <c r="AD797" i="3"/>
  <c r="AE797" i="3" s="1"/>
  <c r="S797" i="3"/>
  <c r="Q797" i="3"/>
  <c r="K797" i="3"/>
  <c r="AD796" i="3"/>
  <c r="S796" i="3"/>
  <c r="Q796" i="3"/>
  <c r="K796" i="3"/>
  <c r="AD795" i="3"/>
  <c r="K795" i="3"/>
  <c r="AD794" i="3"/>
  <c r="AF794" i="3" s="1"/>
  <c r="S794" i="3"/>
  <c r="Q794" i="3"/>
  <c r="K794" i="3"/>
  <c r="AD793" i="3"/>
  <c r="S793" i="3"/>
  <c r="Q793" i="3"/>
  <c r="K793" i="3"/>
  <c r="AD792" i="3"/>
  <c r="AF792" i="3" s="1"/>
  <c r="S792" i="3"/>
  <c r="Q792" i="3"/>
  <c r="K792" i="3"/>
  <c r="AD791" i="3"/>
  <c r="S791" i="3"/>
  <c r="Q791" i="3"/>
  <c r="K791" i="3"/>
  <c r="AD790" i="3"/>
  <c r="AF790" i="3" s="1"/>
  <c r="S790" i="3"/>
  <c r="Q790" i="3"/>
  <c r="K790" i="3"/>
  <c r="AD789" i="3"/>
  <c r="S789" i="3"/>
  <c r="Q789" i="3"/>
  <c r="K789" i="3"/>
  <c r="AD788" i="3"/>
  <c r="AF788" i="3" s="1"/>
  <c r="S788" i="3"/>
  <c r="Q788" i="3"/>
  <c r="K788" i="3"/>
  <c r="AD787" i="3"/>
  <c r="AF787" i="3" s="1"/>
  <c r="S787" i="3"/>
  <c r="Q787" i="3"/>
  <c r="K787" i="3"/>
  <c r="AD786" i="3"/>
  <c r="AF786" i="3" s="1"/>
  <c r="S786" i="3"/>
  <c r="Q786" i="3"/>
  <c r="K786" i="3"/>
  <c r="AD785" i="3"/>
  <c r="AD784" i="3"/>
  <c r="AE784" i="3" s="1"/>
  <c r="S784" i="3"/>
  <c r="Q784" i="3"/>
  <c r="K784" i="3"/>
  <c r="AD783" i="3"/>
  <c r="S783" i="3"/>
  <c r="Q783" i="3"/>
  <c r="K783" i="3"/>
  <c r="AD782" i="3"/>
  <c r="S782" i="3"/>
  <c r="Q782" i="3"/>
  <c r="K782" i="3"/>
  <c r="AD781" i="3"/>
  <c r="AF781" i="3" s="1"/>
  <c r="S781" i="3"/>
  <c r="Q781" i="3"/>
  <c r="K781" i="3"/>
  <c r="AD780" i="3"/>
  <c r="AF780" i="3" s="1"/>
  <c r="S780" i="3"/>
  <c r="Q780" i="3"/>
  <c r="K780" i="3"/>
  <c r="AD779" i="3"/>
  <c r="S779" i="3"/>
  <c r="Q779" i="3"/>
  <c r="K779" i="3"/>
  <c r="AD778" i="3"/>
  <c r="AE778" i="3" s="1"/>
  <c r="S778" i="3"/>
  <c r="Q778" i="3"/>
  <c r="K778" i="3"/>
  <c r="AD777" i="3"/>
  <c r="AE777" i="3" s="1"/>
  <c r="S777" i="3"/>
  <c r="Q777" i="3"/>
  <c r="K777" i="3"/>
  <c r="AD776" i="3"/>
  <c r="AE776" i="3" s="1"/>
  <c r="S776" i="3"/>
  <c r="Q776" i="3"/>
  <c r="K776" i="3"/>
  <c r="AD775" i="3"/>
  <c r="AE775" i="3" s="1"/>
  <c r="K775" i="3"/>
  <c r="AD774" i="3"/>
  <c r="S774" i="3"/>
  <c r="Q774" i="3"/>
  <c r="K774" i="3"/>
  <c r="AD773" i="3"/>
  <c r="AF773" i="3" s="1"/>
  <c r="S773" i="3"/>
  <c r="Q773" i="3"/>
  <c r="K773" i="3"/>
  <c r="AD772" i="3"/>
  <c r="AE772" i="3" s="1"/>
  <c r="S772" i="3"/>
  <c r="Q772" i="3"/>
  <c r="K772" i="3"/>
  <c r="AD771" i="3"/>
  <c r="AE771" i="3" s="1"/>
  <c r="S771" i="3"/>
  <c r="Q771" i="3"/>
  <c r="K771" i="3"/>
  <c r="AD770" i="3"/>
  <c r="S770" i="3"/>
  <c r="Q770" i="3"/>
  <c r="K770" i="3"/>
  <c r="AD769" i="3"/>
  <c r="AF769" i="3" s="1"/>
  <c r="S769" i="3"/>
  <c r="Q769" i="3"/>
  <c r="K769" i="3"/>
  <c r="AD768" i="3"/>
  <c r="AF768" i="3" s="1"/>
  <c r="S768" i="3"/>
  <c r="Q768" i="3"/>
  <c r="K768" i="3"/>
  <c r="AD767" i="3"/>
  <c r="AF767" i="3" s="1"/>
  <c r="S767" i="3"/>
  <c r="Q767" i="3"/>
  <c r="K767" i="3"/>
  <c r="AD766" i="3"/>
  <c r="S766" i="3"/>
  <c r="Q766" i="3"/>
  <c r="K766" i="3"/>
  <c r="AD765" i="3"/>
  <c r="K765" i="3"/>
  <c r="AD764" i="3"/>
  <c r="AE764" i="3" s="1"/>
  <c r="S764" i="3"/>
  <c r="Q764" i="3"/>
  <c r="K764" i="3"/>
  <c r="AD763" i="3"/>
  <c r="AF763" i="3" s="1"/>
  <c r="S763" i="3"/>
  <c r="Q763" i="3"/>
  <c r="K763" i="3"/>
  <c r="AD762" i="3"/>
  <c r="AF762" i="3" s="1"/>
  <c r="S762" i="3"/>
  <c r="Q762" i="3"/>
  <c r="K762" i="3"/>
  <c r="AD761" i="3"/>
  <c r="AF761" i="3" s="1"/>
  <c r="S761" i="3"/>
  <c r="Q761" i="3"/>
  <c r="K761" i="3"/>
  <c r="AD760" i="3"/>
  <c r="AF760" i="3" s="1"/>
  <c r="S760" i="3"/>
  <c r="Q760" i="3"/>
  <c r="K760" i="3"/>
  <c r="AD759" i="3"/>
  <c r="AF759" i="3" s="1"/>
  <c r="S759" i="3"/>
  <c r="Q759" i="3"/>
  <c r="K759" i="3"/>
  <c r="AD758" i="3"/>
  <c r="AF758" i="3" s="1"/>
  <c r="S758" i="3"/>
  <c r="Q758" i="3"/>
  <c r="K758" i="3"/>
  <c r="AD757" i="3"/>
  <c r="AE757" i="3" s="1"/>
  <c r="S757" i="3"/>
  <c r="Q757" i="3"/>
  <c r="K757" i="3"/>
  <c r="AD756" i="3"/>
  <c r="AE756" i="3" s="1"/>
  <c r="S756" i="3"/>
  <c r="Q756" i="3"/>
  <c r="K756" i="3"/>
  <c r="AD755" i="3"/>
  <c r="K755" i="3"/>
  <c r="AD754" i="3"/>
  <c r="AF754" i="3" s="1"/>
  <c r="S754" i="3"/>
  <c r="Q754" i="3"/>
  <c r="K754" i="3"/>
  <c r="AD753" i="3"/>
  <c r="AF753" i="3" s="1"/>
  <c r="S753" i="3"/>
  <c r="Q753" i="3"/>
  <c r="K753" i="3"/>
  <c r="AD752" i="3"/>
  <c r="AF752" i="3" s="1"/>
  <c r="S752" i="3"/>
  <c r="Q752" i="3"/>
  <c r="K752" i="3"/>
  <c r="AD751" i="3"/>
  <c r="AE751" i="3" s="1"/>
  <c r="S751" i="3"/>
  <c r="Q751" i="3"/>
  <c r="K751" i="3"/>
  <c r="AD750" i="3"/>
  <c r="S750" i="3"/>
  <c r="Q750" i="3"/>
  <c r="K750" i="3"/>
  <c r="AD749" i="3"/>
  <c r="S749" i="3"/>
  <c r="Q749" i="3"/>
  <c r="K749" i="3"/>
  <c r="AD748" i="3"/>
  <c r="AE748" i="3" s="1"/>
  <c r="S748" i="3"/>
  <c r="Q748" i="3"/>
  <c r="K748" i="3"/>
  <c r="AD747" i="3"/>
  <c r="AF747" i="3" s="1"/>
  <c r="S747" i="3"/>
  <c r="Q747" i="3"/>
  <c r="K747" i="3"/>
  <c r="AD746" i="3"/>
  <c r="AE746" i="3" s="1"/>
  <c r="S746" i="3"/>
  <c r="Q746" i="3"/>
  <c r="K746" i="3"/>
  <c r="AD745" i="3"/>
  <c r="AF745" i="3" s="1"/>
  <c r="K745" i="3"/>
  <c r="AD744" i="3"/>
  <c r="AF744" i="3" s="1"/>
  <c r="S744" i="3"/>
  <c r="Q744" i="3"/>
  <c r="K744" i="3"/>
  <c r="AD743" i="3"/>
  <c r="AE743" i="3" s="1"/>
  <c r="S743" i="3"/>
  <c r="Q743" i="3"/>
  <c r="K743" i="3"/>
  <c r="AD742" i="3"/>
  <c r="AF742" i="3" s="1"/>
  <c r="S742" i="3"/>
  <c r="Q742" i="3"/>
  <c r="K742" i="3"/>
  <c r="AD741" i="3"/>
  <c r="AE741" i="3" s="1"/>
  <c r="S741" i="3"/>
  <c r="Q741" i="3"/>
  <c r="K741" i="3"/>
  <c r="AD740" i="3"/>
  <c r="AE740" i="3" s="1"/>
  <c r="S740" i="3"/>
  <c r="Q740" i="3"/>
  <c r="K740" i="3"/>
  <c r="S739" i="3"/>
  <c r="P739" i="3"/>
  <c r="M739" i="3"/>
  <c r="N739" i="3" s="1"/>
  <c r="L739" i="3"/>
  <c r="K739" i="3"/>
  <c r="I739" i="3"/>
  <c r="G739" i="3"/>
  <c r="AD738" i="3"/>
  <c r="AF738" i="3" s="1"/>
  <c r="S738" i="3"/>
  <c r="Q738" i="3"/>
  <c r="K738" i="3"/>
  <c r="AD737" i="3"/>
  <c r="AF737" i="3" s="1"/>
  <c r="S737" i="3"/>
  <c r="Q737" i="3"/>
  <c r="K737" i="3"/>
  <c r="AD736" i="3"/>
  <c r="AF736" i="3" s="1"/>
  <c r="S736" i="3"/>
  <c r="Q736" i="3"/>
  <c r="P736" i="3"/>
  <c r="K736" i="3"/>
  <c r="AD735" i="3"/>
  <c r="AF735" i="3" s="1"/>
  <c r="K735" i="3"/>
  <c r="AD734" i="3"/>
  <c r="S734" i="3"/>
  <c r="Q734" i="3"/>
  <c r="K734" i="3"/>
  <c r="AD733" i="3"/>
  <c r="AE733" i="3" s="1"/>
  <c r="S733" i="3"/>
  <c r="Q733" i="3"/>
  <c r="K733" i="3"/>
  <c r="AD732" i="3"/>
  <c r="AF732" i="3" s="1"/>
  <c r="S732" i="3"/>
  <c r="Q732" i="3"/>
  <c r="K732" i="3"/>
  <c r="AD731" i="3"/>
  <c r="S731" i="3"/>
  <c r="Q731" i="3"/>
  <c r="K731" i="3"/>
  <c r="AD730" i="3"/>
  <c r="AF730" i="3" s="1"/>
  <c r="S730" i="3"/>
  <c r="Q730" i="3"/>
  <c r="K730" i="3"/>
  <c r="AD729" i="3"/>
  <c r="AF729" i="3" s="1"/>
  <c r="S729" i="3"/>
  <c r="Q729" i="3"/>
  <c r="K729" i="3"/>
  <c r="AD728" i="3"/>
  <c r="AF728" i="3" s="1"/>
  <c r="S728" i="3"/>
  <c r="Q728" i="3"/>
  <c r="K728" i="3"/>
  <c r="AD727" i="3"/>
  <c r="AF727" i="3" s="1"/>
  <c r="S727" i="3"/>
  <c r="Q727" i="3"/>
  <c r="K727" i="3"/>
  <c r="AD726" i="3"/>
  <c r="AF726" i="3" s="1"/>
  <c r="S726" i="3"/>
  <c r="Q726" i="3"/>
  <c r="K726" i="3"/>
  <c r="AD725" i="3"/>
  <c r="AE725" i="3" s="1"/>
  <c r="K725" i="3"/>
  <c r="AD724" i="3"/>
  <c r="AF724" i="3" s="1"/>
  <c r="S724" i="3"/>
  <c r="Q724" i="3"/>
  <c r="K724" i="3"/>
  <c r="AD723" i="3"/>
  <c r="AF723" i="3" s="1"/>
  <c r="S723" i="3"/>
  <c r="Q723" i="3"/>
  <c r="K723" i="3"/>
  <c r="AD722" i="3"/>
  <c r="AE722" i="3" s="1"/>
  <c r="S722" i="3"/>
  <c r="Q722" i="3"/>
  <c r="K722" i="3"/>
  <c r="AD721" i="3"/>
  <c r="AE721" i="3" s="1"/>
  <c r="S721" i="3"/>
  <c r="Q721" i="3"/>
  <c r="K721" i="3"/>
  <c r="AD720" i="3"/>
  <c r="AF720" i="3" s="1"/>
  <c r="S720" i="3"/>
  <c r="Q720" i="3"/>
  <c r="K720" i="3"/>
  <c r="AD719" i="3"/>
  <c r="AE719" i="3" s="1"/>
  <c r="S719" i="3"/>
  <c r="Q719" i="3"/>
  <c r="K719" i="3"/>
  <c r="AD718" i="3"/>
  <c r="AF718" i="3" s="1"/>
  <c r="S718" i="3"/>
  <c r="Q718" i="3"/>
  <c r="K718" i="3"/>
  <c r="AD717" i="3"/>
  <c r="AF717" i="3" s="1"/>
  <c r="S717" i="3"/>
  <c r="Q717" i="3"/>
  <c r="K717" i="3"/>
  <c r="AD716" i="3"/>
  <c r="AF716" i="3" s="1"/>
  <c r="S716" i="3"/>
  <c r="Q716" i="3"/>
  <c r="K716" i="3"/>
  <c r="AD715" i="3"/>
  <c r="AF715" i="3" s="1"/>
  <c r="K715" i="3"/>
  <c r="AD714" i="3"/>
  <c r="S714" i="3"/>
  <c r="Q714" i="3"/>
  <c r="K714" i="3"/>
  <c r="AD713" i="3"/>
  <c r="AF713" i="3" s="1"/>
  <c r="S713" i="3"/>
  <c r="Q713" i="3"/>
  <c r="K713" i="3"/>
  <c r="AD712" i="3"/>
  <c r="S712" i="3"/>
  <c r="Q712" i="3"/>
  <c r="K712" i="3"/>
  <c r="AD711" i="3"/>
  <c r="AE711" i="3" s="1"/>
  <c r="S711" i="3"/>
  <c r="Q711" i="3"/>
  <c r="K711" i="3"/>
  <c r="AD710" i="3"/>
  <c r="AF710" i="3" s="1"/>
  <c r="S710" i="3"/>
  <c r="Q710" i="3"/>
  <c r="K710" i="3"/>
  <c r="AD709" i="3"/>
  <c r="AF709" i="3" s="1"/>
  <c r="S709" i="3"/>
  <c r="Q709" i="3"/>
  <c r="K709" i="3"/>
  <c r="AD708" i="3"/>
  <c r="AE708" i="3" s="1"/>
  <c r="S708" i="3"/>
  <c r="Q708" i="3"/>
  <c r="K708" i="3"/>
  <c r="AD707" i="3"/>
  <c r="AF707" i="3" s="1"/>
  <c r="S707" i="3"/>
  <c r="Q707" i="3"/>
  <c r="K707" i="3"/>
  <c r="AD706" i="3"/>
  <c r="S706" i="3"/>
  <c r="Q706" i="3"/>
  <c r="K706" i="3"/>
  <c r="E705" i="3"/>
  <c r="AD704" i="3"/>
  <c r="AE704" i="3" s="1"/>
  <c r="S704" i="3"/>
  <c r="Q704" i="3"/>
  <c r="K704" i="3"/>
  <c r="AD703" i="3"/>
  <c r="AE703" i="3" s="1"/>
  <c r="S703" i="3"/>
  <c r="Q703" i="3"/>
  <c r="K703" i="3"/>
  <c r="AD702" i="3"/>
  <c r="AE702" i="3" s="1"/>
  <c r="S702" i="3"/>
  <c r="Q702" i="3"/>
  <c r="K702" i="3"/>
  <c r="AD701" i="3"/>
  <c r="S701" i="3"/>
  <c r="Q701" i="3"/>
  <c r="K701" i="3"/>
  <c r="AD700" i="3"/>
  <c r="AF700" i="3" s="1"/>
  <c r="S700" i="3"/>
  <c r="Q700" i="3"/>
  <c r="K700" i="3"/>
  <c r="AD699" i="3"/>
  <c r="AF699" i="3" s="1"/>
  <c r="S699" i="3"/>
  <c r="Q699" i="3"/>
  <c r="K699" i="3"/>
  <c r="AD698" i="3"/>
  <c r="AF698" i="3" s="1"/>
  <c r="S698" i="3"/>
  <c r="Q698" i="3"/>
  <c r="K698" i="3"/>
  <c r="AD697" i="3"/>
  <c r="AE697" i="3" s="1"/>
  <c r="S697" i="3"/>
  <c r="Q697" i="3"/>
  <c r="K697" i="3"/>
  <c r="AD696" i="3"/>
  <c r="AE696" i="3" s="1"/>
  <c r="S696" i="3"/>
  <c r="Q696" i="3"/>
  <c r="K696" i="3"/>
  <c r="E695" i="3"/>
  <c r="AD694" i="3"/>
  <c r="AE694" i="3" s="1"/>
  <c r="S694" i="3"/>
  <c r="R694" i="3"/>
  <c r="Q694" i="3"/>
  <c r="K694" i="3"/>
  <c r="AD693" i="3"/>
  <c r="AF693" i="3" s="1"/>
  <c r="S693" i="3"/>
  <c r="T693" i="3" s="1"/>
  <c r="Q693" i="3"/>
  <c r="K693" i="3"/>
  <c r="AD692" i="3"/>
  <c r="S692" i="3"/>
  <c r="T692" i="3" s="1"/>
  <c r="Q692" i="3"/>
  <c r="K692" i="3"/>
  <c r="AD691" i="3"/>
  <c r="AF691" i="3" s="1"/>
  <c r="S691" i="3"/>
  <c r="T691" i="3" s="1"/>
  <c r="Q691" i="3"/>
  <c r="K691" i="3"/>
  <c r="AD690" i="3"/>
  <c r="AF690" i="3" s="1"/>
  <c r="S690" i="3"/>
  <c r="T690" i="3" s="1"/>
  <c r="Q690" i="3"/>
  <c r="K690" i="3"/>
  <c r="AD689" i="3"/>
  <c r="AE689" i="3" s="1"/>
  <c r="S689" i="3"/>
  <c r="Q689" i="3"/>
  <c r="K689" i="3"/>
  <c r="AD688" i="3"/>
  <c r="AF688" i="3" s="1"/>
  <c r="S688" i="3"/>
  <c r="Q688" i="3"/>
  <c r="K688" i="3"/>
  <c r="AD687" i="3"/>
  <c r="S687" i="3"/>
  <c r="Q687" i="3"/>
  <c r="K687" i="3"/>
  <c r="AD686" i="3"/>
  <c r="AE686" i="3" s="1"/>
  <c r="S686" i="3"/>
  <c r="R686" i="3"/>
  <c r="R687" i="3" s="1"/>
  <c r="R688" i="3" s="1"/>
  <c r="Q686" i="3"/>
  <c r="K686" i="3"/>
  <c r="E685" i="3"/>
  <c r="AD684" i="3"/>
  <c r="AE684" i="3" s="1"/>
  <c r="S684" i="3"/>
  <c r="T684" i="3" s="1"/>
  <c r="Q684" i="3"/>
  <c r="K684" i="3"/>
  <c r="AD683" i="3"/>
  <c r="AF683" i="3" s="1"/>
  <c r="S683" i="3"/>
  <c r="T683" i="3" s="1"/>
  <c r="Q683" i="3"/>
  <c r="K683" i="3"/>
  <c r="AD682" i="3"/>
  <c r="AF682" i="3" s="1"/>
  <c r="S682" i="3"/>
  <c r="T682" i="3" s="1"/>
  <c r="Q682" i="3"/>
  <c r="K682" i="3"/>
  <c r="AD681" i="3"/>
  <c r="AF681" i="3" s="1"/>
  <c r="S681" i="3"/>
  <c r="T681" i="3" s="1"/>
  <c r="Q681" i="3"/>
  <c r="K681" i="3"/>
  <c r="AD680" i="3"/>
  <c r="S680" i="3"/>
  <c r="Q680" i="3"/>
  <c r="K680" i="3"/>
  <c r="AD679" i="3"/>
  <c r="AF679" i="3" s="1"/>
  <c r="S679" i="3"/>
  <c r="Q679" i="3"/>
  <c r="K679" i="3"/>
  <c r="AD678" i="3"/>
  <c r="AF678" i="3" s="1"/>
  <c r="S678" i="3"/>
  <c r="Q678" i="3"/>
  <c r="K678" i="3"/>
  <c r="AD677" i="3"/>
  <c r="AF677" i="3" s="1"/>
  <c r="S677" i="3"/>
  <c r="Q677" i="3"/>
  <c r="K677" i="3"/>
  <c r="AD676" i="3"/>
  <c r="AE676" i="3" s="1"/>
  <c r="S676" i="3"/>
  <c r="Q676" i="3"/>
  <c r="K676" i="3"/>
  <c r="E675" i="3"/>
  <c r="AD674" i="3"/>
  <c r="AF674" i="3" s="1"/>
  <c r="S674" i="3"/>
  <c r="Q674" i="3"/>
  <c r="K674" i="3"/>
  <c r="AD673" i="3"/>
  <c r="AE673" i="3" s="1"/>
  <c r="S673" i="3"/>
  <c r="Q673" i="3"/>
  <c r="K673" i="3"/>
  <c r="AD672" i="3"/>
  <c r="AF672" i="3" s="1"/>
  <c r="S672" i="3"/>
  <c r="Q672" i="3"/>
  <c r="K672" i="3"/>
  <c r="AD671" i="3"/>
  <c r="S671" i="3"/>
  <c r="Q671" i="3"/>
  <c r="K671" i="3"/>
  <c r="AD670" i="3"/>
  <c r="AE670" i="3" s="1"/>
  <c r="S670" i="3"/>
  <c r="Q670" i="3"/>
  <c r="K670" i="3"/>
  <c r="AD669" i="3"/>
  <c r="AF669" i="3" s="1"/>
  <c r="S669" i="3"/>
  <c r="Q669" i="3"/>
  <c r="K669" i="3"/>
  <c r="AD668" i="3"/>
  <c r="S668" i="3"/>
  <c r="Q668" i="3"/>
  <c r="K668" i="3"/>
  <c r="AD667" i="3"/>
  <c r="AE667" i="3" s="1"/>
  <c r="S667" i="3"/>
  <c r="Q667" i="3"/>
  <c r="K667" i="3"/>
  <c r="AD666" i="3"/>
  <c r="AF666" i="3" s="1"/>
  <c r="S666" i="3"/>
  <c r="Q666" i="3"/>
  <c r="K666" i="3"/>
  <c r="E665" i="3"/>
  <c r="AD664" i="3"/>
  <c r="AF664" i="3" s="1"/>
  <c r="S664" i="3"/>
  <c r="Q664" i="3"/>
  <c r="K664" i="3"/>
  <c r="AD663" i="3"/>
  <c r="S663" i="3"/>
  <c r="Q663" i="3"/>
  <c r="K663" i="3"/>
  <c r="AD662" i="3"/>
  <c r="AF662" i="3" s="1"/>
  <c r="S662" i="3"/>
  <c r="Q662" i="3"/>
  <c r="K662" i="3"/>
  <c r="AD661" i="3"/>
  <c r="AF661" i="3" s="1"/>
  <c r="S661" i="3"/>
  <c r="Q661" i="3"/>
  <c r="K661" i="3"/>
  <c r="AD660" i="3"/>
  <c r="AF660" i="3" s="1"/>
  <c r="S660" i="3"/>
  <c r="Q660" i="3"/>
  <c r="K660" i="3"/>
  <c r="AD659" i="3"/>
  <c r="AE659" i="3" s="1"/>
  <c r="S659" i="3"/>
  <c r="Q659" i="3"/>
  <c r="K659" i="3"/>
  <c r="AD658" i="3"/>
  <c r="AE658" i="3" s="1"/>
  <c r="S658" i="3"/>
  <c r="Q658" i="3"/>
  <c r="K658" i="3"/>
  <c r="AD657" i="3"/>
  <c r="AE657" i="3" s="1"/>
  <c r="S657" i="3"/>
  <c r="Q657" i="3"/>
  <c r="K657" i="3"/>
  <c r="AD656" i="3"/>
  <c r="AF656" i="3" s="1"/>
  <c r="S656" i="3"/>
  <c r="Q656" i="3"/>
  <c r="K656" i="3"/>
  <c r="E655" i="3"/>
  <c r="AD654" i="3"/>
  <c r="AF654" i="3" s="1"/>
  <c r="S654" i="3"/>
  <c r="Q654" i="3"/>
  <c r="K654" i="3"/>
  <c r="AD653" i="3"/>
  <c r="AE653" i="3" s="1"/>
  <c r="S653" i="3"/>
  <c r="Q653" i="3"/>
  <c r="K653" i="3"/>
  <c r="AD652" i="3"/>
  <c r="S652" i="3"/>
  <c r="Q652" i="3"/>
  <c r="K652" i="3"/>
  <c r="AD651" i="3"/>
  <c r="S651" i="3"/>
  <c r="Q651" i="3"/>
  <c r="K651" i="3"/>
  <c r="AD650" i="3"/>
  <c r="AE650" i="3" s="1"/>
  <c r="S650" i="3"/>
  <c r="Q650" i="3"/>
  <c r="K650" i="3"/>
  <c r="AD649" i="3"/>
  <c r="AF649" i="3" s="1"/>
  <c r="S649" i="3"/>
  <c r="Q649" i="3"/>
  <c r="K649" i="3"/>
  <c r="AD648" i="3"/>
  <c r="AF648" i="3" s="1"/>
  <c r="S648" i="3"/>
  <c r="Q648" i="3"/>
  <c r="K648" i="3"/>
  <c r="AD647" i="3"/>
  <c r="AF647" i="3" s="1"/>
  <c r="S647" i="3"/>
  <c r="Q647" i="3"/>
  <c r="K647" i="3"/>
  <c r="AD646" i="3"/>
  <c r="S646" i="3"/>
  <c r="Q646" i="3"/>
  <c r="K646" i="3"/>
  <c r="E645" i="3"/>
  <c r="AD644" i="3"/>
  <c r="AF644" i="3" s="1"/>
  <c r="S644" i="3"/>
  <c r="Q644" i="3"/>
  <c r="K644" i="3"/>
  <c r="AD643" i="3"/>
  <c r="AE643" i="3" s="1"/>
  <c r="S643" i="3"/>
  <c r="Q643" i="3"/>
  <c r="K643" i="3"/>
  <c r="AD642" i="3"/>
  <c r="S642" i="3"/>
  <c r="Q642" i="3"/>
  <c r="K642" i="3"/>
  <c r="AD641" i="3"/>
  <c r="AE641" i="3" s="1"/>
  <c r="S641" i="3"/>
  <c r="Q641" i="3"/>
  <c r="K641" i="3"/>
  <c r="AD640" i="3"/>
  <c r="S640" i="3"/>
  <c r="Q640" i="3"/>
  <c r="K640" i="3"/>
  <c r="AD639" i="3"/>
  <c r="AF639" i="3" s="1"/>
  <c r="S639" i="3"/>
  <c r="Q639" i="3"/>
  <c r="K639" i="3"/>
  <c r="AD638" i="3"/>
  <c r="S638" i="3"/>
  <c r="Q638" i="3"/>
  <c r="K638" i="3"/>
  <c r="AD637" i="3"/>
  <c r="AF637" i="3" s="1"/>
  <c r="S637" i="3"/>
  <c r="Q637" i="3"/>
  <c r="K637" i="3"/>
  <c r="AD636" i="3"/>
  <c r="AE636" i="3" s="1"/>
  <c r="S636" i="3"/>
  <c r="Q636" i="3"/>
  <c r="K636" i="3"/>
  <c r="E635" i="3"/>
  <c r="AD634" i="3"/>
  <c r="AE634" i="3" s="1"/>
  <c r="S634" i="3"/>
  <c r="Q634" i="3"/>
  <c r="K634" i="3"/>
  <c r="AD633" i="3"/>
  <c r="AE633" i="3" s="1"/>
  <c r="S633" i="3"/>
  <c r="Q633" i="3"/>
  <c r="K633" i="3"/>
  <c r="AD632" i="3"/>
  <c r="S632" i="3"/>
  <c r="Q632" i="3"/>
  <c r="K632" i="3"/>
  <c r="AD631" i="3"/>
  <c r="AF631" i="3" s="1"/>
  <c r="S631" i="3"/>
  <c r="Q631" i="3"/>
  <c r="K631" i="3"/>
  <c r="AD630" i="3"/>
  <c r="S630" i="3"/>
  <c r="Q630" i="3"/>
  <c r="K630" i="3"/>
  <c r="AD629" i="3"/>
  <c r="AF629" i="3" s="1"/>
  <c r="S629" i="3"/>
  <c r="Q629" i="3"/>
  <c r="K629" i="3"/>
  <c r="AD628" i="3"/>
  <c r="AE628" i="3" s="1"/>
  <c r="S628" i="3"/>
  <c r="Q628" i="3"/>
  <c r="K628" i="3"/>
  <c r="AD627" i="3"/>
  <c r="AF627" i="3" s="1"/>
  <c r="S627" i="3"/>
  <c r="Q627" i="3"/>
  <c r="K627" i="3"/>
  <c r="AD626" i="3"/>
  <c r="AE626" i="3" s="1"/>
  <c r="S626" i="3"/>
  <c r="Q626" i="3"/>
  <c r="K626" i="3"/>
  <c r="E625" i="3"/>
  <c r="AD624" i="3"/>
  <c r="AF624" i="3" s="1"/>
  <c r="S624" i="3"/>
  <c r="Q624" i="3"/>
  <c r="K624" i="3"/>
  <c r="AD623" i="3"/>
  <c r="AF623" i="3" s="1"/>
  <c r="S623" i="3"/>
  <c r="Q623" i="3"/>
  <c r="K623" i="3"/>
  <c r="AD622" i="3"/>
  <c r="AF622" i="3" s="1"/>
  <c r="S622" i="3"/>
  <c r="Q622" i="3"/>
  <c r="K622" i="3"/>
  <c r="AD621" i="3"/>
  <c r="AF621" i="3" s="1"/>
  <c r="S621" i="3"/>
  <c r="Q621" i="3"/>
  <c r="K621" i="3"/>
  <c r="AD620" i="3"/>
  <c r="AE620" i="3" s="1"/>
  <c r="S620" i="3"/>
  <c r="Q620" i="3"/>
  <c r="K620" i="3"/>
  <c r="AD619" i="3"/>
  <c r="AE619" i="3" s="1"/>
  <c r="S619" i="3"/>
  <c r="Q619" i="3"/>
  <c r="K619" i="3"/>
  <c r="AD618" i="3"/>
  <c r="AF618" i="3" s="1"/>
  <c r="S618" i="3"/>
  <c r="Q618" i="3"/>
  <c r="K618" i="3"/>
  <c r="AD617" i="3"/>
  <c r="AE617" i="3" s="1"/>
  <c r="S617" i="3"/>
  <c r="Q617" i="3"/>
  <c r="K617" i="3"/>
  <c r="AD616" i="3"/>
  <c r="AE616" i="3" s="1"/>
  <c r="S616" i="3"/>
  <c r="Q616" i="3"/>
  <c r="K616" i="3"/>
  <c r="E615" i="3"/>
  <c r="AD614" i="3"/>
  <c r="AE614" i="3" s="1"/>
  <c r="S614" i="3"/>
  <c r="Q614" i="3"/>
  <c r="K614" i="3"/>
  <c r="AD613" i="3"/>
  <c r="S613" i="3"/>
  <c r="Q613" i="3"/>
  <c r="K613" i="3"/>
  <c r="AD612" i="3"/>
  <c r="AF612" i="3" s="1"/>
  <c r="S612" i="3"/>
  <c r="Q612" i="3"/>
  <c r="K612" i="3"/>
  <c r="AD611" i="3"/>
  <c r="AF611" i="3" s="1"/>
  <c r="S611" i="3"/>
  <c r="Q611" i="3"/>
  <c r="K611" i="3"/>
  <c r="AD610" i="3"/>
  <c r="AF610" i="3" s="1"/>
  <c r="S610" i="3"/>
  <c r="Q610" i="3"/>
  <c r="K610" i="3"/>
  <c r="AD609" i="3"/>
  <c r="AE609" i="3" s="1"/>
  <c r="S609" i="3"/>
  <c r="Q609" i="3"/>
  <c r="K609" i="3"/>
  <c r="AD608" i="3"/>
  <c r="AE608" i="3" s="1"/>
  <c r="S608" i="3"/>
  <c r="Q608" i="3"/>
  <c r="K608" i="3"/>
  <c r="AD607" i="3"/>
  <c r="AF607" i="3" s="1"/>
  <c r="S607" i="3"/>
  <c r="Q607" i="3"/>
  <c r="K607" i="3"/>
  <c r="AD606" i="3"/>
  <c r="AE606" i="3" s="1"/>
  <c r="S606" i="3"/>
  <c r="Q606" i="3"/>
  <c r="K606" i="3"/>
  <c r="AD605" i="3"/>
  <c r="S605" i="3"/>
  <c r="Q605" i="3"/>
  <c r="K605" i="3"/>
  <c r="AD604" i="3"/>
  <c r="S604" i="3"/>
  <c r="Q604" i="3"/>
  <c r="K604" i="3"/>
  <c r="AD603" i="3"/>
  <c r="AE603" i="3" s="1"/>
  <c r="S603" i="3"/>
  <c r="Q603" i="3"/>
  <c r="K603" i="3"/>
  <c r="AD602" i="3"/>
  <c r="AF602" i="3" s="1"/>
  <c r="S602" i="3"/>
  <c r="Q602" i="3"/>
  <c r="K602" i="3"/>
  <c r="AD601" i="3"/>
  <c r="AF601" i="3" s="1"/>
  <c r="S601" i="3"/>
  <c r="Q601" i="3"/>
  <c r="K601" i="3"/>
  <c r="E600" i="3"/>
  <c r="AD599" i="3"/>
  <c r="AF599" i="3" s="1"/>
  <c r="S599" i="3"/>
  <c r="Q599" i="3"/>
  <c r="K599" i="3"/>
  <c r="AD598" i="3"/>
  <c r="AF598" i="3" s="1"/>
  <c r="S598" i="3"/>
  <c r="K598" i="3"/>
  <c r="AD597" i="3"/>
  <c r="AE597" i="3" s="1"/>
  <c r="S597" i="3"/>
  <c r="K597" i="3"/>
  <c r="AD596" i="3"/>
  <c r="AE596" i="3" s="1"/>
  <c r="S596" i="3"/>
  <c r="Q596" i="3"/>
  <c r="K596" i="3"/>
  <c r="AD595" i="3"/>
  <c r="AE595" i="3" s="1"/>
  <c r="S595" i="3"/>
  <c r="Q595" i="3"/>
  <c r="K595" i="3"/>
  <c r="AD594" i="3"/>
  <c r="AF594" i="3" s="1"/>
  <c r="S594" i="3"/>
  <c r="Q594" i="3"/>
  <c r="K594" i="3"/>
  <c r="AD593" i="3"/>
  <c r="AF593" i="3" s="1"/>
  <c r="S593" i="3"/>
  <c r="Q593" i="3"/>
  <c r="K593" i="3"/>
  <c r="AD592" i="3"/>
  <c r="AF592" i="3" s="1"/>
  <c r="S592" i="3"/>
  <c r="Q592" i="3"/>
  <c r="K592" i="3"/>
  <c r="AD591" i="3"/>
  <c r="AF591" i="3" s="1"/>
  <c r="S591" i="3"/>
  <c r="Q591" i="3"/>
  <c r="K591" i="3"/>
  <c r="AD590" i="3"/>
  <c r="AE590" i="3" s="1"/>
  <c r="S590" i="3"/>
  <c r="Q590" i="3"/>
  <c r="K590" i="3"/>
  <c r="AD589" i="3"/>
  <c r="S589" i="3"/>
  <c r="Q589" i="3"/>
  <c r="K589" i="3"/>
  <c r="AD588" i="3"/>
  <c r="AE588" i="3" s="1"/>
  <c r="S588" i="3"/>
  <c r="Q588" i="3"/>
  <c r="K588" i="3"/>
  <c r="AD587" i="3"/>
  <c r="AE587" i="3" s="1"/>
  <c r="S587" i="3"/>
  <c r="Q587" i="3"/>
  <c r="K587" i="3"/>
  <c r="E586" i="3"/>
  <c r="AD585" i="3"/>
  <c r="AF585" i="3" s="1"/>
  <c r="S585" i="3"/>
  <c r="Q585" i="3"/>
  <c r="K585" i="3"/>
  <c r="AD584" i="3"/>
  <c r="AF584" i="3" s="1"/>
  <c r="S584" i="3"/>
  <c r="Q584" i="3"/>
  <c r="K584" i="3"/>
  <c r="AD583" i="3"/>
  <c r="S583" i="3"/>
  <c r="Q583" i="3"/>
  <c r="K583" i="3"/>
  <c r="AD582" i="3"/>
  <c r="AF582" i="3" s="1"/>
  <c r="S582" i="3"/>
  <c r="Q582" i="3"/>
  <c r="K582" i="3"/>
  <c r="AD581" i="3"/>
  <c r="AE581" i="3" s="1"/>
  <c r="S581" i="3"/>
  <c r="Q581" i="3"/>
  <c r="K581" i="3"/>
  <c r="AD580" i="3"/>
  <c r="AF580" i="3" s="1"/>
  <c r="S580" i="3"/>
  <c r="Q580" i="3"/>
  <c r="K580" i="3"/>
  <c r="AD579" i="3"/>
  <c r="AF579" i="3" s="1"/>
  <c r="S579" i="3"/>
  <c r="Q579" i="3"/>
  <c r="K579" i="3"/>
  <c r="AD578" i="3"/>
  <c r="AE578" i="3" s="1"/>
  <c r="S578" i="3"/>
  <c r="Q578" i="3"/>
  <c r="K578" i="3"/>
  <c r="AD577" i="3"/>
  <c r="AF577" i="3" s="1"/>
  <c r="S577" i="3"/>
  <c r="Q577" i="3"/>
  <c r="K577" i="3"/>
  <c r="AD576" i="3"/>
  <c r="S576" i="3"/>
  <c r="Q576" i="3"/>
  <c r="K576" i="3"/>
  <c r="AD575" i="3"/>
  <c r="S575" i="3"/>
  <c r="Q575" i="3"/>
  <c r="K575" i="3"/>
  <c r="AD574" i="3"/>
  <c r="AE574" i="3" s="1"/>
  <c r="S574" i="3"/>
  <c r="Q574" i="3"/>
  <c r="K574" i="3"/>
  <c r="AD573" i="3"/>
  <c r="AE573" i="3" s="1"/>
  <c r="S573" i="3"/>
  <c r="Q573" i="3"/>
  <c r="K573" i="3"/>
  <c r="E572" i="3"/>
  <c r="AD571" i="3"/>
  <c r="AF571" i="3" s="1"/>
  <c r="S571" i="3"/>
  <c r="Q571" i="3"/>
  <c r="K571" i="3"/>
  <c r="AD570" i="3"/>
  <c r="AE570" i="3" s="1"/>
  <c r="S570" i="3"/>
  <c r="Q570" i="3"/>
  <c r="K570" i="3"/>
  <c r="AD569" i="3"/>
  <c r="S569" i="3"/>
  <c r="Q569" i="3"/>
  <c r="K569" i="3"/>
  <c r="AD568" i="3"/>
  <c r="S568" i="3"/>
  <c r="Q568" i="3"/>
  <c r="K568" i="3"/>
  <c r="AD567" i="3"/>
  <c r="AE567" i="3" s="1"/>
  <c r="S567" i="3"/>
  <c r="Q567" i="3"/>
  <c r="K567" i="3"/>
  <c r="AD566" i="3"/>
  <c r="S566" i="3"/>
  <c r="Q566" i="3"/>
  <c r="K566" i="3"/>
  <c r="AD565" i="3"/>
  <c r="AE565" i="3" s="1"/>
  <c r="S565" i="3"/>
  <c r="Q565" i="3"/>
  <c r="K565" i="3"/>
  <c r="AD564" i="3"/>
  <c r="AF564" i="3" s="1"/>
  <c r="S564" i="3"/>
  <c r="Q564" i="3"/>
  <c r="K564" i="3"/>
  <c r="AD563" i="3"/>
  <c r="AF563" i="3" s="1"/>
  <c r="S563" i="3"/>
  <c r="Q563" i="3"/>
  <c r="K563" i="3"/>
  <c r="AD562" i="3"/>
  <c r="AE562" i="3" s="1"/>
  <c r="S562" i="3"/>
  <c r="Q562" i="3"/>
  <c r="K562" i="3"/>
  <c r="AD561" i="3"/>
  <c r="AF561" i="3" s="1"/>
  <c r="S561" i="3"/>
  <c r="Q561" i="3"/>
  <c r="K561" i="3"/>
  <c r="AD560" i="3"/>
  <c r="AF560" i="3" s="1"/>
  <c r="S560" i="3"/>
  <c r="Q560" i="3"/>
  <c r="K560" i="3"/>
  <c r="AD559" i="3"/>
  <c r="AF559" i="3" s="1"/>
  <c r="S559" i="3"/>
  <c r="Q559" i="3"/>
  <c r="K559" i="3"/>
  <c r="AD558" i="3"/>
  <c r="AF558" i="3" s="1"/>
  <c r="S558" i="3"/>
  <c r="K558" i="3"/>
  <c r="AD557" i="3"/>
  <c r="AF557" i="3" s="1"/>
  <c r="Y557" i="3"/>
  <c r="X557" i="3"/>
  <c r="S557" i="3"/>
  <c r="Q557" i="3"/>
  <c r="K557" i="3"/>
  <c r="AD556" i="3"/>
  <c r="K556" i="3"/>
  <c r="AD555" i="3"/>
  <c r="AE555" i="3" s="1"/>
  <c r="S555" i="3"/>
  <c r="Q555" i="3"/>
  <c r="K555" i="3"/>
  <c r="AD554" i="3"/>
  <c r="AF554" i="3" s="1"/>
  <c r="S554" i="3"/>
  <c r="Q554" i="3"/>
  <c r="K554" i="3"/>
  <c r="AD553" i="3"/>
  <c r="AE553" i="3" s="1"/>
  <c r="S553" i="3"/>
  <c r="Q553" i="3"/>
  <c r="K553" i="3"/>
  <c r="AD552" i="3"/>
  <c r="AE552" i="3" s="1"/>
  <c r="S552" i="3"/>
  <c r="Q552" i="3"/>
  <c r="P552" i="3"/>
  <c r="K552" i="3"/>
  <c r="AD551" i="3"/>
  <c r="AF551" i="3" s="1"/>
  <c r="S551" i="3"/>
  <c r="Q551" i="3"/>
  <c r="K551" i="3"/>
  <c r="AD550" i="3"/>
  <c r="S550" i="3"/>
  <c r="Q550" i="3"/>
  <c r="K550" i="3"/>
  <c r="AD549" i="3"/>
  <c r="AF549" i="3" s="1"/>
  <c r="S549" i="3"/>
  <c r="Q549" i="3"/>
  <c r="K549" i="3"/>
  <c r="AD548" i="3"/>
  <c r="AF548" i="3" s="1"/>
  <c r="S548" i="3"/>
  <c r="K548" i="3"/>
  <c r="AD547" i="3"/>
  <c r="AF547" i="3" s="1"/>
  <c r="S547" i="3"/>
  <c r="Q547" i="3"/>
  <c r="K547" i="3"/>
  <c r="AD546" i="3"/>
  <c r="S546" i="3"/>
  <c r="Q546" i="3"/>
  <c r="K546" i="3"/>
  <c r="AD545" i="3"/>
  <c r="AE545" i="3" s="1"/>
  <c r="S545" i="3"/>
  <c r="Q545" i="3"/>
  <c r="K545" i="3"/>
  <c r="AD544" i="3"/>
  <c r="S544" i="3"/>
  <c r="Q544" i="3"/>
  <c r="K544" i="3"/>
  <c r="AD543" i="3"/>
  <c r="AF543" i="3" s="1"/>
  <c r="S543" i="3"/>
  <c r="Q543" i="3"/>
  <c r="K543" i="3"/>
  <c r="AD542" i="3"/>
  <c r="S542" i="3"/>
  <c r="Q542" i="3"/>
  <c r="K542" i="3"/>
  <c r="AD541" i="3"/>
  <c r="S541" i="3"/>
  <c r="K541" i="3"/>
  <c r="AD540" i="3"/>
  <c r="AE540" i="3" s="1"/>
  <c r="S540" i="3"/>
  <c r="Q540" i="3"/>
  <c r="K540" i="3"/>
  <c r="AD539" i="3"/>
  <c r="AE539" i="3" s="1"/>
  <c r="S539" i="3"/>
  <c r="Q539" i="3"/>
  <c r="K539" i="3"/>
  <c r="AD538" i="3"/>
  <c r="S538" i="3"/>
  <c r="Q538" i="3"/>
  <c r="K538" i="3"/>
  <c r="S537" i="3"/>
  <c r="P537" i="3"/>
  <c r="K537" i="3"/>
  <c r="S536" i="3"/>
  <c r="P536" i="3"/>
  <c r="L536" i="3"/>
  <c r="K536" i="3"/>
  <c r="S535" i="3"/>
  <c r="K535" i="3"/>
  <c r="Q535" i="3"/>
  <c r="E534" i="3"/>
  <c r="AD533" i="3"/>
  <c r="AE533" i="3" s="1"/>
  <c r="S533" i="3"/>
  <c r="Q533" i="3"/>
  <c r="K533" i="3"/>
  <c r="AD532" i="3"/>
  <c r="S532" i="3"/>
  <c r="Q532" i="3"/>
  <c r="K532" i="3"/>
  <c r="AD531" i="3"/>
  <c r="AF531" i="3" s="1"/>
  <c r="Q531" i="3"/>
  <c r="K531" i="3"/>
  <c r="AD530" i="3"/>
  <c r="AF530" i="3" s="1"/>
  <c r="S530" i="3"/>
  <c r="Q530" i="3"/>
  <c r="P530" i="3"/>
  <c r="K530" i="3"/>
  <c r="AD529" i="3"/>
  <c r="AF529" i="3" s="1"/>
  <c r="S529" i="3"/>
  <c r="Q529" i="3"/>
  <c r="K529" i="3"/>
  <c r="AD528" i="3"/>
  <c r="AF528" i="3" s="1"/>
  <c r="S528" i="3"/>
  <c r="Q528" i="3"/>
  <c r="K528" i="3"/>
  <c r="AD527" i="3"/>
  <c r="AE527" i="3" s="1"/>
  <c r="S527" i="3"/>
  <c r="Q527" i="3"/>
  <c r="K527" i="3"/>
  <c r="AD526" i="3"/>
  <c r="AF526" i="3" s="1"/>
  <c r="S526" i="3"/>
  <c r="Q526" i="3"/>
  <c r="K526" i="3"/>
  <c r="AD525" i="3"/>
  <c r="AF525" i="3" s="1"/>
  <c r="S525" i="3"/>
  <c r="Q525" i="3"/>
  <c r="J525" i="3"/>
  <c r="K525" i="3" s="1"/>
  <c r="AD524" i="3"/>
  <c r="AE524" i="3" s="1"/>
  <c r="S524" i="3"/>
  <c r="Q524" i="3"/>
  <c r="K524" i="3"/>
  <c r="AD523" i="3"/>
  <c r="AF523" i="3" s="1"/>
  <c r="S523" i="3"/>
  <c r="Q523" i="3"/>
  <c r="K523" i="3"/>
  <c r="S522" i="3"/>
  <c r="P522" i="3"/>
  <c r="K522" i="3"/>
  <c r="I522" i="3"/>
  <c r="G522" i="3"/>
  <c r="Q522" i="3" s="1"/>
  <c r="AD521" i="3"/>
  <c r="AF521" i="3" s="1"/>
  <c r="S521" i="3"/>
  <c r="Q521" i="3"/>
  <c r="K521" i="3"/>
  <c r="AD520" i="3"/>
  <c r="AF520" i="3" s="1"/>
  <c r="S520" i="3"/>
  <c r="Q520" i="3"/>
  <c r="K520" i="3"/>
  <c r="AD519" i="3"/>
  <c r="AF519" i="3" s="1"/>
  <c r="S519" i="3"/>
  <c r="Q519" i="3"/>
  <c r="J519" i="3"/>
  <c r="K519" i="3" s="1"/>
  <c r="AD518" i="3"/>
  <c r="S518" i="3"/>
  <c r="Q518" i="3"/>
  <c r="K518" i="3"/>
  <c r="AD517" i="3"/>
  <c r="AE517" i="3" s="1"/>
  <c r="S517" i="3"/>
  <c r="Q517" i="3"/>
  <c r="K517" i="3"/>
  <c r="AD516" i="3"/>
  <c r="S516" i="3"/>
  <c r="Q516" i="3"/>
  <c r="K516" i="3"/>
  <c r="AD515" i="3"/>
  <c r="AF515" i="3" s="1"/>
  <c r="S515" i="3"/>
  <c r="Q515" i="3"/>
  <c r="K515" i="3"/>
  <c r="AD514" i="3"/>
  <c r="AF514" i="3" s="1"/>
  <c r="S514" i="3"/>
  <c r="Q514" i="3"/>
  <c r="K514" i="3"/>
  <c r="K513" i="3"/>
  <c r="AD513" i="3"/>
  <c r="E512" i="3"/>
  <c r="AD511" i="3"/>
  <c r="AF511" i="3" s="1"/>
  <c r="S511" i="3"/>
  <c r="Q511" i="3"/>
  <c r="K511" i="3"/>
  <c r="AD510" i="3"/>
  <c r="AE510" i="3" s="1"/>
  <c r="S510" i="3"/>
  <c r="Q510" i="3"/>
  <c r="K510" i="3"/>
  <c r="AD509" i="3"/>
  <c r="S509" i="3"/>
  <c r="Q509" i="3"/>
  <c r="K509" i="3"/>
  <c r="AD508" i="3"/>
  <c r="AE508" i="3" s="1"/>
  <c r="S508" i="3"/>
  <c r="Q508" i="3"/>
  <c r="K508" i="3"/>
  <c r="AD507" i="3"/>
  <c r="S507" i="3"/>
  <c r="Q507" i="3"/>
  <c r="K507" i="3"/>
  <c r="AD506" i="3"/>
  <c r="AF506" i="3" s="1"/>
  <c r="S506" i="3"/>
  <c r="Q506" i="3"/>
  <c r="K506" i="3"/>
  <c r="AD505" i="3"/>
  <c r="AF505" i="3" s="1"/>
  <c r="S505" i="3"/>
  <c r="Q505" i="3"/>
  <c r="K505" i="3"/>
  <c r="AD504" i="3"/>
  <c r="AE504" i="3" s="1"/>
  <c r="S504" i="3"/>
  <c r="Q504" i="3"/>
  <c r="K504" i="3"/>
  <c r="AD503" i="3"/>
  <c r="AF503" i="3" s="1"/>
  <c r="S503" i="3"/>
  <c r="Q503" i="3"/>
  <c r="K503" i="3"/>
  <c r="AD502" i="3"/>
  <c r="AF502" i="3" s="1"/>
  <c r="S502" i="3"/>
  <c r="Q502" i="3"/>
  <c r="K502" i="3"/>
  <c r="AD501" i="3"/>
  <c r="AF501" i="3" s="1"/>
  <c r="S501" i="3"/>
  <c r="Q501" i="3"/>
  <c r="K501" i="3"/>
  <c r="AD500" i="3"/>
  <c r="S500" i="3"/>
  <c r="Q500" i="3"/>
  <c r="K500" i="3"/>
  <c r="AD499" i="3"/>
  <c r="AF499" i="3" s="1"/>
  <c r="S499" i="3"/>
  <c r="Q499" i="3"/>
  <c r="K499" i="3"/>
  <c r="AD498" i="3"/>
  <c r="AF498" i="3" s="1"/>
  <c r="S498" i="3"/>
  <c r="Q498" i="3"/>
  <c r="K498" i="3"/>
  <c r="AD497" i="3"/>
  <c r="AF497" i="3" s="1"/>
  <c r="S497" i="3"/>
  <c r="Q497" i="3"/>
  <c r="K497" i="3"/>
  <c r="AD496" i="3"/>
  <c r="AF496" i="3" s="1"/>
  <c r="S496" i="3"/>
  <c r="Q496" i="3"/>
  <c r="K496" i="3"/>
  <c r="AD495" i="3"/>
  <c r="AF495" i="3" s="1"/>
  <c r="S495" i="3"/>
  <c r="Q495" i="3"/>
  <c r="K495" i="3"/>
  <c r="AD494" i="3"/>
  <c r="AE494" i="3" s="1"/>
  <c r="S494" i="3"/>
  <c r="Q494" i="3"/>
  <c r="AD493" i="3"/>
  <c r="AF493" i="3" s="1"/>
  <c r="S493" i="3"/>
  <c r="Q493" i="3"/>
  <c r="K493" i="3"/>
  <c r="S492" i="3"/>
  <c r="K492" i="3"/>
  <c r="AD491" i="3"/>
  <c r="AE491" i="3" s="1"/>
  <c r="S491" i="3"/>
  <c r="Q491" i="3"/>
  <c r="K491" i="3"/>
  <c r="AD490" i="3"/>
  <c r="AE490" i="3" s="1"/>
  <c r="S490" i="3"/>
  <c r="Q490" i="3"/>
  <c r="K490" i="3"/>
  <c r="AD489" i="3"/>
  <c r="S489" i="3"/>
  <c r="Q489" i="3"/>
  <c r="K489" i="3"/>
  <c r="AD488" i="3"/>
  <c r="AF488" i="3" s="1"/>
  <c r="S488" i="3"/>
  <c r="Q488" i="3"/>
  <c r="K488" i="3"/>
  <c r="AD487" i="3"/>
  <c r="AE487" i="3" s="1"/>
  <c r="Y487" i="3"/>
  <c r="X487" i="3"/>
  <c r="S487" i="3"/>
  <c r="Q487" i="3"/>
  <c r="K487" i="3"/>
  <c r="AD485" i="3"/>
  <c r="AF485" i="3" s="1"/>
  <c r="S485" i="3"/>
  <c r="Q485" i="3"/>
  <c r="K485" i="3"/>
  <c r="AD484" i="3"/>
  <c r="AF484" i="3" s="1"/>
  <c r="S484" i="3"/>
  <c r="Q484" i="3"/>
  <c r="K484" i="3"/>
  <c r="AD483" i="3"/>
  <c r="AF483" i="3" s="1"/>
  <c r="S483" i="3"/>
  <c r="Q483" i="3"/>
  <c r="K483" i="3"/>
  <c r="AD482" i="3"/>
  <c r="AF482" i="3" s="1"/>
  <c r="S482" i="3"/>
  <c r="Q482" i="3"/>
  <c r="K482" i="3"/>
  <c r="AD481" i="3"/>
  <c r="AF481" i="3" s="1"/>
  <c r="S481" i="3"/>
  <c r="Q481" i="3"/>
  <c r="K481" i="3"/>
  <c r="AD480" i="3"/>
  <c r="AF480" i="3" s="1"/>
  <c r="S480" i="3"/>
  <c r="Q480" i="3"/>
  <c r="K480" i="3"/>
  <c r="AD479" i="3"/>
  <c r="AF479" i="3" s="1"/>
  <c r="S479" i="3"/>
  <c r="Q479" i="3"/>
  <c r="K479" i="3"/>
  <c r="AD478" i="3"/>
  <c r="AF478" i="3" s="1"/>
  <c r="S478" i="3"/>
  <c r="Q478" i="3"/>
  <c r="K478" i="3"/>
  <c r="AD477" i="3"/>
  <c r="AF477" i="3" s="1"/>
  <c r="S477" i="3"/>
  <c r="Q477" i="3"/>
  <c r="K477" i="3"/>
  <c r="AD476" i="3"/>
  <c r="AF476" i="3" s="1"/>
  <c r="S476" i="3"/>
  <c r="Q476" i="3"/>
  <c r="K476" i="3"/>
  <c r="AD475" i="3"/>
  <c r="AF475" i="3" s="1"/>
  <c r="S475" i="3"/>
  <c r="Q475" i="3"/>
  <c r="K475" i="3"/>
  <c r="AD474" i="3"/>
  <c r="AF474" i="3" s="1"/>
  <c r="S474" i="3"/>
  <c r="Q474" i="3"/>
  <c r="K474" i="3"/>
  <c r="AD473" i="3"/>
  <c r="AF473" i="3" s="1"/>
  <c r="S473" i="3"/>
  <c r="Q473" i="3"/>
  <c r="K473" i="3"/>
  <c r="AD472" i="3"/>
  <c r="AE472" i="3" s="1"/>
  <c r="Q472" i="3"/>
  <c r="K472" i="3"/>
  <c r="AD471" i="3"/>
  <c r="AE471" i="3" s="1"/>
  <c r="S471" i="3"/>
  <c r="Q471" i="3"/>
  <c r="K471" i="3"/>
  <c r="AD470" i="3"/>
  <c r="S470" i="3"/>
  <c r="Q470" i="3"/>
  <c r="K470" i="3"/>
  <c r="AD469" i="3"/>
  <c r="AF469" i="3" s="1"/>
  <c r="S469" i="3"/>
  <c r="Q469" i="3"/>
  <c r="K469" i="3"/>
  <c r="E468" i="3"/>
  <c r="AD467" i="3"/>
  <c r="AF467" i="3" s="1"/>
  <c r="S467" i="3"/>
  <c r="Q467" i="3"/>
  <c r="K467" i="3"/>
  <c r="AD466" i="3"/>
  <c r="AE466" i="3" s="1"/>
  <c r="S466" i="3"/>
  <c r="Q466" i="3"/>
  <c r="K466" i="3"/>
  <c r="AD465" i="3"/>
  <c r="AF465" i="3" s="1"/>
  <c r="S465" i="3"/>
  <c r="Q465" i="3"/>
  <c r="K465" i="3"/>
  <c r="AD464" i="3"/>
  <c r="S464" i="3"/>
  <c r="Q464" i="3"/>
  <c r="K464" i="3"/>
  <c r="AD463" i="3"/>
  <c r="AF463" i="3" s="1"/>
  <c r="S463" i="3"/>
  <c r="Q463" i="3"/>
  <c r="K463" i="3"/>
  <c r="AD462" i="3"/>
  <c r="AE462" i="3" s="1"/>
  <c r="S462" i="3"/>
  <c r="Q462" i="3"/>
  <c r="K462" i="3"/>
  <c r="AD461" i="3"/>
  <c r="AF461" i="3" s="1"/>
  <c r="S461" i="3"/>
  <c r="Q461" i="3"/>
  <c r="K461" i="3"/>
  <c r="AD460" i="3"/>
  <c r="AE460" i="3" s="1"/>
  <c r="S460" i="3"/>
  <c r="Q460" i="3"/>
  <c r="K460" i="3"/>
  <c r="AD459" i="3"/>
  <c r="AF459" i="3" s="1"/>
  <c r="S459" i="3"/>
  <c r="Q459" i="3"/>
  <c r="K459" i="3"/>
  <c r="AD458" i="3"/>
  <c r="S458" i="3"/>
  <c r="Q458" i="3"/>
  <c r="K458" i="3"/>
  <c r="AD457" i="3"/>
  <c r="AF457" i="3" s="1"/>
  <c r="S457" i="3"/>
  <c r="Q457" i="3"/>
  <c r="K457" i="3"/>
  <c r="AD456" i="3"/>
  <c r="AE456" i="3" s="1"/>
  <c r="S456" i="3"/>
  <c r="Q456" i="3"/>
  <c r="K456" i="3"/>
  <c r="AD455" i="3"/>
  <c r="S455" i="3"/>
  <c r="Q455" i="3"/>
  <c r="K455" i="3"/>
  <c r="S454" i="3"/>
  <c r="K454" i="3"/>
  <c r="E453" i="3"/>
  <c r="AD452" i="3"/>
  <c r="AF452" i="3" s="1"/>
  <c r="S452" i="3"/>
  <c r="Q452" i="3"/>
  <c r="K452" i="3"/>
  <c r="AD451" i="3"/>
  <c r="S451" i="3"/>
  <c r="Q451" i="3"/>
  <c r="K451" i="3"/>
  <c r="AD450" i="3"/>
  <c r="S450" i="3"/>
  <c r="Q450" i="3"/>
  <c r="K450" i="3"/>
  <c r="AD449" i="3"/>
  <c r="AE449" i="3" s="1"/>
  <c r="S449" i="3"/>
  <c r="Q449" i="3"/>
  <c r="K449" i="3"/>
  <c r="AD448" i="3"/>
  <c r="S448" i="3"/>
  <c r="Q448" i="3"/>
  <c r="K448" i="3"/>
  <c r="AD447" i="3"/>
  <c r="AE447" i="3" s="1"/>
  <c r="S447" i="3"/>
  <c r="Q447" i="3"/>
  <c r="K447" i="3"/>
  <c r="AD446" i="3"/>
  <c r="AE446" i="3" s="1"/>
  <c r="S446" i="3"/>
  <c r="Q446" i="3"/>
  <c r="K446" i="3"/>
  <c r="AD445" i="3"/>
  <c r="AF445" i="3" s="1"/>
  <c r="S445" i="3"/>
  <c r="Q445" i="3"/>
  <c r="K445" i="3"/>
  <c r="AD444" i="3"/>
  <c r="AE444" i="3" s="1"/>
  <c r="S444" i="3"/>
  <c r="Q444" i="3"/>
  <c r="K444" i="3"/>
  <c r="AD443" i="3"/>
  <c r="S443" i="3"/>
  <c r="Q443" i="3"/>
  <c r="K443" i="3"/>
  <c r="AD442" i="3"/>
  <c r="AE442" i="3" s="1"/>
  <c r="S442" i="3"/>
  <c r="Q442" i="3"/>
  <c r="K442" i="3"/>
  <c r="AD441" i="3"/>
  <c r="AF441" i="3" s="1"/>
  <c r="S441" i="3"/>
  <c r="Q441" i="3"/>
  <c r="K441" i="3"/>
  <c r="AD440" i="3"/>
  <c r="S440" i="3"/>
  <c r="Q440" i="3"/>
  <c r="K440" i="3"/>
  <c r="AD439" i="3"/>
  <c r="AF439" i="3" s="1"/>
  <c r="S439" i="3"/>
  <c r="Q439" i="3"/>
  <c r="K439" i="3"/>
  <c r="AD438" i="3"/>
  <c r="S438" i="3"/>
  <c r="Q438" i="3"/>
  <c r="K438" i="3"/>
  <c r="AD437" i="3"/>
  <c r="AF437" i="3" s="1"/>
  <c r="S437" i="3"/>
  <c r="Q437" i="3"/>
  <c r="K437" i="3"/>
  <c r="AD436" i="3"/>
  <c r="AE436" i="3" s="1"/>
  <c r="S436" i="3"/>
  <c r="Q436" i="3"/>
  <c r="K436" i="3"/>
  <c r="AD435" i="3"/>
  <c r="S435" i="3"/>
  <c r="Q435" i="3"/>
  <c r="K435" i="3"/>
  <c r="AD434" i="3"/>
  <c r="AF434" i="3" s="1"/>
  <c r="S434" i="3"/>
  <c r="Q434" i="3"/>
  <c r="K434" i="3"/>
  <c r="AD433" i="3"/>
  <c r="AF433" i="3" s="1"/>
  <c r="S433" i="3"/>
  <c r="Q433" i="3"/>
  <c r="K433" i="3"/>
  <c r="AD432" i="3"/>
  <c r="AF432" i="3" s="1"/>
  <c r="S432" i="3"/>
  <c r="Q432" i="3"/>
  <c r="K432" i="3"/>
  <c r="AD431" i="3"/>
  <c r="AF431" i="3" s="1"/>
  <c r="Q431" i="3"/>
  <c r="K431" i="3"/>
  <c r="AD430" i="3"/>
  <c r="AF430" i="3" s="1"/>
  <c r="S430" i="3"/>
  <c r="Q430" i="3"/>
  <c r="K430" i="3"/>
  <c r="AD429" i="3"/>
  <c r="AF429" i="3" s="1"/>
  <c r="S429" i="3"/>
  <c r="Q429" i="3"/>
  <c r="K429" i="3"/>
  <c r="AD428" i="3"/>
  <c r="AF428" i="3" s="1"/>
  <c r="S428" i="3"/>
  <c r="Q428" i="3"/>
  <c r="K428" i="3"/>
  <c r="AD427" i="3"/>
  <c r="AF427" i="3" s="1"/>
  <c r="S427" i="3"/>
  <c r="Q427" i="3"/>
  <c r="K427" i="3"/>
  <c r="AD426" i="3"/>
  <c r="AE426" i="3" s="1"/>
  <c r="S426" i="3"/>
  <c r="Q426" i="3"/>
  <c r="K426" i="3"/>
  <c r="AD425" i="3"/>
  <c r="S425" i="3"/>
  <c r="Q425" i="3"/>
  <c r="K425" i="3"/>
  <c r="AD424" i="3"/>
  <c r="AE424" i="3" s="1"/>
  <c r="S424" i="3"/>
  <c r="Q424" i="3"/>
  <c r="K424" i="3"/>
  <c r="AD423" i="3"/>
  <c r="S423" i="3"/>
  <c r="Q423" i="3"/>
  <c r="K423" i="3"/>
  <c r="AD422" i="3"/>
  <c r="AF422" i="3" s="1"/>
  <c r="S422" i="3"/>
  <c r="Q422" i="3"/>
  <c r="K422" i="3"/>
  <c r="AD421" i="3"/>
  <c r="AE421" i="3" s="1"/>
  <c r="S421" i="3"/>
  <c r="Q421" i="3"/>
  <c r="K421" i="3"/>
  <c r="AD420" i="3"/>
  <c r="AF420" i="3" s="1"/>
  <c r="S420" i="3"/>
  <c r="Q420" i="3"/>
  <c r="K420" i="3"/>
  <c r="AD419" i="3"/>
  <c r="AF419" i="3" s="1"/>
  <c r="S419" i="3"/>
  <c r="K419" i="3"/>
  <c r="AD418" i="3"/>
  <c r="AF418" i="3" s="1"/>
  <c r="S418" i="3"/>
  <c r="Q418" i="3"/>
  <c r="K418" i="3"/>
  <c r="AD417" i="3"/>
  <c r="S417" i="3"/>
  <c r="Q417" i="3"/>
  <c r="K417" i="3"/>
  <c r="AD416" i="3"/>
  <c r="AF416" i="3" s="1"/>
  <c r="S416" i="3"/>
  <c r="Q416" i="3"/>
  <c r="K416" i="3"/>
  <c r="AD415" i="3"/>
  <c r="AF415" i="3" s="1"/>
  <c r="S415" i="3"/>
  <c r="Q415" i="3"/>
  <c r="K415" i="3"/>
  <c r="AD414" i="3"/>
  <c r="AF414" i="3" s="1"/>
  <c r="S414" i="3"/>
  <c r="Q414" i="3"/>
  <c r="K414" i="3"/>
  <c r="AD413" i="3"/>
  <c r="AF413" i="3" s="1"/>
  <c r="S413" i="3"/>
  <c r="Q413" i="3"/>
  <c r="K413" i="3"/>
  <c r="AD412" i="3"/>
  <c r="AF412" i="3" s="1"/>
  <c r="S412" i="3"/>
  <c r="Q412" i="3"/>
  <c r="K412" i="3"/>
  <c r="AD411" i="3"/>
  <c r="S411" i="3"/>
  <c r="Q411" i="3"/>
  <c r="K411" i="3"/>
  <c r="AD410" i="3"/>
  <c r="AE410" i="3" s="1"/>
  <c r="S410" i="3"/>
  <c r="Q410" i="3"/>
  <c r="AD409" i="3"/>
  <c r="S409" i="3"/>
  <c r="Q409" i="3"/>
  <c r="K409" i="3"/>
  <c r="AD408" i="3"/>
  <c r="AE408" i="3" s="1"/>
  <c r="S408" i="3"/>
  <c r="Q408" i="3"/>
  <c r="P408" i="3"/>
  <c r="K408" i="3"/>
  <c r="AD407" i="3"/>
  <c r="AF407" i="3" s="1"/>
  <c r="S407" i="3"/>
  <c r="Q407" i="3"/>
  <c r="K407" i="3"/>
  <c r="AD406" i="3"/>
  <c r="AE406" i="3" s="1"/>
  <c r="K406" i="3"/>
  <c r="AD405" i="3"/>
  <c r="AE405" i="3" s="1"/>
  <c r="S405" i="3"/>
  <c r="Q405" i="3"/>
  <c r="K405" i="3"/>
  <c r="AD404" i="3"/>
  <c r="S404" i="3"/>
  <c r="Q404" i="3"/>
  <c r="K404" i="3"/>
  <c r="AD403" i="3"/>
  <c r="AF403" i="3" s="1"/>
  <c r="S403" i="3"/>
  <c r="Q403" i="3"/>
  <c r="K403" i="3"/>
  <c r="AD402" i="3"/>
  <c r="AF402" i="3" s="1"/>
  <c r="S402" i="3"/>
  <c r="Q402" i="3"/>
  <c r="K402" i="3"/>
  <c r="AD401" i="3"/>
  <c r="S401" i="3"/>
  <c r="Q401" i="3"/>
  <c r="K401" i="3"/>
  <c r="AD400" i="3"/>
  <c r="S400" i="3"/>
  <c r="Q400" i="3"/>
  <c r="K400" i="3"/>
  <c r="AD399" i="3"/>
  <c r="S399" i="3"/>
  <c r="Q399" i="3"/>
  <c r="K399" i="3"/>
  <c r="AD398" i="3"/>
  <c r="AF398" i="3" s="1"/>
  <c r="S398" i="3"/>
  <c r="Q398" i="3"/>
  <c r="K398" i="3"/>
  <c r="AD397" i="3"/>
  <c r="AE397" i="3" s="1"/>
  <c r="S397" i="3"/>
  <c r="Q397" i="3"/>
  <c r="K397" i="3"/>
  <c r="AD396" i="3"/>
  <c r="AF396" i="3" s="1"/>
  <c r="S396" i="3"/>
  <c r="Q396" i="3"/>
  <c r="K396" i="3"/>
  <c r="AD395" i="3"/>
  <c r="AF395" i="3" s="1"/>
  <c r="S395" i="3"/>
  <c r="Q395" i="3"/>
  <c r="K395" i="3"/>
  <c r="AD394" i="3"/>
  <c r="S394" i="3"/>
  <c r="K394" i="3"/>
  <c r="AD393" i="3"/>
  <c r="AF393" i="3" s="1"/>
  <c r="S393" i="3"/>
  <c r="Q393" i="3"/>
  <c r="K393" i="3"/>
  <c r="AD392" i="3"/>
  <c r="S392" i="3"/>
  <c r="Q392" i="3"/>
  <c r="K392" i="3"/>
  <c r="AD391" i="3"/>
  <c r="AE391" i="3" s="1"/>
  <c r="S391" i="3"/>
  <c r="Q391" i="3"/>
  <c r="K391" i="3"/>
  <c r="AD390" i="3"/>
  <c r="AE390" i="3" s="1"/>
  <c r="S390" i="3"/>
  <c r="Q390" i="3"/>
  <c r="K390" i="3"/>
  <c r="AD389" i="3"/>
  <c r="AF389" i="3" s="1"/>
  <c r="E389" i="3"/>
  <c r="AD388" i="3"/>
  <c r="AF388" i="3" s="1"/>
  <c r="S388" i="3"/>
  <c r="Q388" i="3"/>
  <c r="K388" i="3"/>
  <c r="AD387" i="3"/>
  <c r="AF387" i="3" s="1"/>
  <c r="S387" i="3"/>
  <c r="Q387" i="3"/>
  <c r="K387" i="3"/>
  <c r="AD386" i="3"/>
  <c r="S386" i="3"/>
  <c r="Q386" i="3"/>
  <c r="K386" i="3"/>
  <c r="AD385" i="3"/>
  <c r="S385" i="3"/>
  <c r="Q385" i="3"/>
  <c r="K385" i="3"/>
  <c r="AD384" i="3"/>
  <c r="AE384" i="3" s="1"/>
  <c r="S384" i="3"/>
  <c r="Q384" i="3"/>
  <c r="K384" i="3"/>
  <c r="AD383" i="3"/>
  <c r="AF383" i="3" s="1"/>
  <c r="S383" i="3"/>
  <c r="Q383" i="3"/>
  <c r="K383" i="3"/>
  <c r="AD382" i="3"/>
  <c r="AE382" i="3" s="1"/>
  <c r="S382" i="3"/>
  <c r="Q382" i="3"/>
  <c r="K382" i="3"/>
  <c r="AD381" i="3"/>
  <c r="AE381" i="3" s="1"/>
  <c r="S381" i="3"/>
  <c r="Q381" i="3"/>
  <c r="K381" i="3"/>
  <c r="AD380" i="3"/>
  <c r="S380" i="3"/>
  <c r="Q380" i="3"/>
  <c r="K380" i="3"/>
  <c r="AD379" i="3"/>
  <c r="S379" i="3"/>
  <c r="Q379" i="3"/>
  <c r="K379" i="3"/>
  <c r="AD378" i="3"/>
  <c r="AE378" i="3" s="1"/>
  <c r="S378" i="3"/>
  <c r="Q378" i="3"/>
  <c r="K378" i="3"/>
  <c r="AD377" i="3"/>
  <c r="AE377" i="3" s="1"/>
  <c r="S377" i="3"/>
  <c r="Q377" i="3"/>
  <c r="K377" i="3"/>
  <c r="AD376" i="3"/>
  <c r="AE376" i="3" s="1"/>
  <c r="S376" i="3"/>
  <c r="Q376" i="3"/>
  <c r="K376" i="3"/>
  <c r="AD375" i="3"/>
  <c r="AE375" i="3" s="1"/>
  <c r="S375" i="3"/>
  <c r="Q375" i="3"/>
  <c r="K375" i="3"/>
  <c r="AD374" i="3"/>
  <c r="AE374" i="3" s="1"/>
  <c r="S374" i="3"/>
  <c r="Q374" i="3"/>
  <c r="K374" i="3"/>
  <c r="AD373" i="3"/>
  <c r="AF373" i="3" s="1"/>
  <c r="S373" i="3"/>
  <c r="Q373" i="3"/>
  <c r="K373" i="3"/>
  <c r="AD372" i="3"/>
  <c r="AE372" i="3" s="1"/>
  <c r="S372" i="3"/>
  <c r="Q372" i="3"/>
  <c r="K372" i="3"/>
  <c r="AD371" i="3"/>
  <c r="K371" i="3"/>
  <c r="AD370" i="3"/>
  <c r="S370" i="3"/>
  <c r="Q370" i="3"/>
  <c r="K370" i="3"/>
  <c r="AD369" i="3"/>
  <c r="AF369" i="3" s="1"/>
  <c r="S369" i="3"/>
  <c r="R369" i="3"/>
  <c r="Q369" i="3"/>
  <c r="K369" i="3"/>
  <c r="AD368" i="3"/>
  <c r="AE368" i="3" s="1"/>
  <c r="S368" i="3"/>
  <c r="T368" i="3" s="1"/>
  <c r="Q368" i="3"/>
  <c r="K368" i="3"/>
  <c r="AD367" i="3"/>
  <c r="AF367" i="3" s="1"/>
  <c r="S367" i="3"/>
  <c r="Q367" i="3"/>
  <c r="K367" i="3"/>
  <c r="AD366" i="3"/>
  <c r="AE366" i="3" s="1"/>
  <c r="S366" i="3"/>
  <c r="Q366" i="3"/>
  <c r="K366" i="3"/>
  <c r="AD365" i="3"/>
  <c r="S365" i="3"/>
  <c r="Q365" i="3"/>
  <c r="K365" i="3"/>
  <c r="AD364" i="3"/>
  <c r="AF364" i="3" s="1"/>
  <c r="S364" i="3"/>
  <c r="Q364" i="3"/>
  <c r="K364" i="3"/>
  <c r="AD363" i="3"/>
  <c r="AF363" i="3" s="1"/>
  <c r="S363" i="3"/>
  <c r="Q363" i="3"/>
  <c r="K363" i="3"/>
  <c r="AD362" i="3"/>
  <c r="AF362" i="3" s="1"/>
  <c r="S362" i="3"/>
  <c r="Q362" i="3"/>
  <c r="K362" i="3"/>
  <c r="AD361" i="3"/>
  <c r="AE361" i="3" s="1"/>
  <c r="S361" i="3"/>
  <c r="Q361" i="3"/>
  <c r="K361" i="3"/>
  <c r="AD360" i="3"/>
  <c r="AF360" i="3" s="1"/>
  <c r="S360" i="3"/>
  <c r="Q360" i="3"/>
  <c r="K360" i="3"/>
  <c r="AD359" i="3"/>
  <c r="AF359" i="3" s="1"/>
  <c r="K359" i="3"/>
  <c r="AD358" i="3"/>
  <c r="AE358" i="3" s="1"/>
  <c r="S358" i="3"/>
  <c r="Q358" i="3"/>
  <c r="K358" i="3"/>
  <c r="AD357" i="3"/>
  <c r="AF357" i="3" s="1"/>
  <c r="S357" i="3"/>
  <c r="Q357" i="3"/>
  <c r="K357" i="3"/>
  <c r="AD356" i="3"/>
  <c r="AE356" i="3" s="1"/>
  <c r="S356" i="3"/>
  <c r="Q356" i="3"/>
  <c r="K356" i="3"/>
  <c r="AD355" i="3"/>
  <c r="AF355" i="3" s="1"/>
  <c r="S355" i="3"/>
  <c r="Q355" i="3"/>
  <c r="K355" i="3"/>
  <c r="AD354" i="3"/>
  <c r="AF354" i="3" s="1"/>
  <c r="S354" i="3"/>
  <c r="Q354" i="3"/>
  <c r="K354" i="3"/>
  <c r="AD353" i="3"/>
  <c r="AF353" i="3" s="1"/>
  <c r="S353" i="3"/>
  <c r="Q353" i="3"/>
  <c r="K353" i="3"/>
  <c r="AD352" i="3"/>
  <c r="S352" i="3"/>
  <c r="Q352" i="3"/>
  <c r="K352" i="3"/>
  <c r="AD351" i="3"/>
  <c r="AF351" i="3" s="1"/>
  <c r="S351" i="3"/>
  <c r="Q351" i="3"/>
  <c r="K351" i="3"/>
  <c r="AD350" i="3"/>
  <c r="AF350" i="3" s="1"/>
  <c r="S350" i="3"/>
  <c r="Q350" i="3"/>
  <c r="K350" i="3"/>
  <c r="AD349" i="3"/>
  <c r="AE349" i="3" s="1"/>
  <c r="S349" i="3"/>
  <c r="Q349" i="3"/>
  <c r="K349" i="3"/>
  <c r="AD348" i="3"/>
  <c r="AE348" i="3" s="1"/>
  <c r="S348" i="3"/>
  <c r="K348" i="3"/>
  <c r="AD347" i="3"/>
  <c r="S347" i="3"/>
  <c r="Q347" i="3"/>
  <c r="K347" i="3"/>
  <c r="AD346" i="3"/>
  <c r="AF346" i="3" s="1"/>
  <c r="S346" i="3"/>
  <c r="K346" i="3"/>
  <c r="AD345" i="3"/>
  <c r="AF345" i="3" s="1"/>
  <c r="S345" i="3"/>
  <c r="Q345" i="3"/>
  <c r="K345" i="3"/>
  <c r="AD344" i="3"/>
  <c r="S344" i="3"/>
  <c r="Q344" i="3"/>
  <c r="K344" i="3"/>
  <c r="AD343" i="3"/>
  <c r="AF343" i="3" s="1"/>
  <c r="S343" i="3"/>
  <c r="Q343" i="3"/>
  <c r="K343" i="3"/>
  <c r="AD342" i="3"/>
  <c r="AF342" i="3" s="1"/>
  <c r="S342" i="3"/>
  <c r="Q342" i="3"/>
  <c r="K342" i="3"/>
  <c r="AD341" i="3"/>
  <c r="AF341" i="3" s="1"/>
  <c r="S341" i="3"/>
  <c r="Q341" i="3"/>
  <c r="K341" i="3"/>
  <c r="AD340" i="3"/>
  <c r="AF340" i="3" s="1"/>
  <c r="S340" i="3"/>
  <c r="Q340" i="3"/>
  <c r="K340" i="3"/>
  <c r="AD339" i="3"/>
  <c r="AF339" i="3" s="1"/>
  <c r="S339" i="3"/>
  <c r="Q339" i="3"/>
  <c r="K339" i="3"/>
  <c r="AD338" i="3"/>
  <c r="AF338" i="3" s="1"/>
  <c r="S338" i="3"/>
  <c r="Q338" i="3"/>
  <c r="K338" i="3"/>
  <c r="AD337" i="3"/>
  <c r="AE337" i="3" s="1"/>
  <c r="S337" i="3"/>
  <c r="Q337" i="3"/>
  <c r="K337" i="3"/>
  <c r="AD336" i="3"/>
  <c r="S336" i="3"/>
  <c r="Q336" i="3"/>
  <c r="K336" i="3"/>
  <c r="AD335" i="3"/>
  <c r="AE335" i="3" s="1"/>
  <c r="S335" i="3"/>
  <c r="Q335" i="3"/>
  <c r="K335" i="3"/>
  <c r="AD334" i="3"/>
  <c r="AE334" i="3" s="1"/>
  <c r="S334" i="3"/>
  <c r="Q334" i="3"/>
  <c r="K334" i="3"/>
  <c r="AD332" i="3"/>
  <c r="AF332" i="3" s="1"/>
  <c r="S332" i="3"/>
  <c r="Q332" i="3"/>
  <c r="K332" i="3"/>
  <c r="AD331" i="3"/>
  <c r="AE331" i="3" s="1"/>
  <c r="S331" i="3"/>
  <c r="Q331" i="3"/>
  <c r="K331" i="3"/>
  <c r="AD330" i="3"/>
  <c r="AF330" i="3" s="1"/>
  <c r="S330" i="3"/>
  <c r="Q330" i="3"/>
  <c r="K330" i="3"/>
  <c r="AD329" i="3"/>
  <c r="S329" i="3"/>
  <c r="Q329" i="3"/>
  <c r="K329" i="3"/>
  <c r="AD328" i="3"/>
  <c r="AE328" i="3" s="1"/>
  <c r="S328" i="3"/>
  <c r="Q328" i="3"/>
  <c r="K328" i="3"/>
  <c r="AD327" i="3"/>
  <c r="AF327" i="3" s="1"/>
  <c r="S327" i="3"/>
  <c r="Q327" i="3"/>
  <c r="K327" i="3"/>
  <c r="AD326" i="3"/>
  <c r="AF326" i="3" s="1"/>
  <c r="S326" i="3"/>
  <c r="Q326" i="3"/>
  <c r="K326" i="3"/>
  <c r="AD325" i="3"/>
  <c r="AE325" i="3" s="1"/>
  <c r="S325" i="3"/>
  <c r="Q325" i="3"/>
  <c r="K325" i="3"/>
  <c r="AD324" i="3"/>
  <c r="AE324" i="3" s="1"/>
  <c r="S324" i="3"/>
  <c r="Q324" i="3"/>
  <c r="K324" i="3"/>
  <c r="AD323" i="3"/>
  <c r="AE323" i="3" s="1"/>
  <c r="S323" i="3"/>
  <c r="Q323" i="3"/>
  <c r="K323" i="3"/>
  <c r="AD322" i="3"/>
  <c r="AF322" i="3" s="1"/>
  <c r="S322" i="3"/>
  <c r="Q322" i="3"/>
  <c r="K322" i="3"/>
  <c r="AD321" i="3"/>
  <c r="S321" i="3"/>
  <c r="Q321" i="3"/>
  <c r="K321" i="3"/>
  <c r="AD320" i="3"/>
  <c r="AE320" i="3" s="1"/>
  <c r="S320" i="3"/>
  <c r="Q320" i="3"/>
  <c r="K320" i="3"/>
  <c r="AD319" i="3"/>
  <c r="AF319" i="3" s="1"/>
  <c r="S319" i="3"/>
  <c r="Q319" i="3"/>
  <c r="K319" i="3"/>
  <c r="AD318" i="3"/>
  <c r="AF318" i="3" s="1"/>
  <c r="S318" i="3"/>
  <c r="Q318" i="3"/>
  <c r="K318" i="3"/>
  <c r="AD317" i="3"/>
  <c r="AE317" i="3" s="1"/>
  <c r="S317" i="3"/>
  <c r="Q317" i="3"/>
  <c r="K317" i="3"/>
  <c r="AD316" i="3"/>
  <c r="AE316" i="3" s="1"/>
  <c r="S316" i="3"/>
  <c r="Q316" i="3"/>
  <c r="K316" i="3"/>
  <c r="AD315" i="3"/>
  <c r="AF315" i="3" s="1"/>
  <c r="S315" i="3"/>
  <c r="Q315" i="3"/>
  <c r="K315" i="3"/>
  <c r="AD314" i="3"/>
  <c r="AE314" i="3" s="1"/>
  <c r="K314" i="3"/>
  <c r="AD313" i="3"/>
  <c r="AF313" i="3" s="1"/>
  <c r="S313" i="3"/>
  <c r="Q313" i="3"/>
  <c r="K313" i="3"/>
  <c r="AD312" i="3"/>
  <c r="S312" i="3"/>
  <c r="Q312" i="3"/>
  <c r="K312" i="3"/>
  <c r="AD311" i="3"/>
  <c r="S311" i="3"/>
  <c r="Q311" i="3"/>
  <c r="K311" i="3"/>
  <c r="AD310" i="3"/>
  <c r="AE310" i="3" s="1"/>
  <c r="S310" i="3"/>
  <c r="Q310" i="3"/>
  <c r="K310" i="3"/>
  <c r="AD309" i="3"/>
  <c r="AE309" i="3" s="1"/>
  <c r="S309" i="3"/>
  <c r="Q309" i="3"/>
  <c r="K309" i="3"/>
  <c r="AD308" i="3"/>
  <c r="AE308" i="3" s="1"/>
  <c r="S308" i="3"/>
  <c r="Q308" i="3"/>
  <c r="K308" i="3"/>
  <c r="AD307" i="3"/>
  <c r="AF307" i="3" s="1"/>
  <c r="S307" i="3"/>
  <c r="Q307" i="3"/>
  <c r="K307" i="3"/>
  <c r="AD306" i="3"/>
  <c r="AE306" i="3" s="1"/>
  <c r="S306" i="3"/>
  <c r="Q306" i="3"/>
  <c r="K306" i="3"/>
  <c r="AD305" i="3"/>
  <c r="AF305" i="3" s="1"/>
  <c r="S305" i="3"/>
  <c r="Q305" i="3"/>
  <c r="K305" i="3"/>
  <c r="AD304" i="3"/>
  <c r="AF304" i="3" s="1"/>
  <c r="S304" i="3"/>
  <c r="Q304" i="3"/>
  <c r="J304" i="3"/>
  <c r="K304" i="3" s="1"/>
  <c r="AD303" i="3"/>
  <c r="S303" i="3"/>
  <c r="Q303" i="3"/>
  <c r="K303" i="3"/>
  <c r="AD302" i="3"/>
  <c r="AE302" i="3" s="1"/>
  <c r="S302" i="3"/>
  <c r="Q302" i="3"/>
  <c r="K302" i="3"/>
  <c r="AD301" i="3"/>
  <c r="AE301" i="3" s="1"/>
  <c r="S301" i="3"/>
  <c r="Q301" i="3"/>
  <c r="K301" i="3"/>
  <c r="AD300" i="3"/>
  <c r="AF300" i="3" s="1"/>
  <c r="K300" i="3"/>
  <c r="AD299" i="3"/>
  <c r="AF299" i="3" s="1"/>
  <c r="S299" i="3"/>
  <c r="Q299" i="3"/>
  <c r="K299" i="3"/>
  <c r="AD298" i="3"/>
  <c r="S298" i="3"/>
  <c r="Q298" i="3"/>
  <c r="K298" i="3"/>
  <c r="S297" i="3"/>
  <c r="K297" i="3"/>
  <c r="AD296" i="3"/>
  <c r="AE296" i="3" s="1"/>
  <c r="S296" i="3"/>
  <c r="Q296" i="3"/>
  <c r="K296" i="3"/>
  <c r="AD295" i="3"/>
  <c r="AE295" i="3" s="1"/>
  <c r="S295" i="3"/>
  <c r="Q295" i="3"/>
  <c r="K295" i="3"/>
  <c r="AD294" i="3"/>
  <c r="AE294" i="3" s="1"/>
  <c r="S294" i="3"/>
  <c r="Q294" i="3"/>
  <c r="K294" i="3"/>
  <c r="AD293" i="3"/>
  <c r="S293" i="3"/>
  <c r="Q293" i="3"/>
  <c r="K293" i="3"/>
  <c r="AD292" i="3"/>
  <c r="AF292" i="3" s="1"/>
  <c r="S292" i="3"/>
  <c r="Q292" i="3"/>
  <c r="K292" i="3"/>
  <c r="AD291" i="3"/>
  <c r="AF291" i="3" s="1"/>
  <c r="S291" i="3"/>
  <c r="Q291" i="3"/>
  <c r="K291" i="3"/>
  <c r="AD290" i="3"/>
  <c r="S290" i="3"/>
  <c r="Q290" i="3"/>
  <c r="K290" i="3"/>
  <c r="AD289" i="3"/>
  <c r="AE289" i="3" s="1"/>
  <c r="S289" i="3"/>
  <c r="Q289" i="3"/>
  <c r="K289" i="3"/>
  <c r="AD288" i="3"/>
  <c r="AF288" i="3" s="1"/>
  <c r="V288" i="3"/>
  <c r="S288" i="3"/>
  <c r="Q288" i="3"/>
  <c r="K288" i="3"/>
  <c r="AD287" i="3"/>
  <c r="AE287" i="3" s="1"/>
  <c r="S287" i="3"/>
  <c r="Q287" i="3"/>
  <c r="K287" i="3"/>
  <c r="AD286" i="3"/>
  <c r="AF286" i="3" s="1"/>
  <c r="S286" i="3"/>
  <c r="Q286" i="3"/>
  <c r="K286" i="3"/>
  <c r="AD285" i="3"/>
  <c r="S285" i="3"/>
  <c r="Q285" i="3"/>
  <c r="K285" i="3"/>
  <c r="AD284" i="3"/>
  <c r="AF284" i="3" s="1"/>
  <c r="S284" i="3"/>
  <c r="Q284" i="3"/>
  <c r="K284" i="3"/>
  <c r="AD283" i="3"/>
  <c r="AE283" i="3" s="1"/>
  <c r="S283" i="3"/>
  <c r="Q283" i="3"/>
  <c r="K283" i="3"/>
  <c r="AD282" i="3"/>
  <c r="AF282" i="3" s="1"/>
  <c r="K282" i="3"/>
  <c r="AD281" i="3"/>
  <c r="AE281" i="3" s="1"/>
  <c r="S281" i="3"/>
  <c r="Q281" i="3"/>
  <c r="K281" i="3"/>
  <c r="AD280" i="3"/>
  <c r="S280" i="3"/>
  <c r="Q280" i="3"/>
  <c r="K280" i="3"/>
  <c r="AD279" i="3"/>
  <c r="S279" i="3"/>
  <c r="Q279" i="3"/>
  <c r="K279" i="3"/>
  <c r="AD278" i="3"/>
  <c r="AE278" i="3" s="1"/>
  <c r="S278" i="3"/>
  <c r="Q278" i="3"/>
  <c r="K278" i="3"/>
  <c r="AD277" i="3"/>
  <c r="AE277" i="3" s="1"/>
  <c r="S277" i="3"/>
  <c r="K277" i="3"/>
  <c r="AD276" i="3"/>
  <c r="AF276" i="3" s="1"/>
  <c r="S276" i="3"/>
  <c r="K276" i="3"/>
  <c r="AD275" i="3"/>
  <c r="S275" i="3"/>
  <c r="Q275" i="3"/>
  <c r="K275" i="3"/>
  <c r="AD274" i="3"/>
  <c r="AE274" i="3" s="1"/>
  <c r="S274" i="3"/>
  <c r="Q274" i="3"/>
  <c r="K274" i="3"/>
  <c r="AD273" i="3"/>
  <c r="AE273" i="3" s="1"/>
  <c r="S273" i="3"/>
  <c r="Q273" i="3"/>
  <c r="K273" i="3"/>
  <c r="AD272" i="3"/>
  <c r="AF272" i="3" s="1"/>
  <c r="S272" i="3"/>
  <c r="Q272" i="3"/>
  <c r="K272" i="3"/>
  <c r="AD271" i="3"/>
  <c r="AE271" i="3" s="1"/>
  <c r="S271" i="3"/>
  <c r="Q271" i="3"/>
  <c r="K271" i="3"/>
  <c r="AD270" i="3"/>
  <c r="AF270" i="3" s="1"/>
  <c r="S270" i="3"/>
  <c r="Q270" i="3"/>
  <c r="K270" i="3"/>
  <c r="AD269" i="3"/>
  <c r="AF269" i="3" s="1"/>
  <c r="S269" i="3"/>
  <c r="Q269" i="3"/>
  <c r="K269" i="3"/>
  <c r="AD268" i="3"/>
  <c r="AE268" i="3" s="1"/>
  <c r="S268" i="3"/>
  <c r="Q268" i="3"/>
  <c r="K268" i="3"/>
  <c r="AD267" i="3"/>
  <c r="S267" i="3"/>
  <c r="Q267" i="3"/>
  <c r="K267" i="3"/>
  <c r="AD266" i="3"/>
  <c r="AF266" i="3" s="1"/>
  <c r="S266" i="3"/>
  <c r="Q266" i="3"/>
  <c r="K266" i="3"/>
  <c r="AD265" i="3"/>
  <c r="AF265" i="3" s="1"/>
  <c r="S265" i="3"/>
  <c r="Q265" i="3"/>
  <c r="K265" i="3"/>
  <c r="AD264" i="3"/>
  <c r="AE264" i="3" s="1"/>
  <c r="S264" i="3"/>
  <c r="Q264" i="3"/>
  <c r="K264" i="3"/>
  <c r="AD263" i="3"/>
  <c r="AE263" i="3" s="1"/>
  <c r="S263" i="3"/>
  <c r="Q263" i="3"/>
  <c r="K263" i="3"/>
  <c r="AD262" i="3"/>
  <c r="AF262" i="3" s="1"/>
  <c r="S262" i="3"/>
  <c r="Q262" i="3"/>
  <c r="K262" i="3"/>
  <c r="AD261" i="3"/>
  <c r="AF261" i="3" s="1"/>
  <c r="S261" i="3"/>
  <c r="Q261" i="3"/>
  <c r="K261" i="3"/>
  <c r="AD260" i="3"/>
  <c r="AE260" i="3" s="1"/>
  <c r="K260" i="3"/>
  <c r="AD259" i="3"/>
  <c r="AE259" i="3" s="1"/>
  <c r="S259" i="3"/>
  <c r="Q259" i="3"/>
  <c r="K259" i="3"/>
  <c r="AD258" i="3"/>
  <c r="S258" i="3"/>
  <c r="Q258" i="3"/>
  <c r="K258" i="3"/>
  <c r="AD257" i="3"/>
  <c r="AE257" i="3" s="1"/>
  <c r="S257" i="3"/>
  <c r="Q257" i="3"/>
  <c r="K257" i="3"/>
  <c r="AD256" i="3"/>
  <c r="AF256" i="3" s="1"/>
  <c r="S256" i="3"/>
  <c r="Q256" i="3"/>
  <c r="K256" i="3"/>
  <c r="AD255" i="3"/>
  <c r="S255" i="3"/>
  <c r="Q255" i="3"/>
  <c r="K255" i="3"/>
  <c r="AD254" i="3"/>
  <c r="AF254" i="3" s="1"/>
  <c r="S254" i="3"/>
  <c r="Q254" i="3"/>
  <c r="K254" i="3"/>
  <c r="AD253" i="3"/>
  <c r="AE253" i="3" s="1"/>
  <c r="S253" i="3"/>
  <c r="Q253" i="3"/>
  <c r="K253" i="3"/>
  <c r="AD252" i="3"/>
  <c r="AF252" i="3" s="1"/>
  <c r="S252" i="3"/>
  <c r="Q252" i="3"/>
  <c r="K252" i="3"/>
  <c r="AD251" i="3"/>
  <c r="S251" i="3"/>
  <c r="Q251" i="3"/>
  <c r="K251" i="3"/>
  <c r="AD250" i="3"/>
  <c r="AE250" i="3" s="1"/>
  <c r="S250" i="3"/>
  <c r="Q250" i="3"/>
  <c r="K250" i="3"/>
  <c r="AD249" i="3"/>
  <c r="AE249" i="3" s="1"/>
  <c r="S249" i="3"/>
  <c r="Q249" i="3"/>
  <c r="K249" i="3"/>
  <c r="AD248" i="3"/>
  <c r="AE248" i="3" s="1"/>
  <c r="S248" i="3"/>
  <c r="Q248" i="3"/>
  <c r="K248" i="3"/>
  <c r="AD247" i="3"/>
  <c r="AE247" i="3" s="1"/>
  <c r="S247" i="3"/>
  <c r="Q247" i="3"/>
  <c r="K247" i="3"/>
  <c r="AD246" i="3"/>
  <c r="S246" i="3"/>
  <c r="Q246" i="3"/>
  <c r="K246" i="3"/>
  <c r="AD245" i="3"/>
  <c r="AF245" i="3" s="1"/>
  <c r="S245" i="3"/>
  <c r="Q245" i="3"/>
  <c r="K245" i="3"/>
  <c r="AD244" i="3"/>
  <c r="AF244" i="3" s="1"/>
  <c r="S244" i="3"/>
  <c r="Q244" i="3"/>
  <c r="K244" i="3"/>
  <c r="AD243" i="3"/>
  <c r="AE243" i="3" s="1"/>
  <c r="S243" i="3"/>
  <c r="R243" i="3"/>
  <c r="R244" i="3" s="1"/>
  <c r="Q243" i="3"/>
  <c r="K243" i="3"/>
  <c r="AD242" i="3"/>
  <c r="S242" i="3"/>
  <c r="T242" i="3" s="1"/>
  <c r="Q242" i="3"/>
  <c r="K242" i="3"/>
  <c r="AD241" i="3"/>
  <c r="S241" i="3"/>
  <c r="T241" i="3" s="1"/>
  <c r="Q241" i="3"/>
  <c r="K241" i="3"/>
  <c r="AD240" i="3"/>
  <c r="AE240" i="3" s="1"/>
  <c r="S240" i="3"/>
  <c r="T240" i="3" s="1"/>
  <c r="Q240" i="3"/>
  <c r="K240" i="3"/>
  <c r="AD239" i="3"/>
  <c r="AF239" i="3" s="1"/>
  <c r="S239" i="3"/>
  <c r="T239" i="3" s="1"/>
  <c r="Q239" i="3"/>
  <c r="K239" i="3"/>
  <c r="AD238" i="3"/>
  <c r="AF238" i="3" s="1"/>
  <c r="K238" i="3"/>
  <c r="AD237" i="3"/>
  <c r="AF237" i="3" s="1"/>
  <c r="S237" i="3"/>
  <c r="T237" i="3" s="1"/>
  <c r="Q237" i="3"/>
  <c r="K237" i="3"/>
  <c r="AD236" i="3"/>
  <c r="AE236" i="3" s="1"/>
  <c r="S236" i="3"/>
  <c r="T236" i="3" s="1"/>
  <c r="Q236" i="3"/>
  <c r="K236" i="3"/>
  <c r="AD235" i="3"/>
  <c r="AF235" i="3" s="1"/>
  <c r="S235" i="3"/>
  <c r="T235" i="3" s="1"/>
  <c r="Q235" i="3"/>
  <c r="K235" i="3"/>
  <c r="AD234" i="3"/>
  <c r="S234" i="3"/>
  <c r="T234" i="3" s="1"/>
  <c r="Q234" i="3"/>
  <c r="K234" i="3"/>
  <c r="AD233" i="3"/>
  <c r="AE233" i="3" s="1"/>
  <c r="S233" i="3"/>
  <c r="T233" i="3" s="1"/>
  <c r="Q233" i="3"/>
  <c r="K233" i="3"/>
  <c r="AD232" i="3"/>
  <c r="AE232" i="3" s="1"/>
  <c r="S232" i="3"/>
  <c r="T232" i="3" s="1"/>
  <c r="Q232" i="3"/>
  <c r="K232" i="3"/>
  <c r="AD231" i="3"/>
  <c r="AF231" i="3" s="1"/>
  <c r="S231" i="3"/>
  <c r="T231" i="3" s="1"/>
  <c r="Q231" i="3"/>
  <c r="K231" i="3"/>
  <c r="AD230" i="3"/>
  <c r="AF230" i="3" s="1"/>
  <c r="S230" i="3"/>
  <c r="T230" i="3" s="1"/>
  <c r="Q230" i="3"/>
  <c r="K230" i="3"/>
  <c r="AD229" i="3"/>
  <c r="AF229" i="3" s="1"/>
  <c r="S229" i="3"/>
  <c r="T229" i="3" s="1"/>
  <c r="Q229" i="3"/>
  <c r="K229" i="3"/>
  <c r="AD228" i="3"/>
  <c r="AF228" i="3" s="1"/>
  <c r="S228" i="3"/>
  <c r="T228" i="3" s="1"/>
  <c r="Q228" i="3"/>
  <c r="K228" i="3"/>
  <c r="AD227" i="3"/>
  <c r="AF227" i="3" s="1"/>
  <c r="S227" i="3"/>
  <c r="T227" i="3" s="1"/>
  <c r="Q227" i="3"/>
  <c r="K227" i="3"/>
  <c r="E226" i="3"/>
  <c r="AD225" i="3"/>
  <c r="AF225" i="3" s="1"/>
  <c r="S225" i="3"/>
  <c r="T225" i="3" s="1"/>
  <c r="Q225" i="3"/>
  <c r="K225" i="3"/>
  <c r="AD224" i="3"/>
  <c r="AF224" i="3" s="1"/>
  <c r="S224" i="3"/>
  <c r="T224" i="3" s="1"/>
  <c r="Q224" i="3"/>
  <c r="K224" i="3"/>
  <c r="AD223" i="3"/>
  <c r="S223" i="3"/>
  <c r="T223" i="3" s="1"/>
  <c r="Q223" i="3"/>
  <c r="K223" i="3"/>
  <c r="AD222" i="3"/>
  <c r="S222" i="3"/>
  <c r="T222" i="3" s="1"/>
  <c r="Q222" i="3"/>
  <c r="K222" i="3"/>
  <c r="AD221" i="3"/>
  <c r="AF221" i="3" s="1"/>
  <c r="S221" i="3"/>
  <c r="T221" i="3" s="1"/>
  <c r="Q221" i="3"/>
  <c r="K221" i="3"/>
  <c r="AD220" i="3"/>
  <c r="AF220" i="3" s="1"/>
  <c r="S220" i="3"/>
  <c r="Q220" i="3"/>
  <c r="K220" i="3"/>
  <c r="AD219" i="3"/>
  <c r="S219" i="3"/>
  <c r="Q219" i="3"/>
  <c r="K219" i="3"/>
  <c r="AD218" i="3"/>
  <c r="AF218" i="3" s="1"/>
  <c r="S218" i="3"/>
  <c r="Q218" i="3"/>
  <c r="K218" i="3"/>
  <c r="AD217" i="3"/>
  <c r="S217" i="3"/>
  <c r="Q217" i="3"/>
  <c r="K217" i="3"/>
  <c r="AD216" i="3"/>
  <c r="AE216" i="3" s="1"/>
  <c r="S216" i="3"/>
  <c r="Q216" i="3"/>
  <c r="K216" i="3"/>
  <c r="AD215" i="3"/>
  <c r="AF215" i="3" s="1"/>
  <c r="S215" i="3"/>
  <c r="Q215" i="3"/>
  <c r="K215" i="3"/>
  <c r="AD214" i="3"/>
  <c r="AF214" i="3" s="1"/>
  <c r="S214" i="3"/>
  <c r="Q214" i="3"/>
  <c r="K214" i="3"/>
  <c r="AD213" i="3"/>
  <c r="AF213" i="3" s="1"/>
  <c r="S213" i="3"/>
  <c r="Q213" i="3"/>
  <c r="K213" i="3"/>
  <c r="AD212" i="3"/>
  <c r="AE212" i="3" s="1"/>
  <c r="S212" i="3"/>
  <c r="Q212" i="3"/>
  <c r="K212" i="3"/>
  <c r="AD211" i="3"/>
  <c r="AE211" i="3" s="1"/>
  <c r="S211" i="3"/>
  <c r="Q211" i="3"/>
  <c r="K211" i="3"/>
  <c r="AD210" i="3"/>
  <c r="AF210" i="3" s="1"/>
  <c r="S210" i="3"/>
  <c r="Q210" i="3"/>
  <c r="K210" i="3"/>
  <c r="AD209" i="3"/>
  <c r="AF209" i="3" s="1"/>
  <c r="S209" i="3"/>
  <c r="Q209" i="3"/>
  <c r="K209" i="3"/>
  <c r="E208" i="3"/>
  <c r="AD207" i="3"/>
  <c r="AF207" i="3" s="1"/>
  <c r="S207" i="3"/>
  <c r="Q207" i="3"/>
  <c r="K207" i="3"/>
  <c r="AD206" i="3"/>
  <c r="AF206" i="3" s="1"/>
  <c r="S206" i="3"/>
  <c r="Q206" i="3"/>
  <c r="K206" i="3"/>
  <c r="AD205" i="3"/>
  <c r="AF205" i="3" s="1"/>
  <c r="S205" i="3"/>
  <c r="Q205" i="3"/>
  <c r="K205" i="3"/>
  <c r="AD204" i="3"/>
  <c r="AF204" i="3" s="1"/>
  <c r="S204" i="3"/>
  <c r="Q204" i="3"/>
  <c r="K204" i="3"/>
  <c r="AD203" i="3"/>
  <c r="S203" i="3"/>
  <c r="Q203" i="3"/>
  <c r="K203" i="3"/>
  <c r="AD202" i="3"/>
  <c r="AF202" i="3" s="1"/>
  <c r="S202" i="3"/>
  <c r="Q202" i="3"/>
  <c r="K202" i="3"/>
  <c r="AD201" i="3"/>
  <c r="AF201" i="3" s="1"/>
  <c r="S201" i="3"/>
  <c r="Q201" i="3"/>
  <c r="K201" i="3"/>
  <c r="AD200" i="3"/>
  <c r="AF200" i="3" s="1"/>
  <c r="S200" i="3"/>
  <c r="Q200" i="3"/>
  <c r="K200" i="3"/>
  <c r="AD199" i="3"/>
  <c r="AE199" i="3" s="1"/>
  <c r="S199" i="3"/>
  <c r="Q199" i="3"/>
  <c r="K199" i="3"/>
  <c r="AD198" i="3"/>
  <c r="AF198" i="3" s="1"/>
  <c r="S198" i="3"/>
  <c r="Q198" i="3"/>
  <c r="K198" i="3"/>
  <c r="AD197" i="3"/>
  <c r="AF197" i="3" s="1"/>
  <c r="S197" i="3"/>
  <c r="Q197" i="3"/>
  <c r="K197" i="3"/>
  <c r="AD196" i="3"/>
  <c r="AF196" i="3" s="1"/>
  <c r="S196" i="3"/>
  <c r="Q196" i="3"/>
  <c r="K196" i="3"/>
  <c r="AD195" i="3"/>
  <c r="AF195" i="3" s="1"/>
  <c r="S195" i="3"/>
  <c r="Q195" i="3"/>
  <c r="K195" i="3"/>
  <c r="AD194" i="3"/>
  <c r="AE194" i="3" s="1"/>
  <c r="S194" i="3"/>
  <c r="Q194" i="3"/>
  <c r="K194" i="3"/>
  <c r="AD193" i="3"/>
  <c r="AF193" i="3" s="1"/>
  <c r="S193" i="3"/>
  <c r="Q193" i="3"/>
  <c r="K193" i="3"/>
  <c r="AD192" i="3"/>
  <c r="S192" i="3"/>
  <c r="Q192" i="3"/>
  <c r="K192" i="3"/>
  <c r="AD191" i="3"/>
  <c r="AF191" i="3" s="1"/>
  <c r="S191" i="3"/>
  <c r="Q191" i="3"/>
  <c r="K191" i="3"/>
  <c r="AD190" i="3"/>
  <c r="AF190" i="3" s="1"/>
  <c r="S190" i="3"/>
  <c r="Q190" i="3"/>
  <c r="K190" i="3"/>
  <c r="AD189" i="3"/>
  <c r="AF189" i="3" s="1"/>
  <c r="S189" i="3"/>
  <c r="Q189" i="3"/>
  <c r="K189" i="3"/>
  <c r="AD188" i="3"/>
  <c r="AF188" i="3" s="1"/>
  <c r="S188" i="3"/>
  <c r="Q188" i="3"/>
  <c r="K188" i="3"/>
  <c r="AD187" i="3"/>
  <c r="AF187" i="3" s="1"/>
  <c r="S187" i="3"/>
  <c r="Q187" i="3"/>
  <c r="K187" i="3"/>
  <c r="AD186" i="3"/>
  <c r="AE186" i="3" s="1"/>
  <c r="S186" i="3"/>
  <c r="Q186" i="3"/>
  <c r="K186" i="3"/>
  <c r="AD185" i="3"/>
  <c r="AF185" i="3" s="1"/>
  <c r="S185" i="3"/>
  <c r="Q185" i="3"/>
  <c r="K185" i="3"/>
  <c r="AD184" i="3"/>
  <c r="AE184" i="3" s="1"/>
  <c r="S184" i="3"/>
  <c r="Q184" i="3"/>
  <c r="K184" i="3"/>
  <c r="AD183" i="3"/>
  <c r="AF183" i="3" s="1"/>
  <c r="S183" i="3"/>
  <c r="Q183" i="3"/>
  <c r="K183" i="3"/>
  <c r="AD182" i="3"/>
  <c r="AF182" i="3" s="1"/>
  <c r="S182" i="3"/>
  <c r="R182" i="3"/>
  <c r="R183" i="3" s="1"/>
  <c r="Q182" i="3"/>
  <c r="K182" i="3"/>
  <c r="AD181" i="3"/>
  <c r="AF181" i="3" s="1"/>
  <c r="S181" i="3"/>
  <c r="T181" i="3" s="1"/>
  <c r="Q181" i="3"/>
  <c r="K181" i="3"/>
  <c r="AD180" i="3"/>
  <c r="AF180" i="3" s="1"/>
  <c r="S180" i="3"/>
  <c r="Q180" i="3"/>
  <c r="K180" i="3"/>
  <c r="AD179" i="3"/>
  <c r="AE179" i="3" s="1"/>
  <c r="S179" i="3"/>
  <c r="Q179" i="3"/>
  <c r="K179" i="3"/>
  <c r="AD178" i="3"/>
  <c r="AE178" i="3" s="1"/>
  <c r="E178" i="3"/>
  <c r="AD177" i="3"/>
  <c r="AE177" i="3" s="1"/>
  <c r="S177" i="3"/>
  <c r="Q177" i="3"/>
  <c r="K177" i="3"/>
  <c r="AD176" i="3"/>
  <c r="AE176" i="3" s="1"/>
  <c r="S176" i="3"/>
  <c r="Q176" i="3"/>
  <c r="K176" i="3"/>
  <c r="AD175" i="3"/>
  <c r="AE175" i="3" s="1"/>
  <c r="S175" i="3"/>
  <c r="K175" i="3"/>
  <c r="AD174" i="3"/>
  <c r="AE174" i="3" s="1"/>
  <c r="S174" i="3"/>
  <c r="Q174" i="3"/>
  <c r="K174" i="3"/>
  <c r="AD173" i="3"/>
  <c r="S173" i="3"/>
  <c r="Q173" i="3"/>
  <c r="K173" i="3"/>
  <c r="AD172" i="3"/>
  <c r="AF172" i="3" s="1"/>
  <c r="S172" i="3"/>
  <c r="Q172" i="3"/>
  <c r="K172" i="3"/>
  <c r="AD171" i="3"/>
  <c r="AF171" i="3" s="1"/>
  <c r="S171" i="3"/>
  <c r="Q171" i="3"/>
  <c r="K171" i="3"/>
  <c r="AD170" i="3"/>
  <c r="AE170" i="3" s="1"/>
  <c r="S170" i="3"/>
  <c r="Q170" i="3"/>
  <c r="K170" i="3"/>
  <c r="AD169" i="3"/>
  <c r="AF169" i="3" s="1"/>
  <c r="S169" i="3"/>
  <c r="Q169" i="3"/>
  <c r="K169" i="3"/>
  <c r="AD168" i="3"/>
  <c r="AF168" i="3" s="1"/>
  <c r="S168" i="3"/>
  <c r="Q168" i="3"/>
  <c r="K168" i="3"/>
  <c r="AD167" i="3"/>
  <c r="AE167" i="3" s="1"/>
  <c r="S167" i="3"/>
  <c r="Q167" i="3"/>
  <c r="K167" i="3"/>
  <c r="AD166" i="3"/>
  <c r="AE166" i="3" s="1"/>
  <c r="S166" i="3"/>
  <c r="Q166" i="3"/>
  <c r="K166" i="3"/>
  <c r="AD165" i="3"/>
  <c r="AF165" i="3" s="1"/>
  <c r="S165" i="3"/>
  <c r="R165" i="3"/>
  <c r="R166" i="3" s="1"/>
  <c r="R167" i="3" s="1"/>
  <c r="Q165" i="3"/>
  <c r="K165" i="3"/>
  <c r="AD164" i="3"/>
  <c r="AF164" i="3" s="1"/>
  <c r="S164" i="3"/>
  <c r="T164" i="3" s="1"/>
  <c r="Q164" i="3"/>
  <c r="K164" i="3"/>
  <c r="AD163" i="3"/>
  <c r="AF163" i="3" s="1"/>
  <c r="S163" i="3"/>
  <c r="Q163" i="3"/>
  <c r="K163" i="3"/>
  <c r="AD162" i="3"/>
  <c r="AF162" i="3" s="1"/>
  <c r="S162" i="3"/>
  <c r="Q162" i="3"/>
  <c r="K162" i="3"/>
  <c r="AD161" i="3"/>
  <c r="AF161" i="3" s="1"/>
  <c r="S161" i="3"/>
  <c r="Q161" i="3"/>
  <c r="K161" i="3"/>
  <c r="AD160" i="3"/>
  <c r="AF160" i="3" s="1"/>
  <c r="S160" i="3"/>
  <c r="Q160" i="3"/>
  <c r="K160" i="3"/>
  <c r="E159" i="3"/>
  <c r="AD158" i="3"/>
  <c r="AE158" i="3" s="1"/>
  <c r="S158" i="3"/>
  <c r="Q158" i="3"/>
  <c r="K158" i="3"/>
  <c r="AD157" i="3"/>
  <c r="AF157" i="3" s="1"/>
  <c r="S157" i="3"/>
  <c r="Q157" i="3"/>
  <c r="K157" i="3"/>
  <c r="AD156" i="3"/>
  <c r="AF156" i="3" s="1"/>
  <c r="S156" i="3"/>
  <c r="Q156" i="3"/>
  <c r="K156" i="3"/>
  <c r="AD155" i="3"/>
  <c r="AF155" i="3" s="1"/>
  <c r="S155" i="3"/>
  <c r="Q155" i="3"/>
  <c r="K155" i="3"/>
  <c r="AD154" i="3"/>
  <c r="AF154" i="3" s="1"/>
  <c r="S154" i="3"/>
  <c r="Q154" i="3"/>
  <c r="K154" i="3"/>
  <c r="AD153" i="3"/>
  <c r="AE153" i="3" s="1"/>
  <c r="S153" i="3"/>
  <c r="Q153" i="3"/>
  <c r="K153" i="3"/>
  <c r="AD152" i="3"/>
  <c r="S152" i="3"/>
  <c r="Q152" i="3"/>
  <c r="K152" i="3"/>
  <c r="AD151" i="3"/>
  <c r="AE151" i="3" s="1"/>
  <c r="S151" i="3"/>
  <c r="Q151" i="3"/>
  <c r="K151" i="3"/>
  <c r="AD150" i="3"/>
  <c r="AF150" i="3" s="1"/>
  <c r="S150" i="3"/>
  <c r="Q150" i="3"/>
  <c r="K150" i="3"/>
  <c r="AD149" i="3"/>
  <c r="AF149" i="3" s="1"/>
  <c r="S149" i="3"/>
  <c r="Q149" i="3"/>
  <c r="K149" i="3"/>
  <c r="AD148" i="3"/>
  <c r="AE148" i="3" s="1"/>
  <c r="S148" i="3"/>
  <c r="Q148" i="3"/>
  <c r="K148" i="3"/>
  <c r="AD147" i="3"/>
  <c r="S147" i="3"/>
  <c r="Q147" i="3"/>
  <c r="K147" i="3"/>
  <c r="AD146" i="3"/>
  <c r="AF146" i="3" s="1"/>
  <c r="S146" i="3"/>
  <c r="Q146" i="3"/>
  <c r="K146" i="3"/>
  <c r="AD145" i="3"/>
  <c r="AF145" i="3" s="1"/>
  <c r="S145" i="3"/>
  <c r="Q145" i="3"/>
  <c r="K145" i="3"/>
  <c r="AD144" i="3"/>
  <c r="AE144" i="3" s="1"/>
  <c r="S144" i="3"/>
  <c r="Q144" i="3"/>
  <c r="S143" i="3"/>
  <c r="K143" i="3"/>
  <c r="AD142" i="3"/>
  <c r="AE142" i="3" s="1"/>
  <c r="S142" i="3"/>
  <c r="Q142" i="3"/>
  <c r="K142" i="3"/>
  <c r="AD141" i="3"/>
  <c r="AF141" i="3" s="1"/>
  <c r="S141" i="3"/>
  <c r="Q141" i="3"/>
  <c r="K141" i="3"/>
  <c r="AD140" i="3"/>
  <c r="AF140" i="3" s="1"/>
  <c r="S140" i="3"/>
  <c r="Q140" i="3"/>
  <c r="K140" i="3"/>
  <c r="AD139" i="3"/>
  <c r="AE139" i="3" s="1"/>
  <c r="S139" i="3"/>
  <c r="Q139" i="3"/>
  <c r="K139" i="3"/>
  <c r="AD138" i="3"/>
  <c r="AF138" i="3" s="1"/>
  <c r="S138" i="3"/>
  <c r="Q138" i="3"/>
  <c r="K138" i="3"/>
  <c r="AD137" i="3"/>
  <c r="AF137" i="3" s="1"/>
  <c r="S137" i="3"/>
  <c r="Q137" i="3"/>
  <c r="K137" i="3"/>
  <c r="AD136" i="3"/>
  <c r="AF136" i="3" s="1"/>
  <c r="V136" i="3"/>
  <c r="U136" i="3"/>
  <c r="Q136" i="3"/>
  <c r="P136" i="3"/>
  <c r="N136" i="3"/>
  <c r="K136" i="3"/>
  <c r="AD135" i="3"/>
  <c r="AF135" i="3" s="1"/>
  <c r="S135" i="3"/>
  <c r="Q135" i="3"/>
  <c r="K135" i="3"/>
  <c r="AD134" i="3"/>
  <c r="AF134" i="3" s="1"/>
  <c r="S134" i="3"/>
  <c r="Q134" i="3"/>
  <c r="K134" i="3"/>
  <c r="E133" i="3"/>
  <c r="AD132" i="3"/>
  <c r="AE132" i="3" s="1"/>
  <c r="S132" i="3"/>
  <c r="Q132" i="3"/>
  <c r="K132" i="3"/>
  <c r="AD131" i="3"/>
  <c r="AF131" i="3" s="1"/>
  <c r="S131" i="3"/>
  <c r="Q131" i="3"/>
  <c r="K131" i="3"/>
  <c r="AD130" i="3"/>
  <c r="AF130" i="3" s="1"/>
  <c r="S130" i="3"/>
  <c r="Q130" i="3"/>
  <c r="K130" i="3"/>
  <c r="AD129" i="3"/>
  <c r="AE129" i="3" s="1"/>
  <c r="S129" i="3"/>
  <c r="Q129" i="3"/>
  <c r="K129" i="3"/>
  <c r="AD128" i="3"/>
  <c r="AF128" i="3" s="1"/>
  <c r="S128" i="3"/>
  <c r="Q128" i="3"/>
  <c r="K128" i="3"/>
  <c r="AD127" i="3"/>
  <c r="AE127" i="3" s="1"/>
  <c r="S127" i="3"/>
  <c r="Q127" i="3"/>
  <c r="K127" i="3"/>
  <c r="AD126" i="3"/>
  <c r="S126" i="3"/>
  <c r="Q126" i="3"/>
  <c r="K126" i="3"/>
  <c r="AD125" i="3"/>
  <c r="AF125" i="3" s="1"/>
  <c r="S125" i="3"/>
  <c r="Q125" i="3"/>
  <c r="K125" i="3"/>
  <c r="AD124" i="3"/>
  <c r="AF124" i="3" s="1"/>
  <c r="S124" i="3"/>
  <c r="Q124" i="3"/>
  <c r="K124" i="3"/>
  <c r="AD123" i="3"/>
  <c r="AF123" i="3" s="1"/>
  <c r="S123" i="3"/>
  <c r="Q123" i="3"/>
  <c r="K123" i="3"/>
  <c r="AD122" i="3"/>
  <c r="AE122" i="3" s="1"/>
  <c r="S122" i="3"/>
  <c r="Q122" i="3"/>
  <c r="K122" i="3"/>
  <c r="AD121" i="3"/>
  <c r="AE121" i="3" s="1"/>
  <c r="S121" i="3"/>
  <c r="Q121" i="3"/>
  <c r="K121" i="3"/>
  <c r="AD120" i="3"/>
  <c r="AE120" i="3" s="1"/>
  <c r="S120" i="3"/>
  <c r="Q120" i="3"/>
  <c r="K120" i="3"/>
  <c r="AD119" i="3"/>
  <c r="AE119" i="3" s="1"/>
  <c r="S119" i="3"/>
  <c r="Q119" i="3"/>
  <c r="K119" i="3"/>
  <c r="AD118" i="3"/>
  <c r="AE118" i="3" s="1"/>
  <c r="S118" i="3"/>
  <c r="Q118" i="3"/>
  <c r="K118" i="3"/>
  <c r="AD117" i="3"/>
  <c r="AE117" i="3" s="1"/>
  <c r="S117" i="3"/>
  <c r="Q117" i="3"/>
  <c r="AD116" i="3"/>
  <c r="AF116" i="3" s="1"/>
  <c r="S116" i="3"/>
  <c r="Q116" i="3"/>
  <c r="K116" i="3"/>
  <c r="E115" i="3"/>
  <c r="AD114" i="3"/>
  <c r="AF114" i="3" s="1"/>
  <c r="S114" i="3"/>
  <c r="Q114" i="3"/>
  <c r="K114" i="3"/>
  <c r="AD113" i="3"/>
  <c r="AF113" i="3" s="1"/>
  <c r="S113" i="3"/>
  <c r="Q113" i="3"/>
  <c r="K113" i="3"/>
  <c r="AD112" i="3"/>
  <c r="AE112" i="3" s="1"/>
  <c r="S112" i="3"/>
  <c r="Q112" i="3"/>
  <c r="K112" i="3"/>
  <c r="AD111" i="3"/>
  <c r="AE111" i="3" s="1"/>
  <c r="S111" i="3"/>
  <c r="Q111" i="3"/>
  <c r="K111" i="3"/>
  <c r="AD110" i="3"/>
  <c r="AF110" i="3" s="1"/>
  <c r="S110" i="3"/>
  <c r="Q110" i="3"/>
  <c r="K110" i="3"/>
  <c r="AD109" i="3"/>
  <c r="AF109" i="3" s="1"/>
  <c r="S109" i="3"/>
  <c r="Q109" i="3"/>
  <c r="K109" i="3"/>
  <c r="AD108" i="3"/>
  <c r="AF108" i="3" s="1"/>
  <c r="S108" i="3"/>
  <c r="Q108" i="3"/>
  <c r="K108" i="3"/>
  <c r="AD107" i="3"/>
  <c r="AF107" i="3" s="1"/>
  <c r="S107" i="3"/>
  <c r="Q107" i="3"/>
  <c r="K107" i="3"/>
  <c r="AD106" i="3"/>
  <c r="AE106" i="3" s="1"/>
  <c r="S106" i="3"/>
  <c r="Q106" i="3"/>
  <c r="K106" i="3"/>
  <c r="AD105" i="3"/>
  <c r="AE105" i="3" s="1"/>
  <c r="S105" i="3"/>
  <c r="Q105" i="3"/>
  <c r="K105" i="3"/>
  <c r="AD104" i="3"/>
  <c r="AE104" i="3" s="1"/>
  <c r="S104" i="3"/>
  <c r="Q104" i="3"/>
  <c r="K104" i="3"/>
  <c r="AD103" i="3"/>
  <c r="AE103" i="3" s="1"/>
  <c r="S103" i="3"/>
  <c r="Q103" i="3"/>
  <c r="K103" i="3"/>
  <c r="E102" i="3"/>
  <c r="AD101" i="3"/>
  <c r="AE101" i="3" s="1"/>
  <c r="S101" i="3"/>
  <c r="Q101" i="3"/>
  <c r="K101" i="3"/>
  <c r="AD100" i="3"/>
  <c r="AF100" i="3" s="1"/>
  <c r="S100" i="3"/>
  <c r="Q100" i="3"/>
  <c r="K100" i="3"/>
  <c r="AD99" i="3"/>
  <c r="AF99" i="3" s="1"/>
  <c r="S99" i="3"/>
  <c r="Q99" i="3"/>
  <c r="K99" i="3"/>
  <c r="AD98" i="3"/>
  <c r="AF98" i="3" s="1"/>
  <c r="S98" i="3"/>
  <c r="Q98" i="3"/>
  <c r="K98" i="3"/>
  <c r="AD97" i="3"/>
  <c r="AE97" i="3" s="1"/>
  <c r="S97" i="3"/>
  <c r="Q97" i="3"/>
  <c r="K97" i="3"/>
  <c r="AD96" i="3"/>
  <c r="AE96" i="3" s="1"/>
  <c r="S96" i="3"/>
  <c r="Q96" i="3"/>
  <c r="K96" i="3"/>
  <c r="AD95" i="3"/>
  <c r="S95" i="3"/>
  <c r="Q95" i="3"/>
  <c r="K95" i="3"/>
  <c r="AD94" i="3"/>
  <c r="AF94" i="3" s="1"/>
  <c r="S94" i="3"/>
  <c r="Q94" i="3"/>
  <c r="K94" i="3"/>
  <c r="AD93" i="3"/>
  <c r="AF93" i="3" s="1"/>
  <c r="S93" i="3"/>
  <c r="Q93" i="3"/>
  <c r="K93" i="3"/>
  <c r="AD92" i="3"/>
  <c r="AF92" i="3" s="1"/>
  <c r="S92" i="3"/>
  <c r="Q92" i="3"/>
  <c r="K92" i="3"/>
  <c r="AD91" i="3"/>
  <c r="AF91" i="3" s="1"/>
  <c r="S91" i="3"/>
  <c r="Q91" i="3"/>
  <c r="K91" i="3"/>
  <c r="AD90" i="3"/>
  <c r="AF90" i="3" s="1"/>
  <c r="S90" i="3"/>
  <c r="Q90" i="3"/>
  <c r="K90" i="3"/>
  <c r="AD89" i="3"/>
  <c r="AE89" i="3" s="1"/>
  <c r="S89" i="3"/>
  <c r="Q89" i="3"/>
  <c r="K89" i="3"/>
  <c r="AD88" i="3"/>
  <c r="AE88" i="3" s="1"/>
  <c r="S88" i="3"/>
  <c r="Q88" i="3"/>
  <c r="K88" i="3"/>
  <c r="AD87" i="3"/>
  <c r="AF87" i="3" s="1"/>
  <c r="S87" i="3"/>
  <c r="Q87" i="3"/>
  <c r="K87" i="3"/>
  <c r="AD86" i="3"/>
  <c r="AF86" i="3" s="1"/>
  <c r="S86" i="3"/>
  <c r="Q86" i="3"/>
  <c r="K86" i="3"/>
  <c r="AD85" i="3"/>
  <c r="AE85" i="3" s="1"/>
  <c r="S85" i="3"/>
  <c r="Q85" i="3"/>
  <c r="K85" i="3"/>
  <c r="AD84" i="3"/>
  <c r="AF84" i="3" s="1"/>
  <c r="K84" i="3"/>
  <c r="AD83" i="3"/>
  <c r="AF83" i="3" s="1"/>
  <c r="S83" i="3"/>
  <c r="Q83" i="3"/>
  <c r="K83" i="3"/>
  <c r="AD82" i="3"/>
  <c r="S82" i="3"/>
  <c r="Q82" i="3"/>
  <c r="K82" i="3"/>
  <c r="AD81" i="3"/>
  <c r="AF81" i="3" s="1"/>
  <c r="S81" i="3"/>
  <c r="Q81" i="3"/>
  <c r="K81" i="3"/>
  <c r="AD80" i="3"/>
  <c r="AE80" i="3" s="1"/>
  <c r="S80" i="3"/>
  <c r="Q80" i="3"/>
  <c r="K80" i="3"/>
  <c r="AD79" i="3"/>
  <c r="AF79" i="3" s="1"/>
  <c r="S79" i="3"/>
  <c r="Q79" i="3"/>
  <c r="K79" i="3"/>
  <c r="AD78" i="3"/>
  <c r="AF78" i="3" s="1"/>
  <c r="S78" i="3"/>
  <c r="Q78" i="3"/>
  <c r="K78" i="3"/>
  <c r="AD77" i="3"/>
  <c r="AF77" i="3" s="1"/>
  <c r="S77" i="3"/>
  <c r="Q77" i="3"/>
  <c r="K77" i="3"/>
  <c r="AD76" i="3"/>
  <c r="AF76" i="3" s="1"/>
  <c r="S76" i="3"/>
  <c r="Q76" i="3"/>
  <c r="K76" i="3"/>
  <c r="AD75" i="3"/>
  <c r="AE75" i="3" s="1"/>
  <c r="S75" i="3"/>
  <c r="Q75" i="3"/>
  <c r="K75" i="3"/>
  <c r="AD74" i="3"/>
  <c r="S74" i="3"/>
  <c r="Q74" i="3"/>
  <c r="K74" i="3"/>
  <c r="E73" i="3"/>
  <c r="AD72" i="3"/>
  <c r="AE72" i="3" s="1"/>
  <c r="S72" i="3"/>
  <c r="Q72" i="3"/>
  <c r="K72" i="3"/>
  <c r="AD71" i="3"/>
  <c r="AE71" i="3" s="1"/>
  <c r="S71" i="3"/>
  <c r="Q71" i="3"/>
  <c r="K71" i="3"/>
  <c r="AD70" i="3"/>
  <c r="AE70" i="3" s="1"/>
  <c r="S70" i="3"/>
  <c r="Q70" i="3"/>
  <c r="K70" i="3"/>
  <c r="AD69" i="3"/>
  <c r="AE69" i="3" s="1"/>
  <c r="S69" i="3"/>
  <c r="Q69" i="3"/>
  <c r="K69" i="3"/>
  <c r="AD68" i="3"/>
  <c r="AE68" i="3" s="1"/>
  <c r="S68" i="3"/>
  <c r="Q68" i="3"/>
  <c r="K68" i="3"/>
  <c r="AD67" i="3"/>
  <c r="AF67" i="3" s="1"/>
  <c r="S67" i="3"/>
  <c r="Q67" i="3"/>
  <c r="K67" i="3"/>
  <c r="AD66" i="3"/>
  <c r="AF66" i="3" s="1"/>
  <c r="S66" i="3"/>
  <c r="Q66" i="3"/>
  <c r="K66" i="3"/>
  <c r="AD65" i="3"/>
  <c r="AF65" i="3" s="1"/>
  <c r="S65" i="3"/>
  <c r="Q65" i="3"/>
  <c r="K65" i="3"/>
  <c r="AD64" i="3"/>
  <c r="AF64" i="3" s="1"/>
  <c r="S64" i="3"/>
  <c r="Q64" i="3"/>
  <c r="K64" i="3"/>
  <c r="AD63" i="3"/>
  <c r="AE63" i="3" s="1"/>
  <c r="S63" i="3"/>
  <c r="Q63" i="3"/>
  <c r="K63" i="3"/>
  <c r="AD62" i="3"/>
  <c r="AF62" i="3" s="1"/>
  <c r="S62" i="3"/>
  <c r="Q62" i="3"/>
  <c r="K62" i="3"/>
  <c r="AD61" i="3"/>
  <c r="AE61" i="3" s="1"/>
  <c r="S61" i="3"/>
  <c r="Q61" i="3"/>
  <c r="K61" i="3"/>
  <c r="AD60" i="3"/>
  <c r="AE60" i="3" s="1"/>
  <c r="S60" i="3"/>
  <c r="Q60" i="3"/>
  <c r="K60" i="3"/>
  <c r="AD59" i="3"/>
  <c r="AF59" i="3" s="1"/>
  <c r="S59" i="3"/>
  <c r="Q59" i="3"/>
  <c r="K59" i="3"/>
  <c r="AD58" i="3"/>
  <c r="S58" i="3"/>
  <c r="Q58" i="3"/>
  <c r="K58" i="3"/>
  <c r="E57" i="3"/>
  <c r="AD56" i="3"/>
  <c r="AF56" i="3" s="1"/>
  <c r="S56" i="3"/>
  <c r="Q56" i="3"/>
  <c r="K56" i="3"/>
  <c r="AD55" i="3"/>
  <c r="AE55" i="3" s="1"/>
  <c r="S55" i="3"/>
  <c r="Q55" i="3"/>
  <c r="K55" i="3"/>
  <c r="AD54" i="3"/>
  <c r="AE54" i="3" s="1"/>
  <c r="S54" i="3"/>
  <c r="Q54" i="3"/>
  <c r="K54" i="3"/>
  <c r="AD53" i="3"/>
  <c r="AE53" i="3" s="1"/>
  <c r="S53" i="3"/>
  <c r="Q53" i="3"/>
  <c r="K53" i="3"/>
  <c r="AD52" i="3"/>
  <c r="AF52" i="3" s="1"/>
  <c r="S52" i="3"/>
  <c r="Q52" i="3"/>
  <c r="K52" i="3"/>
  <c r="AD51" i="3"/>
  <c r="AF51" i="3" s="1"/>
  <c r="S51" i="3"/>
  <c r="Q51" i="3"/>
  <c r="K51" i="3"/>
  <c r="AD50" i="3"/>
  <c r="AE50" i="3" s="1"/>
  <c r="S50" i="3"/>
  <c r="Q50" i="3"/>
  <c r="K50" i="3"/>
  <c r="AD49" i="3"/>
  <c r="S49" i="3"/>
  <c r="Q49" i="3"/>
  <c r="K49" i="3"/>
  <c r="AD48" i="3"/>
  <c r="AF48" i="3" s="1"/>
  <c r="S48" i="3"/>
  <c r="Q48" i="3"/>
  <c r="K48" i="3"/>
  <c r="AD47" i="3"/>
  <c r="AE47" i="3" s="1"/>
  <c r="S47" i="3"/>
  <c r="Q47" i="3"/>
  <c r="K47" i="3"/>
  <c r="AD46" i="3"/>
  <c r="AE46" i="3" s="1"/>
  <c r="S46" i="3"/>
  <c r="Q46" i="3"/>
  <c r="K46" i="3"/>
  <c r="AD45" i="3"/>
  <c r="AE45" i="3" s="1"/>
  <c r="S45" i="3"/>
  <c r="Q45" i="3"/>
  <c r="K45" i="3"/>
  <c r="AD44" i="3"/>
  <c r="AE44" i="3" s="1"/>
  <c r="S44" i="3"/>
  <c r="Q44" i="3"/>
  <c r="K44" i="3"/>
  <c r="AD43" i="3"/>
  <c r="AF43" i="3" s="1"/>
  <c r="S43" i="3"/>
  <c r="Q43" i="3"/>
  <c r="K43" i="3"/>
  <c r="AD42" i="3"/>
  <c r="AE42" i="3" s="1"/>
  <c r="S42" i="3"/>
  <c r="Q42" i="3"/>
  <c r="K42" i="3"/>
  <c r="AD41" i="3"/>
  <c r="S41" i="3"/>
  <c r="Q41" i="3"/>
  <c r="K41" i="3"/>
  <c r="AD37" i="3"/>
  <c r="AF37" i="3" s="1"/>
  <c r="S37" i="3"/>
  <c r="K37" i="3"/>
  <c r="AD36" i="3"/>
  <c r="AF36" i="3" s="1"/>
  <c r="S36" i="3"/>
  <c r="Q36" i="3"/>
  <c r="K36" i="3"/>
  <c r="AD35" i="3"/>
  <c r="AE35" i="3" s="1"/>
  <c r="S35" i="3"/>
  <c r="Q35" i="3"/>
  <c r="K35" i="3"/>
  <c r="AD34" i="3"/>
  <c r="AE34" i="3" s="1"/>
  <c r="S34" i="3"/>
  <c r="Q34" i="3"/>
  <c r="K34" i="3"/>
  <c r="AD33" i="3"/>
  <c r="S33" i="3"/>
  <c r="Q33" i="3"/>
  <c r="K33" i="3"/>
  <c r="AD32" i="3"/>
  <c r="AE32" i="3" s="1"/>
  <c r="S32" i="3"/>
  <c r="Q32" i="3"/>
  <c r="K32" i="3"/>
  <c r="AD31" i="3"/>
  <c r="AF31" i="3" s="1"/>
  <c r="S31" i="3"/>
  <c r="Q31" i="3"/>
  <c r="K31" i="3"/>
  <c r="AD30" i="3"/>
  <c r="AE30" i="3" s="1"/>
  <c r="S30" i="3"/>
  <c r="Q30" i="3"/>
  <c r="K30" i="3"/>
  <c r="AD29" i="3"/>
  <c r="AE29" i="3" s="1"/>
  <c r="S29" i="3"/>
  <c r="Q29" i="3"/>
  <c r="K29" i="3"/>
  <c r="AD28" i="3"/>
  <c r="AE28" i="3" s="1"/>
  <c r="S28" i="3"/>
  <c r="Q28" i="3"/>
  <c r="K28" i="3"/>
  <c r="AD27" i="3"/>
  <c r="AF27" i="3" s="1"/>
  <c r="S27" i="3"/>
  <c r="Q27" i="3"/>
  <c r="K27" i="3"/>
  <c r="AD26" i="3"/>
  <c r="AF26" i="3" s="1"/>
  <c r="S26" i="3"/>
  <c r="R26" i="3"/>
  <c r="R27" i="3" s="1"/>
  <c r="R28" i="3" s="1"/>
  <c r="R29" i="3" s="1"/>
  <c r="Q26" i="3"/>
  <c r="K26" i="3"/>
  <c r="AD25" i="3"/>
  <c r="S25" i="3"/>
  <c r="T25" i="3" s="1"/>
  <c r="Q25" i="3"/>
  <c r="K25" i="3"/>
  <c r="AD24" i="3"/>
  <c r="AF24" i="3" s="1"/>
  <c r="S24" i="3"/>
  <c r="Q24" i="3"/>
  <c r="K24" i="3"/>
  <c r="AD23" i="3"/>
  <c r="AF23" i="3" s="1"/>
  <c r="S23" i="3"/>
  <c r="Q23" i="3"/>
  <c r="K23" i="3"/>
  <c r="AD22" i="3"/>
  <c r="AF22" i="3" s="1"/>
  <c r="S22" i="3"/>
  <c r="Q22" i="3"/>
  <c r="K22" i="3"/>
  <c r="AD21" i="3"/>
  <c r="AE21" i="3" s="1"/>
  <c r="S21" i="3"/>
  <c r="Q21" i="3"/>
  <c r="K21" i="3"/>
  <c r="AD20" i="3"/>
  <c r="AF20" i="3" s="1"/>
  <c r="S20" i="3"/>
  <c r="Q20" i="3"/>
  <c r="K20" i="3"/>
  <c r="AD19" i="3"/>
  <c r="AF19" i="3" s="1"/>
  <c r="S19" i="3"/>
  <c r="Q19" i="3"/>
  <c r="K19" i="3"/>
  <c r="AD18" i="3"/>
  <c r="AF18" i="3" s="1"/>
  <c r="S18" i="3"/>
  <c r="Q18" i="3"/>
  <c r="K18" i="3"/>
  <c r="AD17" i="3"/>
  <c r="AE17" i="3" s="1"/>
  <c r="S17" i="3"/>
  <c r="Q17" i="3"/>
  <c r="K17" i="3"/>
  <c r="AD16" i="3"/>
  <c r="AF16" i="3" s="1"/>
  <c r="S16" i="3"/>
  <c r="Q16" i="3"/>
  <c r="K16" i="3"/>
  <c r="AD15" i="3"/>
  <c r="AE15" i="3" s="1"/>
  <c r="S15" i="3"/>
  <c r="Q15" i="3"/>
  <c r="K15" i="3"/>
  <c r="AD14" i="3"/>
  <c r="AF14" i="3" s="1"/>
  <c r="S14" i="3"/>
  <c r="Q14" i="3"/>
  <c r="K14" i="3"/>
  <c r="AD13" i="3"/>
  <c r="AE13" i="3" s="1"/>
  <c r="S13" i="3"/>
  <c r="Q13" i="3"/>
  <c r="K13" i="3"/>
  <c r="AD12" i="3"/>
  <c r="AF12" i="3" s="1"/>
  <c r="S12" i="3"/>
  <c r="Q12" i="3"/>
  <c r="K12" i="3"/>
  <c r="AD11" i="3"/>
  <c r="AF11" i="3" s="1"/>
  <c r="S11" i="3"/>
  <c r="Q11" i="3"/>
  <c r="K11" i="3"/>
  <c r="AD10" i="3"/>
  <c r="AF10" i="3" s="1"/>
  <c r="S10" i="3"/>
  <c r="Q10" i="3"/>
  <c r="K10" i="3"/>
  <c r="AD9" i="3"/>
  <c r="AE9" i="3" s="1"/>
  <c r="S9" i="3"/>
  <c r="Q9" i="3"/>
  <c r="K9" i="3"/>
  <c r="AD8" i="3"/>
  <c r="AF8" i="3" s="1"/>
  <c r="S8" i="3"/>
  <c r="R8" i="3"/>
  <c r="R9" i="3" s="1"/>
  <c r="R10" i="3" s="1"/>
  <c r="R11" i="3" s="1"/>
  <c r="Q8" i="3"/>
  <c r="K8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D7" i="3"/>
  <c r="AF7" i="3" s="1"/>
  <c r="S7" i="3"/>
  <c r="Q7" i="3"/>
  <c r="K7" i="3"/>
  <c r="K5" i="3"/>
  <c r="K4" i="3"/>
  <c r="Q1" i="3"/>
  <c r="T988" i="11" l="1"/>
  <c r="T136" i="11" s="1"/>
  <c r="R989" i="11"/>
  <c r="R136" i="11"/>
  <c r="R137" i="11" s="1"/>
  <c r="T169" i="11"/>
  <c r="R170" i="11"/>
  <c r="T170" i="11" s="1"/>
  <c r="T189" i="11"/>
  <c r="R190" i="11"/>
  <c r="R379" i="11"/>
  <c r="T378" i="11"/>
  <c r="R248" i="11"/>
  <c r="T247" i="11"/>
  <c r="T704" i="11"/>
  <c r="R706" i="11"/>
  <c r="R15" i="11"/>
  <c r="T14" i="11"/>
  <c r="T16" i="11"/>
  <c r="R17" i="11"/>
  <c r="T813" i="11"/>
  <c r="R814" i="11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6" i="3" s="1"/>
  <c r="A617" i="3" s="1"/>
  <c r="A618" i="3" s="1"/>
  <c r="A619" i="3" s="1"/>
  <c r="A620" i="3" s="1"/>
  <c r="A621" i="3" s="1"/>
  <c r="A622" i="3" s="1"/>
  <c r="A623" i="3" s="1"/>
  <c r="A624" i="3" s="1"/>
  <c r="A626" i="3" s="1"/>
  <c r="A627" i="3" s="1"/>
  <c r="A628" i="3" s="1"/>
  <c r="A629" i="3" s="1"/>
  <c r="A630" i="3" s="1"/>
  <c r="A631" i="3" s="1"/>
  <c r="A632" i="3" s="1"/>
  <c r="A633" i="3" s="1"/>
  <c r="A634" i="3" s="1"/>
  <c r="A636" i="3" s="1"/>
  <c r="A637" i="3" s="1"/>
  <c r="A638" i="3" s="1"/>
  <c r="A639" i="3" s="1"/>
  <c r="A640" i="3" s="1"/>
  <c r="A641" i="3" s="1"/>
  <c r="A642" i="3" s="1"/>
  <c r="A643" i="3" s="1"/>
  <c r="A644" i="3" s="1"/>
  <c r="A646" i="3" s="1"/>
  <c r="A647" i="3" s="1"/>
  <c r="A648" i="3" s="1"/>
  <c r="A649" i="3" s="1"/>
  <c r="A650" i="3" s="1"/>
  <c r="A651" i="3" s="1"/>
  <c r="A652" i="3" s="1"/>
  <c r="A653" i="3" s="1"/>
  <c r="A654" i="3" s="1"/>
  <c r="A656" i="3" s="1"/>
  <c r="A657" i="3" s="1"/>
  <c r="A658" i="3" s="1"/>
  <c r="A659" i="3" s="1"/>
  <c r="A660" i="3" s="1"/>
  <c r="A661" i="3" s="1"/>
  <c r="A662" i="3" s="1"/>
  <c r="A663" i="3" s="1"/>
  <c r="A664" i="3" s="1"/>
  <c r="A666" i="3" s="1"/>
  <c r="A667" i="3" s="1"/>
  <c r="A668" i="3" s="1"/>
  <c r="A669" i="3" s="1"/>
  <c r="A670" i="3" s="1"/>
  <c r="A671" i="3" s="1"/>
  <c r="A672" i="3" s="1"/>
  <c r="A673" i="3" s="1"/>
  <c r="A674" i="3" s="1"/>
  <c r="A676" i="3" s="1"/>
  <c r="A677" i="3" s="1"/>
  <c r="A678" i="3" s="1"/>
  <c r="A679" i="3" s="1"/>
  <c r="A680" i="3" s="1"/>
  <c r="A681" i="3" s="1"/>
  <c r="A682" i="3" s="1"/>
  <c r="A683" i="3" s="1"/>
  <c r="A684" i="3" s="1"/>
  <c r="A686" i="3" s="1"/>
  <c r="A687" i="3" s="1"/>
  <c r="A688" i="3" s="1"/>
  <c r="A689" i="3" s="1"/>
  <c r="A690" i="3" s="1"/>
  <c r="A691" i="3" s="1"/>
  <c r="A692" i="3" s="1"/>
  <c r="A693" i="3" s="1"/>
  <c r="A694" i="3" s="1"/>
  <c r="A696" i="3" s="1"/>
  <c r="A697" i="3" s="1"/>
  <c r="A698" i="3" s="1"/>
  <c r="A699" i="3" s="1"/>
  <c r="A700" i="3" s="1"/>
  <c r="A701" i="3" s="1"/>
  <c r="A702" i="3" s="1"/>
  <c r="A703" i="3" s="1"/>
  <c r="A704" i="3" s="1"/>
  <c r="A706" i="3" s="1"/>
  <c r="A707" i="3" s="1"/>
  <c r="A708" i="3" s="1"/>
  <c r="A709" i="3" s="1"/>
  <c r="A710" i="3" s="1"/>
  <c r="A711" i="3" s="1"/>
  <c r="A712" i="3" s="1"/>
  <c r="A713" i="3" s="1"/>
  <c r="A714" i="3" s="1"/>
  <c r="A716" i="3" s="1"/>
  <c r="A717" i="3" s="1"/>
  <c r="A718" i="3" s="1"/>
  <c r="A719" i="3" s="1"/>
  <c r="A720" i="3" s="1"/>
  <c r="A721" i="3" s="1"/>
  <c r="A722" i="3" s="1"/>
  <c r="A723" i="3" s="1"/>
  <c r="A724" i="3" s="1"/>
  <c r="A726" i="3" s="1"/>
  <c r="A727" i="3" s="1"/>
  <c r="A728" i="3" s="1"/>
  <c r="A729" i="3" s="1"/>
  <c r="A730" i="3" s="1"/>
  <c r="A731" i="3" s="1"/>
  <c r="A732" i="3" s="1"/>
  <c r="A733" i="3" s="1"/>
  <c r="A734" i="3" s="1"/>
  <c r="A736" i="3" s="1"/>
  <c r="A737" i="3" s="1"/>
  <c r="A738" i="3" s="1"/>
  <c r="A739" i="3" s="1"/>
  <c r="A740" i="3" s="1"/>
  <c r="A741" i="3" s="1"/>
  <c r="A742" i="3" s="1"/>
  <c r="A743" i="3" s="1"/>
  <c r="A744" i="3" s="1"/>
  <c r="A746" i="3" s="1"/>
  <c r="A747" i="3" s="1"/>
  <c r="A748" i="3" s="1"/>
  <c r="A749" i="3" s="1"/>
  <c r="A750" i="3" s="1"/>
  <c r="A751" i="3" s="1"/>
  <c r="A752" i="3" s="1"/>
  <c r="A753" i="3" s="1"/>
  <c r="A754" i="3" s="1"/>
  <c r="A756" i="3" s="1"/>
  <c r="A757" i="3" s="1"/>
  <c r="A758" i="3" s="1"/>
  <c r="A759" i="3" s="1"/>
  <c r="A760" i="3" s="1"/>
  <c r="A761" i="3" s="1"/>
  <c r="A762" i="3" s="1"/>
  <c r="A763" i="3" s="1"/>
  <c r="A764" i="3" s="1"/>
  <c r="A766" i="3" s="1"/>
  <c r="A767" i="3" s="1"/>
  <c r="A768" i="3" s="1"/>
  <c r="A769" i="3" s="1"/>
  <c r="A770" i="3" s="1"/>
  <c r="A771" i="3" s="1"/>
  <c r="A772" i="3" s="1"/>
  <c r="A773" i="3" s="1"/>
  <c r="A774" i="3" s="1"/>
  <c r="A776" i="3" s="1"/>
  <c r="A777" i="3" s="1"/>
  <c r="A778" i="3" s="1"/>
  <c r="A779" i="3" s="1"/>
  <c r="A780" i="3" s="1"/>
  <c r="A781" i="3" s="1"/>
  <c r="A782" i="3" s="1"/>
  <c r="A783" i="3" s="1"/>
  <c r="A784" i="3" s="1"/>
  <c r="A786" i="3" s="1"/>
  <c r="A787" i="3" s="1"/>
  <c r="A788" i="3" s="1"/>
  <c r="A789" i="3" s="1"/>
  <c r="A790" i="3" s="1"/>
  <c r="A791" i="3" s="1"/>
  <c r="A792" i="3" s="1"/>
  <c r="A793" i="3" s="1"/>
  <c r="A794" i="3" s="1"/>
  <c r="A796" i="3" s="1"/>
  <c r="A797" i="3" s="1"/>
  <c r="A798" i="3" s="1"/>
  <c r="A799" i="3" s="1"/>
  <c r="A800" i="3" s="1"/>
  <c r="A801" i="3" s="1"/>
  <c r="A802" i="3" s="1"/>
  <c r="A803" i="3" s="1"/>
  <c r="A804" i="3" s="1"/>
  <c r="A806" i="3" s="1"/>
  <c r="A807" i="3" s="1"/>
  <c r="A808" i="3" s="1"/>
  <c r="A809" i="3" s="1"/>
  <c r="A810" i="3" s="1"/>
  <c r="A811" i="3" s="1"/>
  <c r="A812" i="3" s="1"/>
  <c r="A813" i="3" s="1"/>
  <c r="A814" i="3" s="1"/>
  <c r="A816" i="3" s="1"/>
  <c r="A817" i="3" s="1"/>
  <c r="A818" i="3" s="1"/>
  <c r="A819" i="3" s="1"/>
  <c r="A820" i="3" s="1"/>
  <c r="A822" i="3" s="1"/>
  <c r="A823" i="3" s="1"/>
  <c r="A824" i="3" s="1"/>
  <c r="A825" i="3" s="1"/>
  <c r="A826" i="3" s="1"/>
  <c r="A828" i="3" s="1"/>
  <c r="A829" i="3" s="1"/>
  <c r="A830" i="3" s="1"/>
  <c r="A831" i="3" s="1"/>
  <c r="A832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8" i="3" s="1"/>
  <c r="A889" i="3" s="1"/>
  <c r="A890" i="3" s="1"/>
  <c r="A891" i="3" s="1"/>
  <c r="A892" i="3" s="1"/>
  <c r="A893" i="3" s="1"/>
  <c r="A894" i="3" s="1"/>
  <c r="A895" i="3" s="1"/>
  <c r="A897" i="3" s="1"/>
  <c r="A898" i="3" s="1"/>
  <c r="A899" i="3" s="1"/>
  <c r="A900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6" i="3" s="1"/>
  <c r="A977" i="3" s="1"/>
  <c r="A1002" i="3" s="1"/>
  <c r="A1003" i="3" s="1"/>
  <c r="A1004" i="3" s="1"/>
  <c r="A1005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T11" i="3"/>
  <c r="T29" i="3"/>
  <c r="T165" i="3"/>
  <c r="AF809" i="3"/>
  <c r="T809" i="3"/>
  <c r="AE506" i="3"/>
  <c r="AE864" i="3"/>
  <c r="AF158" i="3"/>
  <c r="AF800" i="3"/>
  <c r="AF771" i="3"/>
  <c r="AF784" i="3"/>
  <c r="AF925" i="3"/>
  <c r="AE970" i="3"/>
  <c r="AF260" i="3"/>
  <c r="AE662" i="3"/>
  <c r="AE723" i="3"/>
  <c r="AF240" i="3"/>
  <c r="AD522" i="3"/>
  <c r="AF522" i="3" s="1"/>
  <c r="AE65" i="3"/>
  <c r="AE108" i="3"/>
  <c r="AE482" i="3"/>
  <c r="AE485" i="3"/>
  <c r="AE383" i="3"/>
  <c r="AF667" i="3"/>
  <c r="AE477" i="3"/>
  <c r="AF573" i="3"/>
  <c r="AF391" i="3"/>
  <c r="AF471" i="3"/>
  <c r="AF746" i="3"/>
  <c r="AF324" i="3"/>
  <c r="AE213" i="3"/>
  <c r="AF194" i="3"/>
  <c r="AE270" i="3"/>
  <c r="AF334" i="3"/>
  <c r="AF446" i="3"/>
  <c r="AE261" i="3"/>
  <c r="AF264" i="3"/>
  <c r="AE395" i="3"/>
  <c r="AF565" i="3"/>
  <c r="AF614" i="3"/>
  <c r="AE835" i="3"/>
  <c r="AF885" i="3"/>
  <c r="AE493" i="3"/>
  <c r="AE515" i="3"/>
  <c r="AE523" i="3"/>
  <c r="AE598" i="3"/>
  <c r="AF686" i="3"/>
  <c r="AF295" i="3"/>
  <c r="AE656" i="3"/>
  <c r="AF70" i="3"/>
  <c r="AE93" i="3"/>
  <c r="AF296" i="3"/>
  <c r="AE322" i="3"/>
  <c r="AE621" i="3"/>
  <c r="AE962" i="3"/>
  <c r="AF45" i="3"/>
  <c r="AE738" i="3"/>
  <c r="AF909" i="3"/>
  <c r="AF943" i="3"/>
  <c r="AF1019" i="3"/>
  <c r="AE237" i="3"/>
  <c r="AF259" i="3"/>
  <c r="AF294" i="3"/>
  <c r="AF460" i="3"/>
  <c r="AE726" i="3"/>
  <c r="AF823" i="3"/>
  <c r="AF826" i="3"/>
  <c r="AF839" i="3"/>
  <c r="AE842" i="3"/>
  <c r="AE855" i="3"/>
  <c r="AE922" i="3"/>
  <c r="AE997" i="3"/>
  <c r="AF1007" i="3"/>
  <c r="AE1010" i="3"/>
  <c r="AF633" i="3"/>
  <c r="AF118" i="3"/>
  <c r="AE388" i="3"/>
  <c r="AE942" i="3"/>
  <c r="AE202" i="3"/>
  <c r="AF323" i="3"/>
  <c r="AF368" i="3"/>
  <c r="AE432" i="3"/>
  <c r="AE519" i="3"/>
  <c r="AF524" i="3"/>
  <c r="AE622" i="3"/>
  <c r="AE31" i="3"/>
  <c r="AE727" i="3"/>
  <c r="AF177" i="3"/>
  <c r="AE193" i="3"/>
  <c r="T694" i="3"/>
  <c r="AF778" i="3"/>
  <c r="AE781" i="3"/>
  <c r="AE887" i="3"/>
  <c r="AF741" i="3"/>
  <c r="AF553" i="3"/>
  <c r="T26" i="3"/>
  <c r="AF44" i="3"/>
  <c r="AF491" i="3"/>
  <c r="AE528" i="3"/>
  <c r="AE917" i="3"/>
  <c r="AF308" i="3"/>
  <c r="AF335" i="3"/>
  <c r="AE338" i="3"/>
  <c r="AE341" i="3"/>
  <c r="AE393" i="3"/>
  <c r="AE773" i="3"/>
  <c r="AF776" i="3"/>
  <c r="AE1003" i="3"/>
  <c r="AF153" i="3"/>
  <c r="AE156" i="3"/>
  <c r="AE162" i="3"/>
  <c r="AF167" i="3"/>
  <c r="AF170" i="3"/>
  <c r="AE256" i="3"/>
  <c r="AF277" i="3"/>
  <c r="AF421" i="3"/>
  <c r="AF424" i="3"/>
  <c r="AF508" i="3"/>
  <c r="AE660" i="3"/>
  <c r="AF696" i="3"/>
  <c r="AF711" i="3"/>
  <c r="AE818" i="3"/>
  <c r="AE944" i="3"/>
  <c r="AF947" i="3"/>
  <c r="AF35" i="3"/>
  <c r="AF101" i="3"/>
  <c r="AF132" i="3"/>
  <c r="AE244" i="3"/>
  <c r="AF247" i="3"/>
  <c r="AF274" i="3"/>
  <c r="AE330" i="3"/>
  <c r="AF406" i="3"/>
  <c r="AE418" i="3"/>
  <c r="AE452" i="3"/>
  <c r="AE474" i="3"/>
  <c r="AE551" i="3"/>
  <c r="AE648" i="3"/>
  <c r="AF748" i="3"/>
  <c r="AF751" i="3"/>
  <c r="AE754" i="3"/>
  <c r="AF606" i="3"/>
  <c r="AF53" i="3"/>
  <c r="AE110" i="3"/>
  <c r="AE502" i="3"/>
  <c r="AE531" i="3"/>
  <c r="AE681" i="3"/>
  <c r="AF905" i="3"/>
  <c r="AE908" i="3"/>
  <c r="AE914" i="3"/>
  <c r="AF375" i="3"/>
  <c r="AF657" i="3"/>
  <c r="AE690" i="3"/>
  <c r="AE1018" i="3"/>
  <c r="AE895" i="3"/>
  <c r="AE23" i="3"/>
  <c r="AF708" i="3"/>
  <c r="AE821" i="3"/>
  <c r="AE229" i="3"/>
  <c r="AE403" i="3"/>
  <c r="AF494" i="3"/>
  <c r="AE497" i="3"/>
  <c r="AF595" i="3"/>
  <c r="AE607" i="3"/>
  <c r="AF96" i="3"/>
  <c r="AE99" i="3"/>
  <c r="AF174" i="3"/>
  <c r="AE205" i="3"/>
  <c r="AF281" i="3"/>
  <c r="AF361" i="3"/>
  <c r="AE364" i="3"/>
  <c r="AF567" i="3"/>
  <c r="AF570" i="3"/>
  <c r="AF658" i="3"/>
  <c r="AE691" i="3"/>
  <c r="AE700" i="3"/>
  <c r="AE825" i="3"/>
  <c r="AE930" i="3"/>
  <c r="AE936" i="3"/>
  <c r="AE951" i="3"/>
  <c r="AF982" i="3"/>
  <c r="AF1004" i="3"/>
  <c r="AE977" i="3"/>
  <c r="AD535" i="3"/>
  <c r="AE535" i="3" s="1"/>
  <c r="AF121" i="3"/>
  <c r="AE124" i="3"/>
  <c r="AE163" i="3"/>
  <c r="AE218" i="3"/>
  <c r="AF248" i="3"/>
  <c r="AF257" i="3"/>
  <c r="AF410" i="3"/>
  <c r="AE413" i="3"/>
  <c r="AF487" i="3"/>
  <c r="AF490" i="3"/>
  <c r="AE602" i="3"/>
  <c r="AF694" i="3"/>
  <c r="AF719" i="3"/>
  <c r="AF860" i="3"/>
  <c r="AE872" i="3"/>
  <c r="AF603" i="3"/>
  <c r="AE732" i="3"/>
  <c r="AE225" i="3"/>
  <c r="AE678" i="3"/>
  <c r="AF990" i="3"/>
  <c r="AE221" i="3"/>
  <c r="AE224" i="3"/>
  <c r="AE227" i="3"/>
  <c r="AF331" i="3"/>
  <c r="AE441" i="3"/>
  <c r="AF555" i="3"/>
  <c r="AE593" i="3"/>
  <c r="AE599" i="3"/>
  <c r="AE611" i="3"/>
  <c r="AE674" i="3"/>
  <c r="AE677" i="3"/>
  <c r="AE728" i="3"/>
  <c r="AF743" i="3"/>
  <c r="AE866" i="3"/>
  <c r="AF888" i="3"/>
  <c r="AE891" i="3"/>
  <c r="AE904" i="3"/>
  <c r="AE1026" i="3"/>
  <c r="AF587" i="3"/>
  <c r="AF596" i="3"/>
  <c r="T243" i="3"/>
  <c r="AF310" i="3"/>
  <c r="AE313" i="3"/>
  <c r="AE346" i="3"/>
  <c r="AF349" i="3"/>
  <c r="AF377" i="3"/>
  <c r="AE513" i="3"/>
  <c r="AF513" i="3"/>
  <c r="AE538" i="3"/>
  <c r="AF538" i="3"/>
  <c r="AE1006" i="3"/>
  <c r="AF1006" i="3"/>
  <c r="AF1024" i="3"/>
  <c r="AF279" i="3"/>
  <c r="AE279" i="3"/>
  <c r="AE398" i="3"/>
  <c r="AE666" i="3"/>
  <c r="AE893" i="3"/>
  <c r="AE960" i="3"/>
  <c r="AE975" i="3"/>
  <c r="AF404" i="3"/>
  <c r="AE404" i="3"/>
  <c r="AE521" i="3"/>
  <c r="AE579" i="3"/>
  <c r="AE585" i="3"/>
  <c r="AF588" i="3"/>
  <c r="AF636" i="3"/>
  <c r="AE758" i="3"/>
  <c r="AF983" i="3"/>
  <c r="AE986" i="3"/>
  <c r="AF42" i="3"/>
  <c r="AE113" i="3"/>
  <c r="AE131" i="3"/>
  <c r="AF139" i="3"/>
  <c r="AE188" i="3"/>
  <c r="AE191" i="3"/>
  <c r="AE245" i="3"/>
  <c r="AF268" i="3"/>
  <c r="AE299" i="3"/>
  <c r="AF317" i="3"/>
  <c r="AF320" i="3"/>
  <c r="AF348" i="3"/>
  <c r="AE369" i="3"/>
  <c r="AF378" i="3"/>
  <c r="AF381" i="3"/>
  <c r="AF390" i="3"/>
  <c r="AE430" i="3"/>
  <c r="AF447" i="3"/>
  <c r="AF456" i="3"/>
  <c r="AE459" i="3"/>
  <c r="AE498" i="3"/>
  <c r="AF562" i="3"/>
  <c r="AE591" i="3"/>
  <c r="AF764" i="3"/>
  <c r="AE789" i="3"/>
  <c r="AF789" i="3"/>
  <c r="AE831" i="3"/>
  <c r="AF831" i="3"/>
  <c r="AF963" i="3"/>
  <c r="AF63" i="3"/>
  <c r="Q513" i="3"/>
  <c r="AE594" i="3"/>
  <c r="AF628" i="3"/>
  <c r="AF697" i="3"/>
  <c r="AE715" i="3"/>
  <c r="AE786" i="3"/>
  <c r="R810" i="3"/>
  <c r="T810" i="3" s="1"/>
  <c r="AF816" i="3"/>
  <c r="AF822" i="3"/>
  <c r="AF882" i="3"/>
  <c r="AE920" i="3"/>
  <c r="AF870" i="3"/>
  <c r="AE870" i="3"/>
  <c r="AF60" i="3"/>
  <c r="AF71" i="3"/>
  <c r="T8" i="3"/>
  <c r="AF68" i="3"/>
  <c r="AF702" i="3"/>
  <c r="AE812" i="3"/>
  <c r="AE928" i="3"/>
  <c r="AF148" i="3"/>
  <c r="AF325" i="3"/>
  <c r="AE345" i="3"/>
  <c r="AF203" i="3"/>
  <c r="AE203" i="3"/>
  <c r="AE58" i="3"/>
  <c r="AF58" i="3"/>
  <c r="AE235" i="3"/>
  <c r="AE416" i="3"/>
  <c r="AE571" i="3"/>
  <c r="AE631" i="3"/>
  <c r="AF442" i="3"/>
  <c r="AF472" i="3"/>
  <c r="AE483" i="3"/>
  <c r="AE802" i="3"/>
  <c r="AF805" i="3"/>
  <c r="AF408" i="3"/>
  <c r="AE431" i="3"/>
  <c r="AF466" i="3"/>
  <c r="AE475" i="3"/>
  <c r="AE549" i="3"/>
  <c r="AE563" i="3"/>
  <c r="AE601" i="3"/>
  <c r="AE623" i="3"/>
  <c r="AF626" i="3"/>
  <c r="AF634" i="3"/>
  <c r="AF673" i="3"/>
  <c r="AF722" i="3"/>
  <c r="AF725" i="3"/>
  <c r="AF733" i="3"/>
  <c r="AE790" i="3"/>
  <c r="AE808" i="3"/>
  <c r="AF880" i="3"/>
  <c r="AF918" i="3"/>
  <c r="AF938" i="3"/>
  <c r="AE941" i="3"/>
  <c r="AF952" i="3"/>
  <c r="AE996" i="3"/>
  <c r="AF436" i="3"/>
  <c r="AF21" i="3"/>
  <c r="AF34" i="3"/>
  <c r="AE315" i="3"/>
  <c r="AE557" i="3"/>
  <c r="T808" i="3"/>
  <c r="AE24" i="3"/>
  <c r="AF85" i="3"/>
  <c r="AF88" i="3"/>
  <c r="AE91" i="3"/>
  <c r="AF111" i="3"/>
  <c r="AE238" i="3"/>
  <c r="AF670" i="3"/>
  <c r="AF850" i="3"/>
  <c r="AE1002" i="3"/>
  <c r="AE126" i="3"/>
  <c r="AF126" i="3"/>
  <c r="AF29" i="3"/>
  <c r="AF106" i="3"/>
  <c r="AE114" i="3"/>
  <c r="AF175" i="3"/>
  <c r="AF178" i="3"/>
  <c r="AE181" i="3"/>
  <c r="AF216" i="3"/>
  <c r="AF233" i="3"/>
  <c r="AE272" i="3"/>
  <c r="AE284" i="3"/>
  <c r="AF289" i="3"/>
  <c r="AE292" i="3"/>
  <c r="AE362" i="3"/>
  <c r="AE414" i="3"/>
  <c r="AE440" i="3"/>
  <c r="AF440" i="3"/>
  <c r="AE481" i="3"/>
  <c r="AE530" i="3"/>
  <c r="AE566" i="3"/>
  <c r="AF566" i="3"/>
  <c r="AE612" i="3"/>
  <c r="AE629" i="3"/>
  <c r="AF676" i="3"/>
  <c r="T687" i="3"/>
  <c r="AE698" i="3"/>
  <c r="AE745" i="3"/>
  <c r="AE883" i="3"/>
  <c r="AE889" i="3"/>
  <c r="AF889" i="3"/>
  <c r="AE910" i="3"/>
  <c r="AE1005" i="3"/>
  <c r="AF1014" i="3"/>
  <c r="AE897" i="3"/>
  <c r="AF897" i="3"/>
  <c r="AE183" i="3"/>
  <c r="AF617" i="3"/>
  <c r="AF689" i="3"/>
  <c r="AE912" i="3"/>
  <c r="AE926" i="3"/>
  <c r="AF926" i="3"/>
  <c r="AF1022" i="3"/>
  <c r="AE422" i="3"/>
  <c r="AF643" i="3"/>
  <c r="AF186" i="3"/>
  <c r="AF309" i="3"/>
  <c r="AE730" i="3"/>
  <c r="AE762" i="3"/>
  <c r="AE838" i="3"/>
  <c r="AF874" i="3"/>
  <c r="AF949" i="3"/>
  <c r="AF103" i="3"/>
  <c r="AF192" i="3"/>
  <c r="AE192" i="3"/>
  <c r="AE16" i="3"/>
  <c r="T27" i="3"/>
  <c r="AE207" i="3"/>
  <c r="AE241" i="3"/>
  <c r="AF241" i="3"/>
  <c r="AE365" i="3"/>
  <c r="AF365" i="3"/>
  <c r="AF397" i="3"/>
  <c r="AE434" i="3"/>
  <c r="AF533" i="3"/>
  <c r="AF552" i="3"/>
  <c r="AF684" i="3"/>
  <c r="AE742" i="3"/>
  <c r="AF797" i="3"/>
  <c r="AE886" i="3"/>
  <c r="AE916" i="3"/>
  <c r="AF916" i="3"/>
  <c r="AF95" i="3"/>
  <c r="AE95" i="3"/>
  <c r="AF834" i="3"/>
  <c r="AE834" i="3"/>
  <c r="AF273" i="3"/>
  <c r="AF366" i="3"/>
  <c r="AE265" i="3"/>
  <c r="AF328" i="3"/>
  <c r="AF263" i="3"/>
  <c r="AE286" i="3"/>
  <c r="AF777" i="3"/>
  <c r="AE37" i="3"/>
  <c r="AE496" i="3"/>
  <c r="AF756" i="3"/>
  <c r="AE560" i="3"/>
  <c r="AE632" i="3"/>
  <c r="AF632" i="3"/>
  <c r="AE26" i="3"/>
  <c r="AF243" i="3"/>
  <c r="AF376" i="3"/>
  <c r="AE451" i="3"/>
  <c r="AF451" i="3"/>
  <c r="AD492" i="3"/>
  <c r="Q492" i="3"/>
  <c r="AF574" i="3"/>
  <c r="AE577" i="3"/>
  <c r="AE62" i="3"/>
  <c r="AE83" i="3"/>
  <c r="AE150" i="3"/>
  <c r="AE228" i="3"/>
  <c r="AF287" i="3"/>
  <c r="AE298" i="3"/>
  <c r="AF298" i="3"/>
  <c r="AE525" i="3"/>
  <c r="AE558" i="3"/>
  <c r="AF590" i="3"/>
  <c r="AE610" i="3"/>
  <c r="AE682" i="3"/>
  <c r="AE836" i="3"/>
  <c r="AE878" i="3"/>
  <c r="AE902" i="3"/>
  <c r="AE933" i="3"/>
  <c r="AE968" i="3"/>
  <c r="AE988" i="3"/>
  <c r="AE994" i="3"/>
  <c r="AF620" i="3"/>
  <c r="AE649" i="3"/>
  <c r="AE712" i="3"/>
  <c r="AF712" i="3"/>
  <c r="AE747" i="3"/>
  <c r="AE856" i="3"/>
  <c r="AF856" i="3"/>
  <c r="AF955" i="3"/>
  <c r="T183" i="3"/>
  <c r="AF734" i="3"/>
  <c r="AE734" i="3"/>
  <c r="AF953" i="3"/>
  <c r="AE953" i="3"/>
  <c r="AF894" i="3"/>
  <c r="AE900" i="3"/>
  <c r="AF956" i="3"/>
  <c r="AE959" i="3"/>
  <c r="AF964" i="3"/>
  <c r="AE967" i="3"/>
  <c r="AE8" i="3"/>
  <c r="AE27" i="3"/>
  <c r="AF32" i="3"/>
  <c r="AE66" i="3"/>
  <c r="AF129" i="3"/>
  <c r="AE160" i="3"/>
  <c r="AE165" i="3"/>
  <c r="AE231" i="3"/>
  <c r="AE304" i="3"/>
  <c r="AE351" i="3"/>
  <c r="AE396" i="3"/>
  <c r="AE407" i="3"/>
  <c r="AF426" i="3"/>
  <c r="AF462" i="3"/>
  <c r="AE465" i="3"/>
  <c r="AE476" i="3"/>
  <c r="AF510" i="3"/>
  <c r="AE547" i="3"/>
  <c r="AE561" i="3"/>
  <c r="AF597" i="3"/>
  <c r="AF616" i="3"/>
  <c r="AE627" i="3"/>
  <c r="AE647" i="3"/>
  <c r="AE661" i="3"/>
  <c r="AE669" i="3"/>
  <c r="AF721" i="3"/>
  <c r="AE798" i="3"/>
  <c r="AF806" i="3"/>
  <c r="AE854" i="3"/>
  <c r="AE862" i="3"/>
  <c r="AF921" i="3"/>
  <c r="AF937" i="3"/>
  <c r="AE948" i="3"/>
  <c r="AF976" i="3"/>
  <c r="AE981" i="3"/>
  <c r="AE1012" i="3"/>
  <c r="AE1023" i="3"/>
  <c r="AF848" i="3"/>
  <c r="AE989" i="3"/>
  <c r="AF55" i="3"/>
  <c r="AF75" i="3"/>
  <c r="AE78" i="3"/>
  <c r="AE98" i="3"/>
  <c r="AE137" i="3"/>
  <c r="AE182" i="3"/>
  <c r="AE190" i="3"/>
  <c r="AE198" i="3"/>
  <c r="AE206" i="3"/>
  <c r="AE239" i="3"/>
  <c r="AE266" i="3"/>
  <c r="AF271" i="3"/>
  <c r="AE343" i="3"/>
  <c r="AE354" i="3"/>
  <c r="AE357" i="3"/>
  <c r="AE363" i="3"/>
  <c r="AF382" i="3"/>
  <c r="AE457" i="3"/>
  <c r="AE499" i="3"/>
  <c r="AE580" i="3"/>
  <c r="AF641" i="3"/>
  <c r="AE664" i="3"/>
  <c r="AE693" i="3"/>
  <c r="AF704" i="3"/>
  <c r="AE710" i="3"/>
  <c r="AE729" i="3"/>
  <c r="AF740" i="3"/>
  <c r="AF775" i="3"/>
  <c r="AE792" i="3"/>
  <c r="AE820" i="3"/>
  <c r="AE851" i="3"/>
  <c r="AE876" i="3"/>
  <c r="AE892" i="3"/>
  <c r="AE906" i="3"/>
  <c r="AF932" i="3"/>
  <c r="AE1015" i="3"/>
  <c r="AE1020" i="3"/>
  <c r="AE201" i="3"/>
  <c r="AF249" i="3"/>
  <c r="AE760" i="3"/>
  <c r="AE787" i="3"/>
  <c r="AE829" i="3"/>
  <c r="AE843" i="3"/>
  <c r="AE901" i="3"/>
  <c r="AE919" i="3"/>
  <c r="AE935" i="3"/>
  <c r="AE954" i="3"/>
  <c r="AF998" i="3"/>
  <c r="AE185" i="3"/>
  <c r="AE269" i="3"/>
  <c r="AF302" i="3"/>
  <c r="AF449" i="3"/>
  <c r="AE559" i="3"/>
  <c r="AF650" i="3"/>
  <c r="AF653" i="3"/>
  <c r="AE683" i="3"/>
  <c r="T686" i="3"/>
  <c r="AF804" i="3"/>
  <c r="AE815" i="3"/>
  <c r="AE846" i="3"/>
  <c r="AE857" i="3"/>
  <c r="AF879" i="3"/>
  <c r="AF927" i="3"/>
  <c r="AE125" i="3"/>
  <c r="AF545" i="3"/>
  <c r="R245" i="3"/>
  <c r="T244" i="3"/>
  <c r="AF117" i="3"/>
  <c r="AE548" i="3"/>
  <c r="AE251" i="3"/>
  <c r="AF251" i="3"/>
  <c r="R30" i="3"/>
  <c r="AF47" i="3"/>
  <c r="AF142" i="3"/>
  <c r="AE171" i="3"/>
  <c r="AE180" i="3"/>
  <c r="AE195" i="3"/>
  <c r="AE307" i="3"/>
  <c r="AF314" i="3"/>
  <c r="AF356" i="3"/>
  <c r="AF409" i="3"/>
  <c r="AE409" i="3"/>
  <c r="AF796" i="3"/>
  <c r="AE796" i="3"/>
  <c r="AE217" i="3"/>
  <c r="AF217" i="3"/>
  <c r="AF470" i="3"/>
  <c r="AE470" i="3"/>
  <c r="R184" i="3"/>
  <c r="AF1008" i="3"/>
  <c r="AE1008" i="3"/>
  <c r="AF385" i="3"/>
  <c r="AE385" i="3"/>
  <c r="AF550" i="3"/>
  <c r="AE550" i="3"/>
  <c r="AE123" i="3"/>
  <c r="AE480" i="3"/>
  <c r="AF13" i="3"/>
  <c r="AF15" i="3"/>
  <c r="AE7" i="3"/>
  <c r="AF173" i="3"/>
  <c r="AE173" i="3"/>
  <c r="AE220" i="3"/>
  <c r="AF316" i="3"/>
  <c r="AE543" i="3"/>
  <c r="T28" i="3"/>
  <c r="AF242" i="3"/>
  <c r="AE242" i="3"/>
  <c r="AE52" i="3"/>
  <c r="AE67" i="3"/>
  <c r="AE128" i="3"/>
  <c r="AF211" i="3"/>
  <c r="AE339" i="3"/>
  <c r="AF374" i="3"/>
  <c r="R372" i="3"/>
  <c r="T369" i="3"/>
  <c r="R370" i="3"/>
  <c r="T370" i="3" s="1"/>
  <c r="AF28" i="3"/>
  <c r="AF105" i="3"/>
  <c r="AE107" i="3"/>
  <c r="AE200" i="3"/>
  <c r="AF120" i="3"/>
  <c r="AE135" i="3"/>
  <c r="AF176" i="3"/>
  <c r="AE187" i="3"/>
  <c r="AE276" i="3"/>
  <c r="AE288" i="3"/>
  <c r="AE327" i="3"/>
  <c r="AF337" i="3"/>
  <c r="AF372" i="3"/>
  <c r="AE420" i="3"/>
  <c r="Q454" i="3"/>
  <c r="AD454" i="3"/>
  <c r="AE495" i="3"/>
  <c r="AE624" i="3"/>
  <c r="AF253" i="3"/>
  <c r="AE155" i="3"/>
  <c r="T166" i="3"/>
  <c r="T182" i="3"/>
  <c r="AE282" i="3"/>
  <c r="AE164" i="3"/>
  <c r="AE197" i="3"/>
  <c r="AF386" i="3"/>
  <c r="AE386" i="3"/>
  <c r="AF223" i="3"/>
  <c r="AE223" i="3"/>
  <c r="AF807" i="3"/>
  <c r="AE807" i="3"/>
  <c r="AE169" i="3"/>
  <c r="AF640" i="3"/>
  <c r="AE640" i="3"/>
  <c r="AE136" i="3"/>
  <c r="AE41" i="3"/>
  <c r="AF41" i="3"/>
  <c r="AE12" i="3"/>
  <c r="AE84" i="3"/>
  <c r="AE145" i="3"/>
  <c r="AE262" i="3"/>
  <c r="AE293" i="3"/>
  <c r="AF293" i="3"/>
  <c r="AF448" i="3"/>
  <c r="AE448" i="3"/>
  <c r="AF489" i="3"/>
  <c r="AE489" i="3"/>
  <c r="AF33" i="3"/>
  <c r="AE33" i="3"/>
  <c r="AF234" i="3"/>
  <c r="AE234" i="3"/>
  <c r="T167" i="3"/>
  <c r="R168" i="3"/>
  <c r="T7" i="3"/>
  <c r="R12" i="3"/>
  <c r="AE36" i="3"/>
  <c r="AF74" i="3"/>
  <c r="AE74" i="3"/>
  <c r="AE100" i="3"/>
  <c r="AE20" i="3"/>
  <c r="AE90" i="3"/>
  <c r="AE209" i="3"/>
  <c r="AF50" i="3"/>
  <c r="AE92" i="3"/>
  <c r="AF147" i="3"/>
  <c r="AE147" i="3"/>
  <c r="AE10" i="3"/>
  <c r="AE77" i="3"/>
  <c r="AF303" i="3"/>
  <c r="AE303" i="3"/>
  <c r="AF352" i="3"/>
  <c r="AE352" i="3"/>
  <c r="AE367" i="3"/>
  <c r="AF425" i="3"/>
  <c r="AE425" i="3"/>
  <c r="AF517" i="3"/>
  <c r="AF301" i="3"/>
  <c r="AE87" i="3"/>
  <c r="AE215" i="3"/>
  <c r="AF258" i="3"/>
  <c r="AE258" i="3"/>
  <c r="Q536" i="3"/>
  <c r="AD536" i="3"/>
  <c r="AE49" i="3"/>
  <c r="AF49" i="3"/>
  <c r="AE157" i="3"/>
  <c r="AF411" i="3"/>
  <c r="AE411" i="3"/>
  <c r="AF80" i="3"/>
  <c r="Q297" i="3"/>
  <c r="AD297" i="3"/>
  <c r="T9" i="3"/>
  <c r="AF358" i="3"/>
  <c r="AD143" i="3"/>
  <c r="Q143" i="3"/>
  <c r="AF290" i="3"/>
  <c r="AE290" i="3"/>
  <c r="AF329" i="3"/>
  <c r="AE329" i="3"/>
  <c r="AF278" i="3"/>
  <c r="AE18" i="3"/>
  <c r="AE59" i="3"/>
  <c r="AF575" i="3"/>
  <c r="AE575" i="3"/>
  <c r="T10" i="3"/>
  <c r="AE152" i="3"/>
  <c r="AF152" i="3"/>
  <c r="AE350" i="3"/>
  <c r="AF82" i="3"/>
  <c r="AE82" i="3"/>
  <c r="AF25" i="3"/>
  <c r="AE25" i="3"/>
  <c r="AF280" i="3"/>
  <c r="AE280" i="3"/>
  <c r="AE291" i="3"/>
  <c r="AF97" i="3"/>
  <c r="AF122" i="3"/>
  <c r="AE86" i="3"/>
  <c r="AE94" i="3"/>
  <c r="AE109" i="3"/>
  <c r="AF119" i="3"/>
  <c r="AE149" i="3"/>
  <c r="AE505" i="3"/>
  <c r="AF793" i="3"/>
  <c r="AE793" i="3"/>
  <c r="AE64" i="3"/>
  <c r="AE130" i="3"/>
  <c r="AE478" i="3"/>
  <c r="AF72" i="3"/>
  <c r="AE79" i="3"/>
  <c r="AF89" i="3"/>
  <c r="AE189" i="3"/>
  <c r="AE389" i="3"/>
  <c r="AF444" i="3"/>
  <c r="AE987" i="3"/>
  <c r="AF9" i="3"/>
  <c r="AF17" i="3"/>
  <c r="AF54" i="3"/>
  <c r="AE154" i="3"/>
  <c r="AF184" i="3"/>
  <c r="AE252" i="3"/>
  <c r="AF344" i="3"/>
  <c r="AE344" i="3"/>
  <c r="AE14" i="3"/>
  <c r="AE22" i="3"/>
  <c r="AF30" i="3"/>
  <c r="AE43" i="3"/>
  <c r="AE51" i="3"/>
  <c r="AF61" i="3"/>
  <c r="AF69" i="3"/>
  <c r="AE76" i="3"/>
  <c r="AE116" i="3"/>
  <c r="AF127" i="3"/>
  <c r="AE134" i="3"/>
  <c r="AF179" i="3"/>
  <c r="AE210" i="3"/>
  <c r="AF306" i="3"/>
  <c r="AE319" i="3"/>
  <c r="AE342" i="3"/>
  <c r="AE353" i="3"/>
  <c r="AE355" i="3"/>
  <c r="AF394" i="3"/>
  <c r="AE394" i="3"/>
  <c r="AF405" i="3"/>
  <c r="AE412" i="3"/>
  <c r="AE461" i="3"/>
  <c r="AF581" i="3"/>
  <c r="AF703" i="3"/>
  <c r="AE780" i="3"/>
  <c r="AF913" i="3"/>
  <c r="AE971" i="3"/>
  <c r="AF971" i="3"/>
  <c r="AF166" i="3"/>
  <c r="AF112" i="3"/>
  <c r="AF283" i="3"/>
  <c r="AE340" i="3"/>
  <c r="AF589" i="3"/>
  <c r="AE589" i="3"/>
  <c r="AF46" i="3"/>
  <c r="AF144" i="3"/>
  <c r="AE204" i="3"/>
  <c r="AE230" i="3"/>
  <c r="AF250" i="3"/>
  <c r="AF435" i="3"/>
  <c r="AE435" i="3"/>
  <c r="AE518" i="3"/>
  <c r="AF518" i="3"/>
  <c r="AF532" i="3"/>
  <c r="AE532" i="3"/>
  <c r="AE847" i="3"/>
  <c r="AF847" i="3"/>
  <c r="AF903" i="3"/>
  <c r="AE903" i="3"/>
  <c r="AF379" i="3"/>
  <c r="AE379" i="3"/>
  <c r="AF423" i="3"/>
  <c r="AE423" i="3"/>
  <c r="AE141" i="3"/>
  <c r="AE254" i="3"/>
  <c r="AE161" i="3"/>
  <c r="AE168" i="3"/>
  <c r="AF236" i="3"/>
  <c r="AF321" i="3"/>
  <c r="AE321" i="3"/>
  <c r="AF336" i="3"/>
  <c r="AE336" i="3"/>
  <c r="AF199" i="3"/>
  <c r="AF312" i="3"/>
  <c r="AE312" i="3"/>
  <c r="AF370" i="3"/>
  <c r="AE370" i="3"/>
  <c r="AE11" i="3"/>
  <c r="AE19" i="3"/>
  <c r="AE48" i="3"/>
  <c r="AE56" i="3"/>
  <c r="AE81" i="3"/>
  <c r="AE140" i="3"/>
  <c r="AE146" i="3"/>
  <c r="AE172" i="3"/>
  <c r="AE196" i="3"/>
  <c r="AF212" i="3"/>
  <c r="AE214" i="3"/>
  <c r="AE332" i="3"/>
  <c r="AF380" i="3"/>
  <c r="AE380" i="3"/>
  <c r="AF401" i="3"/>
  <c r="AE401" i="3"/>
  <c r="AE433" i="3"/>
  <c r="AE569" i="3"/>
  <c r="AF569" i="3"/>
  <c r="AE592" i="3"/>
  <c r="AE783" i="3"/>
  <c r="AF783" i="3"/>
  <c r="AF232" i="3"/>
  <c r="AE507" i="3"/>
  <c r="AF507" i="3"/>
  <c r="AF104" i="3"/>
  <c r="AE138" i="3"/>
  <c r="AF219" i="3"/>
  <c r="AE219" i="3"/>
  <c r="AE463" i="3"/>
  <c r="AF546" i="3"/>
  <c r="AE546" i="3"/>
  <c r="AE788" i="3"/>
  <c r="AF151" i="3"/>
  <c r="AF255" i="3"/>
  <c r="AE255" i="3"/>
  <c r="AF267" i="3"/>
  <c r="AE267" i="3"/>
  <c r="AF347" i="3"/>
  <c r="AE347" i="3"/>
  <c r="AE360" i="3"/>
  <c r="AE387" i="3"/>
  <c r="AF392" i="3"/>
  <c r="AE392" i="3"/>
  <c r="AF464" i="3"/>
  <c r="AE464" i="3"/>
  <c r="AE501" i="3"/>
  <c r="AE503" i="3"/>
  <c r="AE688" i="3"/>
  <c r="AF246" i="3"/>
  <c r="AE246" i="3"/>
  <c r="AF285" i="3"/>
  <c r="AE285" i="3"/>
  <c r="AF222" i="3"/>
  <c r="AE222" i="3"/>
  <c r="AF399" i="3"/>
  <c r="AE399" i="3"/>
  <c r="AE429" i="3"/>
  <c r="AF438" i="3"/>
  <c r="AE438" i="3"/>
  <c r="AF450" i="3"/>
  <c r="AE450" i="3"/>
  <c r="AF455" i="3"/>
  <c r="AE455" i="3"/>
  <c r="AE869" i="3"/>
  <c r="AF869" i="3"/>
  <c r="AF890" i="3"/>
  <c r="AE890" i="3"/>
  <c r="AF311" i="3"/>
  <c r="AE311" i="3"/>
  <c r="AF770" i="3"/>
  <c r="AE770" i="3"/>
  <c r="AE791" i="3"/>
  <c r="AF791" i="3"/>
  <c r="AF400" i="3"/>
  <c r="AE400" i="3"/>
  <c r="AF458" i="3"/>
  <c r="AE458" i="3"/>
  <c r="AD537" i="3"/>
  <c r="Q537" i="3"/>
  <c r="AF652" i="3"/>
  <c r="AE652" i="3"/>
  <c r="AF961" i="3"/>
  <c r="AF980" i="3"/>
  <c r="AE980" i="3"/>
  <c r="AF275" i="3"/>
  <c r="AE275" i="3"/>
  <c r="AF500" i="3"/>
  <c r="AE500" i="3"/>
  <c r="AF542" i="3"/>
  <c r="AE542" i="3"/>
  <c r="AF663" i="3"/>
  <c r="AE663" i="3"/>
  <c r="AF915" i="3"/>
  <c r="AE915" i="3"/>
  <c r="AE305" i="3"/>
  <c r="AF371" i="3"/>
  <c r="AE371" i="3"/>
  <c r="AE488" i="3"/>
  <c r="AF509" i="3"/>
  <c r="AE509" i="3"/>
  <c r="AF774" i="3"/>
  <c r="AE774" i="3"/>
  <c r="AE811" i="3"/>
  <c r="AE300" i="3"/>
  <c r="AE318" i="3"/>
  <c r="AE326" i="3"/>
  <c r="AE359" i="3"/>
  <c r="AE373" i="3"/>
  <c r="AE402" i="3"/>
  <c r="AE415" i="3"/>
  <c r="AE439" i="3"/>
  <c r="AE514" i="3"/>
  <c r="AF540" i="3"/>
  <c r="AF604" i="3"/>
  <c r="AE604" i="3"/>
  <c r="AF613" i="3"/>
  <c r="AE613" i="3"/>
  <c r="AF701" i="3"/>
  <c r="AE701" i="3"/>
  <c r="AE858" i="3"/>
  <c r="AF516" i="3"/>
  <c r="AE516" i="3"/>
  <c r="AF765" i="3"/>
  <c r="AE765" i="3"/>
  <c r="AF911" i="3"/>
  <c r="AE999" i="3"/>
  <c r="AF417" i="3"/>
  <c r="AE417" i="3"/>
  <c r="AF638" i="3"/>
  <c r="AE638" i="3"/>
  <c r="AF845" i="3"/>
  <c r="AE845" i="3"/>
  <c r="AE419" i="3"/>
  <c r="AE428" i="3"/>
  <c r="AE473" i="3"/>
  <c r="AE526" i="3"/>
  <c r="AF556" i="3"/>
  <c r="AE556" i="3"/>
  <c r="AF609" i="3"/>
  <c r="AF714" i="3"/>
  <c r="AE714" i="3"/>
  <c r="AF384" i="3"/>
  <c r="AF443" i="3"/>
  <c r="AE443" i="3"/>
  <c r="AE672" i="3"/>
  <c r="AE679" i="3"/>
  <c r="AE717" i="3"/>
  <c r="AE737" i="3"/>
  <c r="AE752" i="3"/>
  <c r="AE840" i="3"/>
  <c r="AF992" i="3"/>
  <c r="AE992" i="3"/>
  <c r="AF750" i="3"/>
  <c r="AE750" i="3"/>
  <c r="AF814" i="3"/>
  <c r="AE814" i="3"/>
  <c r="AF576" i="3"/>
  <c r="AE576" i="3"/>
  <c r="AF578" i="3"/>
  <c r="AF668" i="3"/>
  <c r="AE668" i="3"/>
  <c r="AF687" i="3"/>
  <c r="AE687" i="3"/>
  <c r="AE699" i="3"/>
  <c r="AE716" i="3"/>
  <c r="AE853" i="3"/>
  <c r="AF931" i="3"/>
  <c r="AE931" i="3"/>
  <c r="AF1001" i="3"/>
  <c r="AF605" i="3"/>
  <c r="AE605" i="3"/>
  <c r="AF957" i="3"/>
  <c r="AE957" i="3"/>
  <c r="AE469" i="3"/>
  <c r="AE479" i="3"/>
  <c r="AE511" i="3"/>
  <c r="AE520" i="3"/>
  <c r="AE564" i="3"/>
  <c r="AF568" i="3"/>
  <c r="AE568" i="3"/>
  <c r="AE582" i="3"/>
  <c r="AF692" i="3"/>
  <c r="AE692" i="3"/>
  <c r="AF766" i="3"/>
  <c r="AE766" i="3"/>
  <c r="AF929" i="3"/>
  <c r="AE427" i="3"/>
  <c r="AE437" i="3"/>
  <c r="AE445" i="3"/>
  <c r="AE467" i="3"/>
  <c r="AE484" i="3"/>
  <c r="AF504" i="3"/>
  <c r="AE529" i="3"/>
  <c r="AF539" i="3"/>
  <c r="AF541" i="3"/>
  <c r="AE541" i="3"/>
  <c r="AE554" i="3"/>
  <c r="AE584" i="3"/>
  <c r="AF619" i="3"/>
  <c r="AE637" i="3"/>
  <c r="AE654" i="3"/>
  <c r="AF659" i="3"/>
  <c r="AE709" i="3"/>
  <c r="AE736" i="3"/>
  <c r="AD739" i="3"/>
  <c r="Q739" i="3"/>
  <c r="AF795" i="3"/>
  <c r="AE795" i="3"/>
  <c r="AF896" i="3"/>
  <c r="AE896" i="3"/>
  <c r="AE1016" i="3"/>
  <c r="AF527" i="3"/>
  <c r="AF642" i="3"/>
  <c r="AE642" i="3"/>
  <c r="AE707" i="3"/>
  <c r="AE769" i="3"/>
  <c r="AF646" i="3"/>
  <c r="AE646" i="3"/>
  <c r="AF755" i="3"/>
  <c r="AE755" i="3"/>
  <c r="AF907" i="3"/>
  <c r="AE907" i="3"/>
  <c r="AF583" i="3"/>
  <c r="AE583" i="3"/>
  <c r="AE945" i="3"/>
  <c r="AF945" i="3"/>
  <c r="AF772" i="3"/>
  <c r="AF779" i="3"/>
  <c r="AE779" i="3"/>
  <c r="AE827" i="3"/>
  <c r="AF877" i="3"/>
  <c r="AE950" i="3"/>
  <c r="AF995" i="3"/>
  <c r="AE995" i="3"/>
  <c r="AF680" i="3"/>
  <c r="AE680" i="3"/>
  <c r="AF844" i="3"/>
  <c r="AE844" i="3"/>
  <c r="AF849" i="3"/>
  <c r="AE849" i="3"/>
  <c r="AF875" i="3"/>
  <c r="AE875" i="3"/>
  <c r="AF544" i="3"/>
  <c r="AE544" i="3"/>
  <c r="AF608" i="3"/>
  <c r="AE618" i="3"/>
  <c r="AF671" i="3"/>
  <c r="AE671" i="3"/>
  <c r="AE720" i="3"/>
  <c r="AE724" i="3"/>
  <c r="AF799" i="3"/>
  <c r="AE801" i="3"/>
  <c r="AE803" i="3"/>
  <c r="AE868" i="3"/>
  <c r="AF924" i="3"/>
  <c r="AF630" i="3"/>
  <c r="AE630" i="3"/>
  <c r="AF651" i="3"/>
  <c r="AE651" i="3"/>
  <c r="R689" i="3"/>
  <c r="T689" i="3" s="1"/>
  <c r="T688" i="3"/>
  <c r="AF782" i="3"/>
  <c r="AE782" i="3"/>
  <c r="AF873" i="3"/>
  <c r="AE873" i="3"/>
  <c r="AF899" i="3"/>
  <c r="AE899" i="3"/>
  <c r="AF965" i="3"/>
  <c r="AE965" i="3"/>
  <c r="AE713" i="3"/>
  <c r="AF731" i="3"/>
  <c r="AE731" i="3"/>
  <c r="AE767" i="3"/>
  <c r="AE810" i="3"/>
  <c r="AF828" i="3"/>
  <c r="AE832" i="3"/>
  <c r="AF841" i="3"/>
  <c r="AE841" i="3"/>
  <c r="AE871" i="3"/>
  <c r="AE639" i="3"/>
  <c r="AE644" i="3"/>
  <c r="R696" i="3"/>
  <c r="AF749" i="3"/>
  <c r="AE749" i="3"/>
  <c r="AE753" i="3"/>
  <c r="AF757" i="3"/>
  <c r="AE759" i="3"/>
  <c r="AE763" i="3"/>
  <c r="AE830" i="3"/>
  <c r="AE852" i="3"/>
  <c r="AE865" i="3"/>
  <c r="AE867" i="3"/>
  <c r="AE884" i="3"/>
  <c r="R983" i="3"/>
  <c r="T982" i="3"/>
  <c r="AE993" i="3"/>
  <c r="AF993" i="3"/>
  <c r="AF1013" i="3"/>
  <c r="AE1013" i="3"/>
  <c r="AF817" i="3"/>
  <c r="AE817" i="3"/>
  <c r="AF923" i="3"/>
  <c r="AE923" i="3"/>
  <c r="AF939" i="3"/>
  <c r="AE939" i="3"/>
  <c r="AF969" i="3"/>
  <c r="AF984" i="3"/>
  <c r="AE984" i="3"/>
  <c r="AE1011" i="3"/>
  <c r="AF1000" i="3"/>
  <c r="AE1000" i="3"/>
  <c r="AF706" i="3"/>
  <c r="AE706" i="3"/>
  <c r="AF824" i="3"/>
  <c r="AE824" i="3"/>
  <c r="AF859" i="3"/>
  <c r="AE859" i="3"/>
  <c r="AF991" i="3"/>
  <c r="AE991" i="3"/>
  <c r="AF973" i="3"/>
  <c r="AE973" i="3"/>
  <c r="AF833" i="3"/>
  <c r="AE833" i="3"/>
  <c r="AF813" i="3"/>
  <c r="AF819" i="3"/>
  <c r="AF861" i="3"/>
  <c r="AE898" i="3"/>
  <c r="AF985" i="3"/>
  <c r="AE718" i="3"/>
  <c r="AE735" i="3"/>
  <c r="AE744" i="3"/>
  <c r="AE761" i="3"/>
  <c r="AE794" i="3"/>
  <c r="AE837" i="3"/>
  <c r="AE863" i="3"/>
  <c r="AE934" i="3"/>
  <c r="AE946" i="3"/>
  <c r="AE972" i="3"/>
  <c r="AF974" i="3"/>
  <c r="AE768" i="3"/>
  <c r="AF785" i="3"/>
  <c r="AE785" i="3"/>
  <c r="AE881" i="3"/>
  <c r="AF940" i="3"/>
  <c r="AF958" i="3"/>
  <c r="AF966" i="3"/>
  <c r="AE1021" i="3"/>
  <c r="AE1009" i="3"/>
  <c r="AE1017" i="3"/>
  <c r="AE1025" i="3"/>
  <c r="T15" i="11" l="1"/>
  <c r="R20" i="11"/>
  <c r="T706" i="11"/>
  <c r="R707" i="11"/>
  <c r="T248" i="11"/>
  <c r="R249" i="11"/>
  <c r="R191" i="11"/>
  <c r="T190" i="11"/>
  <c r="R380" i="11"/>
  <c r="T379" i="11"/>
  <c r="R816" i="11"/>
  <c r="T814" i="11"/>
  <c r="R138" i="11"/>
  <c r="T137" i="11"/>
  <c r="T989" i="11"/>
  <c r="R990" i="11"/>
  <c r="T17" i="11"/>
  <c r="R18" i="11"/>
  <c r="AE522" i="3"/>
  <c r="AF535" i="3"/>
  <c r="R811" i="3"/>
  <c r="R812" i="3" s="1"/>
  <c r="AE492" i="3"/>
  <c r="AF492" i="3"/>
  <c r="AE537" i="3"/>
  <c r="AF537" i="3"/>
  <c r="AE536" i="3"/>
  <c r="AF536" i="3"/>
  <c r="R169" i="3"/>
  <c r="T168" i="3"/>
  <c r="T30" i="3"/>
  <c r="R31" i="3"/>
  <c r="AF739" i="3"/>
  <c r="AE739" i="3"/>
  <c r="T696" i="3"/>
  <c r="R697" i="3"/>
  <c r="AE454" i="3"/>
  <c r="AF454" i="3"/>
  <c r="AF143" i="3"/>
  <c r="AE143" i="3"/>
  <c r="AF297" i="3"/>
  <c r="AE297" i="3"/>
  <c r="R984" i="3"/>
  <c r="T983" i="3"/>
  <c r="T245" i="3"/>
  <c r="R246" i="3"/>
  <c r="R185" i="3"/>
  <c r="T184" i="3"/>
  <c r="R13" i="3"/>
  <c r="T12" i="3"/>
  <c r="R373" i="3"/>
  <c r="T372" i="3"/>
  <c r="R991" i="11" l="1"/>
  <c r="T990" i="11"/>
  <c r="R139" i="11"/>
  <c r="T138" i="11"/>
  <c r="R817" i="11"/>
  <c r="T816" i="11"/>
  <c r="T191" i="11"/>
  <c r="R192" i="11"/>
  <c r="R250" i="11"/>
  <c r="T249" i="11"/>
  <c r="R708" i="11"/>
  <c r="T707" i="11"/>
  <c r="R381" i="11"/>
  <c r="T380" i="11"/>
  <c r="T18" i="11"/>
  <c r="R19" i="11"/>
  <c r="R21" i="11"/>
  <c r="T20" i="11"/>
  <c r="T811" i="3"/>
  <c r="T13" i="3"/>
  <c r="R14" i="3"/>
  <c r="R32" i="3"/>
  <c r="T31" i="3"/>
  <c r="R186" i="3"/>
  <c r="T185" i="3"/>
  <c r="T246" i="3"/>
  <c r="R247" i="3"/>
  <c r="R698" i="3"/>
  <c r="T697" i="3"/>
  <c r="T373" i="3"/>
  <c r="R374" i="3"/>
  <c r="T812" i="3"/>
  <c r="R813" i="3"/>
  <c r="R170" i="3"/>
  <c r="T170" i="3" s="1"/>
  <c r="T169" i="3"/>
  <c r="T984" i="3"/>
  <c r="R985" i="3"/>
  <c r="R382" i="11" l="1"/>
  <c r="T381" i="11"/>
  <c r="T19" i="11"/>
  <c r="R33" i="11"/>
  <c r="T708" i="11"/>
  <c r="R709" i="11"/>
  <c r="T250" i="11"/>
  <c r="R251" i="11"/>
  <c r="R193" i="11"/>
  <c r="T192" i="11"/>
  <c r="T817" i="11"/>
  <c r="R818" i="11"/>
  <c r="T139" i="11"/>
  <c r="R140" i="11"/>
  <c r="R22" i="11"/>
  <c r="T22" i="11" s="1"/>
  <c r="T21" i="11"/>
  <c r="T991" i="11"/>
  <c r="R992" i="11"/>
  <c r="T186" i="3"/>
  <c r="R187" i="3"/>
  <c r="T32" i="3"/>
  <c r="R16" i="3"/>
  <c r="T698" i="3"/>
  <c r="R699" i="3"/>
  <c r="T247" i="3"/>
  <c r="R248" i="3"/>
  <c r="R986" i="3"/>
  <c r="T985" i="3"/>
  <c r="T14" i="3"/>
  <c r="R15" i="3"/>
  <c r="T813" i="3"/>
  <c r="R814" i="3"/>
  <c r="R375" i="3"/>
  <c r="T374" i="3"/>
  <c r="R141" i="11" l="1"/>
  <c r="T140" i="11"/>
  <c r="T818" i="11"/>
  <c r="R819" i="11"/>
  <c r="R710" i="11"/>
  <c r="T709" i="11"/>
  <c r="R34" i="11"/>
  <c r="T33" i="11"/>
  <c r="R194" i="11"/>
  <c r="T193" i="11"/>
  <c r="T251" i="11"/>
  <c r="R252" i="11"/>
  <c r="R993" i="11"/>
  <c r="T992" i="11"/>
  <c r="T382" i="11"/>
  <c r="R383" i="11"/>
  <c r="T248" i="3"/>
  <c r="R249" i="3"/>
  <c r="T375" i="3"/>
  <c r="R376" i="3"/>
  <c r="R700" i="3"/>
  <c r="T699" i="3"/>
  <c r="T16" i="3"/>
  <c r="R17" i="3"/>
  <c r="R188" i="3"/>
  <c r="T187" i="3"/>
  <c r="R816" i="3"/>
  <c r="T814" i="3"/>
  <c r="R20" i="3"/>
  <c r="T15" i="3"/>
  <c r="T986" i="3"/>
  <c r="R987" i="3"/>
  <c r="R994" i="11" l="1"/>
  <c r="T993" i="11"/>
  <c r="R253" i="11"/>
  <c r="T252" i="11"/>
  <c r="R711" i="11"/>
  <c r="T710" i="11"/>
  <c r="R820" i="11"/>
  <c r="T819" i="11"/>
  <c r="R384" i="11"/>
  <c r="T383" i="11"/>
  <c r="T194" i="11"/>
  <c r="R195" i="11"/>
  <c r="T34" i="11"/>
  <c r="R35" i="11"/>
  <c r="T141" i="11"/>
  <c r="R142" i="11"/>
  <c r="R21" i="3"/>
  <c r="T20" i="3"/>
  <c r="T816" i="3"/>
  <c r="R817" i="3"/>
  <c r="R250" i="3"/>
  <c r="T249" i="3"/>
  <c r="R18" i="3"/>
  <c r="T17" i="3"/>
  <c r="T700" i="3"/>
  <c r="R701" i="3"/>
  <c r="T987" i="3"/>
  <c r="R988" i="3"/>
  <c r="T188" i="3"/>
  <c r="R189" i="3"/>
  <c r="R377" i="3"/>
  <c r="T376" i="3"/>
  <c r="T384" i="11" l="1"/>
  <c r="R385" i="11"/>
  <c r="R143" i="11"/>
  <c r="T142" i="11"/>
  <c r="R36" i="11"/>
  <c r="T35" i="11"/>
  <c r="T195" i="11"/>
  <c r="R196" i="11"/>
  <c r="R822" i="11"/>
  <c r="T820" i="11"/>
  <c r="T711" i="11"/>
  <c r="R712" i="11"/>
  <c r="T253" i="11"/>
  <c r="R254" i="11"/>
  <c r="R995" i="11"/>
  <c r="T994" i="11"/>
  <c r="R378" i="3"/>
  <c r="T377" i="3"/>
  <c r="T701" i="3"/>
  <c r="R702" i="3"/>
  <c r="R190" i="3"/>
  <c r="T189" i="3"/>
  <c r="R989" i="3"/>
  <c r="T988" i="3"/>
  <c r="T136" i="3" s="1"/>
  <c r="R136" i="3"/>
  <c r="R137" i="3" s="1"/>
  <c r="R19" i="3"/>
  <c r="T18" i="3"/>
  <c r="R251" i="3"/>
  <c r="T250" i="3"/>
  <c r="R818" i="3"/>
  <c r="T817" i="3"/>
  <c r="T21" i="3"/>
  <c r="R22" i="3"/>
  <c r="T22" i="3" s="1"/>
  <c r="T254" i="11" l="1"/>
  <c r="R255" i="11"/>
  <c r="R713" i="11"/>
  <c r="T712" i="11"/>
  <c r="T143" i="11"/>
  <c r="R144" i="11"/>
  <c r="R197" i="11"/>
  <c r="T196" i="11"/>
  <c r="T385" i="11"/>
  <c r="R155" i="11"/>
  <c r="R996" i="11"/>
  <c r="T995" i="11"/>
  <c r="R823" i="11"/>
  <c r="T822" i="11"/>
  <c r="R41" i="11"/>
  <c r="R37" i="11"/>
  <c r="T36" i="11"/>
  <c r="T19" i="3"/>
  <c r="R33" i="3"/>
  <c r="T137" i="3"/>
  <c r="R138" i="3"/>
  <c r="T989" i="3"/>
  <c r="R990" i="3"/>
  <c r="R191" i="3"/>
  <c r="T190" i="3"/>
  <c r="R703" i="3"/>
  <c r="T702" i="3"/>
  <c r="R819" i="3"/>
  <c r="T818" i="3"/>
  <c r="R252" i="3"/>
  <c r="T251" i="3"/>
  <c r="R379" i="3"/>
  <c r="T378" i="3"/>
  <c r="T155" i="11" l="1"/>
  <c r="R156" i="11"/>
  <c r="T37" i="11"/>
  <c r="R38" i="11"/>
  <c r="R42" i="11"/>
  <c r="T41" i="11"/>
  <c r="T823" i="11"/>
  <c r="R824" i="11"/>
  <c r="T197" i="11"/>
  <c r="R198" i="11"/>
  <c r="T713" i="11"/>
  <c r="R714" i="11"/>
  <c r="R256" i="11"/>
  <c r="T255" i="11"/>
  <c r="T996" i="11"/>
  <c r="R997" i="11"/>
  <c r="T144" i="11"/>
  <c r="R145" i="11"/>
  <c r="R380" i="3"/>
  <c r="T379" i="3"/>
  <c r="R253" i="3"/>
  <c r="T252" i="3"/>
  <c r="T819" i="3"/>
  <c r="R820" i="3"/>
  <c r="R704" i="3"/>
  <c r="T703" i="3"/>
  <c r="T191" i="3"/>
  <c r="R192" i="3"/>
  <c r="R991" i="3"/>
  <c r="T990" i="3"/>
  <c r="R139" i="3"/>
  <c r="T138" i="3"/>
  <c r="R34" i="3"/>
  <c r="T33" i="3"/>
  <c r="T256" i="11" l="1"/>
  <c r="R257" i="11"/>
  <c r="R146" i="11"/>
  <c r="T145" i="11"/>
  <c r="R157" i="11"/>
  <c r="T156" i="11"/>
  <c r="R998" i="11"/>
  <c r="T997" i="11"/>
  <c r="T714" i="11"/>
  <c r="R716" i="11"/>
  <c r="R199" i="11"/>
  <c r="T198" i="11"/>
  <c r="R825" i="11"/>
  <c r="T824" i="11"/>
  <c r="R43" i="11"/>
  <c r="T42" i="11"/>
  <c r="R39" i="11"/>
  <c r="T38" i="11"/>
  <c r="R35" i="3"/>
  <c r="T34" i="3"/>
  <c r="R140" i="3"/>
  <c r="T139" i="3"/>
  <c r="R706" i="3"/>
  <c r="T704" i="3"/>
  <c r="R992" i="3"/>
  <c r="T991" i="3"/>
  <c r="R193" i="3"/>
  <c r="T192" i="3"/>
  <c r="R822" i="3"/>
  <c r="T820" i="3"/>
  <c r="T253" i="3"/>
  <c r="R254" i="3"/>
  <c r="T380" i="3"/>
  <c r="R381" i="3"/>
  <c r="R200" i="11" l="1"/>
  <c r="T199" i="11"/>
  <c r="R44" i="11"/>
  <c r="T43" i="11"/>
  <c r="T716" i="11"/>
  <c r="R717" i="11"/>
  <c r="T157" i="11"/>
  <c r="R158" i="11"/>
  <c r="T158" i="11" s="1"/>
  <c r="R386" i="11"/>
  <c r="R147" i="11"/>
  <c r="T146" i="11"/>
  <c r="R258" i="11"/>
  <c r="T257" i="11"/>
  <c r="T825" i="11"/>
  <c r="R826" i="11"/>
  <c r="T998" i="11"/>
  <c r="R999" i="11"/>
  <c r="T39" i="11"/>
  <c r="R40" i="11"/>
  <c r="T40" i="11" s="1"/>
  <c r="T381" i="3"/>
  <c r="R382" i="3"/>
  <c r="T254" i="3"/>
  <c r="R255" i="3"/>
  <c r="T822" i="3"/>
  <c r="R823" i="3"/>
  <c r="T193" i="3"/>
  <c r="R194" i="3"/>
  <c r="R993" i="3"/>
  <c r="T992" i="3"/>
  <c r="T706" i="3"/>
  <c r="R707" i="3"/>
  <c r="T140" i="3"/>
  <c r="R141" i="3"/>
  <c r="T35" i="3"/>
  <c r="R36" i="3"/>
  <c r="R259" i="11" l="1"/>
  <c r="T258" i="11"/>
  <c r="R828" i="11"/>
  <c r="T826" i="11"/>
  <c r="T147" i="11"/>
  <c r="R148" i="11"/>
  <c r="R387" i="11"/>
  <c r="T386" i="11"/>
  <c r="R718" i="11"/>
  <c r="T717" i="11"/>
  <c r="R45" i="11"/>
  <c r="T44" i="11"/>
  <c r="R1000" i="11"/>
  <c r="T999" i="11"/>
  <c r="T200" i="11"/>
  <c r="R201" i="11"/>
  <c r="R142" i="3"/>
  <c r="T141" i="3"/>
  <c r="R708" i="3"/>
  <c r="T707" i="3"/>
  <c r="R37" i="3"/>
  <c r="R38" i="3" s="1"/>
  <c r="T38" i="3" s="1"/>
  <c r="R41" i="3"/>
  <c r="T36" i="3"/>
  <c r="R994" i="3"/>
  <c r="T993" i="3"/>
  <c r="R195" i="3"/>
  <c r="T194" i="3"/>
  <c r="R824" i="3"/>
  <c r="T823" i="3"/>
  <c r="T255" i="3"/>
  <c r="R256" i="3"/>
  <c r="T382" i="3"/>
  <c r="R383" i="3"/>
  <c r="R1002" i="11" l="1"/>
  <c r="T1000" i="11"/>
  <c r="T718" i="11"/>
  <c r="R719" i="11"/>
  <c r="R149" i="11"/>
  <c r="T148" i="11"/>
  <c r="R202" i="11"/>
  <c r="T201" i="11"/>
  <c r="T45" i="11"/>
  <c r="R46" i="11"/>
  <c r="T387" i="11"/>
  <c r="R388" i="11"/>
  <c r="R829" i="11"/>
  <c r="T828" i="11"/>
  <c r="T259" i="11"/>
  <c r="R261" i="11"/>
  <c r="R39" i="3"/>
  <c r="T256" i="3"/>
  <c r="R257" i="3"/>
  <c r="T824" i="3"/>
  <c r="R825" i="3"/>
  <c r="R196" i="3"/>
  <c r="T195" i="3"/>
  <c r="T994" i="3"/>
  <c r="R995" i="3"/>
  <c r="R42" i="3"/>
  <c r="T41" i="3"/>
  <c r="T708" i="3"/>
  <c r="R709" i="3"/>
  <c r="T37" i="3"/>
  <c r="T383" i="3"/>
  <c r="R384" i="3"/>
  <c r="R143" i="3"/>
  <c r="T142" i="3"/>
  <c r="T829" i="11" l="1"/>
  <c r="R830" i="11"/>
  <c r="R390" i="11"/>
  <c r="T388" i="11"/>
  <c r="T46" i="11"/>
  <c r="R47" i="11"/>
  <c r="T261" i="11"/>
  <c r="R262" i="11"/>
  <c r="T202" i="11"/>
  <c r="R203" i="11"/>
  <c r="T149" i="11"/>
  <c r="R150" i="11"/>
  <c r="R720" i="11"/>
  <c r="T719" i="11"/>
  <c r="T1002" i="11"/>
  <c r="R1003" i="11"/>
  <c r="T39" i="3"/>
  <c r="R40" i="3"/>
  <c r="T40" i="3" s="1"/>
  <c r="R710" i="3"/>
  <c r="T709" i="3"/>
  <c r="T42" i="3"/>
  <c r="R43" i="3"/>
  <c r="T196" i="3"/>
  <c r="R197" i="3"/>
  <c r="R826" i="3"/>
  <c r="T825" i="3"/>
  <c r="T257" i="3"/>
  <c r="R258" i="3"/>
  <c r="T384" i="3"/>
  <c r="R385" i="3"/>
  <c r="T995" i="3"/>
  <c r="R996" i="3"/>
  <c r="T143" i="3"/>
  <c r="R144" i="3"/>
  <c r="T150" i="11" l="1"/>
  <c r="R151" i="11"/>
  <c r="R721" i="11"/>
  <c r="T720" i="11"/>
  <c r="R204" i="11"/>
  <c r="T203" i="11"/>
  <c r="R263" i="11"/>
  <c r="T262" i="11"/>
  <c r="R391" i="11"/>
  <c r="T390" i="11"/>
  <c r="T830" i="11"/>
  <c r="R831" i="11"/>
  <c r="R1004" i="11"/>
  <c r="T1003" i="11"/>
  <c r="R48" i="11"/>
  <c r="T47" i="11"/>
  <c r="T996" i="3"/>
  <c r="R997" i="3"/>
  <c r="R155" i="3"/>
  <c r="T385" i="3"/>
  <c r="T826" i="3"/>
  <c r="R828" i="3"/>
  <c r="T43" i="3"/>
  <c r="R44" i="3"/>
  <c r="R259" i="3"/>
  <c r="T258" i="3"/>
  <c r="R198" i="3"/>
  <c r="T197" i="3"/>
  <c r="T710" i="3"/>
  <c r="R711" i="3"/>
  <c r="R145" i="3"/>
  <c r="T144" i="3"/>
  <c r="R49" i="11" l="1"/>
  <c r="T49" i="11" s="1"/>
  <c r="T48" i="11"/>
  <c r="T1004" i="11"/>
  <c r="R1005" i="11"/>
  <c r="T391" i="11"/>
  <c r="R392" i="11"/>
  <c r="R205" i="11"/>
  <c r="T204" i="11"/>
  <c r="T721" i="11"/>
  <c r="R722" i="11"/>
  <c r="R152" i="11"/>
  <c r="T151" i="11"/>
  <c r="R832" i="11"/>
  <c r="T831" i="11"/>
  <c r="T263" i="11"/>
  <c r="R264" i="11"/>
  <c r="T828" i="3"/>
  <c r="R829" i="3"/>
  <c r="T997" i="3"/>
  <c r="R998" i="3"/>
  <c r="R146" i="3"/>
  <c r="T145" i="3"/>
  <c r="T711" i="3"/>
  <c r="R712" i="3"/>
  <c r="T198" i="3"/>
  <c r="R199" i="3"/>
  <c r="R261" i="3"/>
  <c r="T259" i="3"/>
  <c r="R45" i="3"/>
  <c r="T44" i="3"/>
  <c r="R156" i="3"/>
  <c r="T155" i="3"/>
  <c r="R265" i="11" l="1"/>
  <c r="T264" i="11"/>
  <c r="T832" i="11"/>
  <c r="R834" i="11"/>
  <c r="T152" i="11"/>
  <c r="R153" i="11"/>
  <c r="T205" i="11"/>
  <c r="R206" i="11"/>
  <c r="T1005" i="11"/>
  <c r="R976" i="11"/>
  <c r="R1007" i="11"/>
  <c r="R723" i="11"/>
  <c r="T722" i="11"/>
  <c r="R393" i="11"/>
  <c r="T392" i="11"/>
  <c r="R200" i="3"/>
  <c r="T199" i="3"/>
  <c r="T146" i="3"/>
  <c r="R147" i="3"/>
  <c r="R830" i="3"/>
  <c r="T829" i="3"/>
  <c r="T156" i="3"/>
  <c r="R157" i="3"/>
  <c r="T45" i="3"/>
  <c r="R46" i="3"/>
  <c r="T261" i="3"/>
  <c r="R262" i="3"/>
  <c r="R713" i="3"/>
  <c r="T712" i="3"/>
  <c r="R999" i="3"/>
  <c r="T998" i="3"/>
  <c r="T393" i="11" l="1"/>
  <c r="R394" i="11"/>
  <c r="T723" i="11"/>
  <c r="R724" i="11"/>
  <c r="R207" i="11"/>
  <c r="T206" i="11"/>
  <c r="R154" i="11"/>
  <c r="T153" i="11"/>
  <c r="T1007" i="11"/>
  <c r="R1008" i="11"/>
  <c r="T976" i="11"/>
  <c r="R977" i="11"/>
  <c r="T977" i="11" s="1"/>
  <c r="T834" i="11"/>
  <c r="R835" i="11"/>
  <c r="R266" i="11"/>
  <c r="T265" i="11"/>
  <c r="R47" i="3"/>
  <c r="T46" i="3"/>
  <c r="R386" i="3"/>
  <c r="R158" i="3"/>
  <c r="T158" i="3" s="1"/>
  <c r="T157" i="3"/>
  <c r="R148" i="3"/>
  <c r="T147" i="3"/>
  <c r="R1000" i="3"/>
  <c r="T999" i="3"/>
  <c r="T713" i="3"/>
  <c r="R714" i="3"/>
  <c r="R263" i="3"/>
  <c r="T262" i="3"/>
  <c r="R831" i="3"/>
  <c r="T830" i="3"/>
  <c r="R201" i="3"/>
  <c r="T200" i="3"/>
  <c r="R836" i="11" l="1"/>
  <c r="T835" i="11"/>
  <c r="T266" i="11"/>
  <c r="R267" i="11"/>
  <c r="R1009" i="11"/>
  <c r="T1008" i="11"/>
  <c r="R160" i="11"/>
  <c r="T154" i="11"/>
  <c r="T394" i="11"/>
  <c r="R395" i="11"/>
  <c r="T207" i="11"/>
  <c r="R209" i="11"/>
  <c r="T724" i="11"/>
  <c r="R726" i="11"/>
  <c r="T201" i="3"/>
  <c r="R202" i="3"/>
  <c r="T148" i="3"/>
  <c r="R149" i="3"/>
  <c r="T263" i="3"/>
  <c r="R264" i="3"/>
  <c r="R716" i="3"/>
  <c r="T714" i="3"/>
  <c r="T831" i="3"/>
  <c r="R832" i="3"/>
  <c r="R1002" i="3"/>
  <c r="T1000" i="3"/>
  <c r="T386" i="3"/>
  <c r="R387" i="3"/>
  <c r="R48" i="3"/>
  <c r="T47" i="3"/>
  <c r="R727" i="11" l="1"/>
  <c r="T726" i="11"/>
  <c r="R161" i="11"/>
  <c r="T160" i="11"/>
  <c r="T209" i="11"/>
  <c r="R210" i="11"/>
  <c r="R396" i="11"/>
  <c r="T395" i="11"/>
  <c r="R1010" i="11"/>
  <c r="T1010" i="11" s="1"/>
  <c r="T1009" i="11"/>
  <c r="R1011" i="11"/>
  <c r="T267" i="11"/>
  <c r="R268" i="11"/>
  <c r="T836" i="11"/>
  <c r="R837" i="11"/>
  <c r="R388" i="3"/>
  <c r="T387" i="3"/>
  <c r="T1002" i="3"/>
  <c r="R1003" i="3"/>
  <c r="T832" i="3"/>
  <c r="R834" i="3"/>
  <c r="R203" i="3"/>
  <c r="T202" i="3"/>
  <c r="T48" i="3"/>
  <c r="R49" i="3"/>
  <c r="T49" i="3" s="1"/>
  <c r="T716" i="3"/>
  <c r="R717" i="3"/>
  <c r="T264" i="3"/>
  <c r="R265" i="3"/>
  <c r="T149" i="3"/>
  <c r="R150" i="3"/>
  <c r="T268" i="11" l="1"/>
  <c r="R269" i="11"/>
  <c r="R1012" i="11"/>
  <c r="T1011" i="11"/>
  <c r="R397" i="11"/>
  <c r="T396" i="11"/>
  <c r="T161" i="11"/>
  <c r="R162" i="11"/>
  <c r="R172" i="11"/>
  <c r="T837" i="11"/>
  <c r="R838" i="11"/>
  <c r="R211" i="11"/>
  <c r="T210" i="11"/>
  <c r="R728" i="11"/>
  <c r="T727" i="11"/>
  <c r="R718" i="3"/>
  <c r="T717" i="3"/>
  <c r="T203" i="3"/>
  <c r="R204" i="3"/>
  <c r="R835" i="3"/>
  <c r="T834" i="3"/>
  <c r="R151" i="3"/>
  <c r="T150" i="3"/>
  <c r="R266" i="3"/>
  <c r="T265" i="3"/>
  <c r="R1004" i="3"/>
  <c r="T1003" i="3"/>
  <c r="T388" i="3"/>
  <c r="R390" i="3"/>
  <c r="T728" i="11" l="1"/>
  <c r="R729" i="11"/>
  <c r="T211" i="11"/>
  <c r="R212" i="11"/>
  <c r="R839" i="11"/>
  <c r="T838" i="11"/>
  <c r="T172" i="11"/>
  <c r="R173" i="11"/>
  <c r="T162" i="11"/>
  <c r="R163" i="11"/>
  <c r="T163" i="11" s="1"/>
  <c r="R398" i="11"/>
  <c r="T397" i="11"/>
  <c r="T1012" i="11"/>
  <c r="R1013" i="11"/>
  <c r="T269" i="11"/>
  <c r="R270" i="11"/>
  <c r="T1004" i="3"/>
  <c r="R1005" i="3"/>
  <c r="T266" i="3"/>
  <c r="R267" i="3"/>
  <c r="T151" i="3"/>
  <c r="R152" i="3"/>
  <c r="T390" i="3"/>
  <c r="R391" i="3"/>
  <c r="T835" i="3"/>
  <c r="R836" i="3"/>
  <c r="R205" i="3"/>
  <c r="T204" i="3"/>
  <c r="T718" i="3"/>
  <c r="R719" i="3"/>
  <c r="R271" i="11" l="1"/>
  <c r="T270" i="11"/>
  <c r="R1014" i="11"/>
  <c r="T1013" i="11"/>
  <c r="R399" i="11"/>
  <c r="T398" i="11"/>
  <c r="R174" i="11"/>
  <c r="T173" i="11"/>
  <c r="R840" i="11"/>
  <c r="T839" i="11"/>
  <c r="T212" i="11"/>
  <c r="R213" i="11"/>
  <c r="R730" i="11"/>
  <c r="T729" i="11"/>
  <c r="R206" i="3"/>
  <c r="T205" i="3"/>
  <c r="R720" i="3"/>
  <c r="T719" i="3"/>
  <c r="T836" i="3"/>
  <c r="R837" i="3"/>
  <c r="R392" i="3"/>
  <c r="T391" i="3"/>
  <c r="R153" i="3"/>
  <c r="T152" i="3"/>
  <c r="T267" i="3"/>
  <c r="R268" i="3"/>
  <c r="R976" i="3"/>
  <c r="T1005" i="3"/>
  <c r="R1007" i="3"/>
  <c r="T730" i="11" l="1"/>
  <c r="R731" i="11"/>
  <c r="R171" i="11"/>
  <c r="R214" i="11"/>
  <c r="T214" i="11" s="1"/>
  <c r="T213" i="11"/>
  <c r="R841" i="11"/>
  <c r="T840" i="11"/>
  <c r="T174" i="11"/>
  <c r="R175" i="11"/>
  <c r="T399" i="11"/>
  <c r="R400" i="11"/>
  <c r="R1015" i="11"/>
  <c r="T1014" i="11"/>
  <c r="R272" i="11"/>
  <c r="T271" i="11"/>
  <c r="R1008" i="3"/>
  <c r="T1007" i="3"/>
  <c r="R977" i="3"/>
  <c r="T977" i="3" s="1"/>
  <c r="T976" i="3"/>
  <c r="T153" i="3"/>
  <c r="R154" i="3"/>
  <c r="R393" i="3"/>
  <c r="T392" i="3"/>
  <c r="R269" i="3"/>
  <c r="T268" i="3"/>
  <c r="T837" i="3"/>
  <c r="R838" i="3"/>
  <c r="T720" i="3"/>
  <c r="R721" i="3"/>
  <c r="T206" i="3"/>
  <c r="R207" i="3"/>
  <c r="R273" i="11" l="1"/>
  <c r="T272" i="11"/>
  <c r="T1015" i="11"/>
  <c r="R1016" i="11"/>
  <c r="R401" i="11"/>
  <c r="T400" i="11"/>
  <c r="R176" i="11"/>
  <c r="T175" i="11"/>
  <c r="R842" i="11"/>
  <c r="T841" i="11"/>
  <c r="R215" i="11"/>
  <c r="T171" i="11"/>
  <c r="T731" i="11"/>
  <c r="R732" i="11"/>
  <c r="R209" i="3"/>
  <c r="T207" i="3"/>
  <c r="R722" i="3"/>
  <c r="T721" i="3"/>
  <c r="T838" i="3"/>
  <c r="R839" i="3"/>
  <c r="T269" i="3"/>
  <c r="R270" i="3"/>
  <c r="T393" i="3"/>
  <c r="R394" i="3"/>
  <c r="R160" i="3"/>
  <c r="T154" i="3"/>
  <c r="T1008" i="3"/>
  <c r="R1009" i="3"/>
  <c r="R733" i="11" l="1"/>
  <c r="T732" i="11"/>
  <c r="T215" i="11"/>
  <c r="R216" i="11"/>
  <c r="R177" i="11"/>
  <c r="T176" i="11"/>
  <c r="T401" i="11"/>
  <c r="R402" i="11"/>
  <c r="R1017" i="11"/>
  <c r="T1017" i="11" s="1"/>
  <c r="R1018" i="11"/>
  <c r="T1016" i="11"/>
  <c r="T842" i="11"/>
  <c r="R843" i="11"/>
  <c r="R274" i="11"/>
  <c r="T273" i="11"/>
  <c r="R1011" i="3"/>
  <c r="R1010" i="3"/>
  <c r="T1010" i="3" s="1"/>
  <c r="T1009" i="3"/>
  <c r="T270" i="3"/>
  <c r="R271" i="3"/>
  <c r="T839" i="3"/>
  <c r="R840" i="3"/>
  <c r="T160" i="3"/>
  <c r="R161" i="3"/>
  <c r="R395" i="3"/>
  <c r="T394" i="3"/>
  <c r="R723" i="3"/>
  <c r="T722" i="3"/>
  <c r="R210" i="3"/>
  <c r="T209" i="3"/>
  <c r="T843" i="11" l="1"/>
  <c r="R844" i="11"/>
  <c r="R1019" i="11"/>
  <c r="T1018" i="11"/>
  <c r="R403" i="11"/>
  <c r="T402" i="11"/>
  <c r="R217" i="11"/>
  <c r="T216" i="11"/>
  <c r="T274" i="11"/>
  <c r="R275" i="11"/>
  <c r="T177" i="11"/>
  <c r="R179" i="11"/>
  <c r="T733" i="11"/>
  <c r="R734" i="11"/>
  <c r="R172" i="3"/>
  <c r="R162" i="3"/>
  <c r="T161" i="3"/>
  <c r="R272" i="3"/>
  <c r="T271" i="3"/>
  <c r="T395" i="3"/>
  <c r="R396" i="3"/>
  <c r="R841" i="3"/>
  <c r="T840" i="3"/>
  <c r="T210" i="3"/>
  <c r="R211" i="3"/>
  <c r="T723" i="3"/>
  <c r="R724" i="3"/>
  <c r="T1011" i="3"/>
  <c r="R1012" i="3"/>
  <c r="R736" i="11" l="1"/>
  <c r="T734" i="11"/>
  <c r="T179" i="11"/>
  <c r="R180" i="11"/>
  <c r="T180" i="11" s="1"/>
  <c r="T217" i="11"/>
  <c r="R218" i="11"/>
  <c r="R276" i="11"/>
  <c r="T275" i="11"/>
  <c r="R404" i="11"/>
  <c r="T403" i="11"/>
  <c r="R1020" i="11"/>
  <c r="T1019" i="11"/>
  <c r="T844" i="11"/>
  <c r="R845" i="11"/>
  <c r="T1012" i="3"/>
  <c r="R1013" i="3"/>
  <c r="R726" i="3"/>
  <c r="T724" i="3"/>
  <c r="R212" i="3"/>
  <c r="T211" i="3"/>
  <c r="R842" i="3"/>
  <c r="T841" i="3"/>
  <c r="T396" i="3"/>
  <c r="R397" i="3"/>
  <c r="T272" i="3"/>
  <c r="R273" i="3"/>
  <c r="R163" i="3"/>
  <c r="T163" i="3" s="1"/>
  <c r="T162" i="3"/>
  <c r="T172" i="3"/>
  <c r="R173" i="3"/>
  <c r="T845" i="11" l="1"/>
  <c r="R846" i="11"/>
  <c r="T404" i="11"/>
  <c r="R405" i="11"/>
  <c r="R277" i="11"/>
  <c r="T276" i="11"/>
  <c r="T1020" i="11"/>
  <c r="R1021" i="11"/>
  <c r="R219" i="11"/>
  <c r="T218" i="11"/>
  <c r="R737" i="11"/>
  <c r="T736" i="11"/>
  <c r="R274" i="3"/>
  <c r="T273" i="3"/>
  <c r="R174" i="3"/>
  <c r="T173" i="3"/>
  <c r="T397" i="3"/>
  <c r="R398" i="3"/>
  <c r="R843" i="3"/>
  <c r="T842" i="3"/>
  <c r="R213" i="3"/>
  <c r="T212" i="3"/>
  <c r="R727" i="3"/>
  <c r="T726" i="3"/>
  <c r="T1013" i="3"/>
  <c r="R1014" i="3"/>
  <c r="T277" i="11" l="1"/>
  <c r="R278" i="11"/>
  <c r="T405" i="11"/>
  <c r="R407" i="11"/>
  <c r="R847" i="11"/>
  <c r="T846" i="11"/>
  <c r="R738" i="11"/>
  <c r="T737" i="11"/>
  <c r="R50" i="11"/>
  <c r="R220" i="11"/>
  <c r="T220" i="11" s="1"/>
  <c r="T219" i="11"/>
  <c r="R1022" i="11"/>
  <c r="T1022" i="11" s="1"/>
  <c r="T1021" i="11"/>
  <c r="R1023" i="11"/>
  <c r="R728" i="3"/>
  <c r="T727" i="3"/>
  <c r="T213" i="3"/>
  <c r="R214" i="3"/>
  <c r="T214" i="3" s="1"/>
  <c r="R171" i="3"/>
  <c r="R844" i="3"/>
  <c r="T843" i="3"/>
  <c r="T1014" i="3"/>
  <c r="R1015" i="3"/>
  <c r="T398" i="3"/>
  <c r="R399" i="3"/>
  <c r="T174" i="3"/>
  <c r="R175" i="3"/>
  <c r="R275" i="3"/>
  <c r="T274" i="3"/>
  <c r="R51" i="11" l="1"/>
  <c r="T50" i="11"/>
  <c r="R408" i="11"/>
  <c r="T407" i="11"/>
  <c r="R279" i="11"/>
  <c r="T278" i="11"/>
  <c r="T1023" i="11"/>
  <c r="R1024" i="11"/>
  <c r="T738" i="11"/>
  <c r="R739" i="11"/>
  <c r="T847" i="11"/>
  <c r="R848" i="11"/>
  <c r="R1016" i="3"/>
  <c r="T1015" i="3"/>
  <c r="T171" i="3"/>
  <c r="R215" i="3"/>
  <c r="T844" i="3"/>
  <c r="R845" i="3"/>
  <c r="R276" i="3"/>
  <c r="T275" i="3"/>
  <c r="R176" i="3"/>
  <c r="T175" i="3"/>
  <c r="T399" i="3"/>
  <c r="R400" i="3"/>
  <c r="T728" i="3"/>
  <c r="R729" i="3"/>
  <c r="R740" i="11" l="1"/>
  <c r="T739" i="11"/>
  <c r="R409" i="11"/>
  <c r="T408" i="11"/>
  <c r="R849" i="11"/>
  <c r="T848" i="11"/>
  <c r="R1025" i="11"/>
  <c r="T1024" i="11"/>
  <c r="T279" i="11"/>
  <c r="R280" i="11"/>
  <c r="T51" i="11"/>
  <c r="R52" i="11"/>
  <c r="R730" i="3"/>
  <c r="T729" i="3"/>
  <c r="R401" i="3"/>
  <c r="T400" i="3"/>
  <c r="R177" i="3"/>
  <c r="T176" i="3"/>
  <c r="R277" i="3"/>
  <c r="T276" i="3"/>
  <c r="R846" i="3"/>
  <c r="T845" i="3"/>
  <c r="R216" i="3"/>
  <c r="T215" i="3"/>
  <c r="R1017" i="3"/>
  <c r="T1017" i="3" s="1"/>
  <c r="R1018" i="3"/>
  <c r="T1016" i="3"/>
  <c r="R53" i="11" l="1"/>
  <c r="T52" i="11"/>
  <c r="R281" i="11"/>
  <c r="T280" i="11"/>
  <c r="R1026" i="11"/>
  <c r="T1026" i="11" s="1"/>
  <c r="T1025" i="11"/>
  <c r="R850" i="11"/>
  <c r="T849" i="11"/>
  <c r="T409" i="11"/>
  <c r="R410" i="11"/>
  <c r="R741" i="11"/>
  <c r="T740" i="11"/>
  <c r="R1019" i="3"/>
  <c r="T1018" i="3"/>
  <c r="T216" i="3"/>
  <c r="R217" i="3"/>
  <c r="T846" i="3"/>
  <c r="R847" i="3"/>
  <c r="T277" i="3"/>
  <c r="R278" i="3"/>
  <c r="R179" i="3"/>
  <c r="T177" i="3"/>
  <c r="R402" i="3"/>
  <c r="T401" i="3"/>
  <c r="T730" i="3"/>
  <c r="R731" i="3"/>
  <c r="T850" i="11" l="1"/>
  <c r="R851" i="11"/>
  <c r="T741" i="11"/>
  <c r="R742" i="11"/>
  <c r="R411" i="11"/>
  <c r="T410" i="11"/>
  <c r="T281" i="11"/>
  <c r="R283" i="11"/>
  <c r="T53" i="11"/>
  <c r="R54" i="11"/>
  <c r="R279" i="3"/>
  <c r="T278" i="3"/>
  <c r="R732" i="3"/>
  <c r="T731" i="3"/>
  <c r="R403" i="3"/>
  <c r="T402" i="3"/>
  <c r="T179" i="3"/>
  <c r="R180" i="3"/>
  <c r="T180" i="3" s="1"/>
  <c r="R848" i="3"/>
  <c r="T847" i="3"/>
  <c r="R218" i="3"/>
  <c r="T217" i="3"/>
  <c r="T1019" i="3"/>
  <c r="R1020" i="3"/>
  <c r="R55" i="11" l="1"/>
  <c r="T54" i="11"/>
  <c r="R412" i="11"/>
  <c r="T411" i="11"/>
  <c r="R743" i="11"/>
  <c r="T742" i="11"/>
  <c r="R852" i="11"/>
  <c r="T851" i="11"/>
  <c r="T283" i="11"/>
  <c r="R284" i="11"/>
  <c r="T218" i="3"/>
  <c r="R219" i="3"/>
  <c r="R849" i="3"/>
  <c r="T848" i="3"/>
  <c r="R1021" i="3"/>
  <c r="T1020" i="3"/>
  <c r="T403" i="3"/>
  <c r="R404" i="3"/>
  <c r="R733" i="3"/>
  <c r="T732" i="3"/>
  <c r="T279" i="3"/>
  <c r="R280" i="3"/>
  <c r="T284" i="11" l="1"/>
  <c r="R285" i="11"/>
  <c r="T743" i="11"/>
  <c r="R744" i="11"/>
  <c r="R853" i="11"/>
  <c r="T852" i="11"/>
  <c r="T412" i="11"/>
  <c r="R413" i="11"/>
  <c r="R56" i="11"/>
  <c r="T56" i="11" s="1"/>
  <c r="T55" i="11"/>
  <c r="R281" i="3"/>
  <c r="T280" i="3"/>
  <c r="T733" i="3"/>
  <c r="R734" i="3"/>
  <c r="T404" i="3"/>
  <c r="R405" i="3"/>
  <c r="T1021" i="3"/>
  <c r="R1023" i="3"/>
  <c r="R1022" i="3"/>
  <c r="T1022" i="3" s="1"/>
  <c r="R850" i="3"/>
  <c r="T849" i="3"/>
  <c r="R220" i="3"/>
  <c r="T220" i="3" s="1"/>
  <c r="T219" i="3"/>
  <c r="T744" i="11" l="1"/>
  <c r="R746" i="11"/>
  <c r="R286" i="11"/>
  <c r="T285" i="11"/>
  <c r="R414" i="11"/>
  <c r="T413" i="11"/>
  <c r="T853" i="11"/>
  <c r="R855" i="11"/>
  <c r="R851" i="3"/>
  <c r="T850" i="3"/>
  <c r="R1024" i="3"/>
  <c r="T1023" i="3"/>
  <c r="R736" i="3"/>
  <c r="T734" i="3"/>
  <c r="R407" i="3"/>
  <c r="T405" i="3"/>
  <c r="R283" i="3"/>
  <c r="T281" i="3"/>
  <c r="T414" i="11" l="1"/>
  <c r="R415" i="11"/>
  <c r="R747" i="11"/>
  <c r="T746" i="11"/>
  <c r="R856" i="11"/>
  <c r="T855" i="11"/>
  <c r="R287" i="11"/>
  <c r="T286" i="11"/>
  <c r="R1025" i="3"/>
  <c r="T1024" i="3"/>
  <c r="R284" i="3"/>
  <c r="T283" i="3"/>
  <c r="R408" i="3"/>
  <c r="T407" i="3"/>
  <c r="R737" i="3"/>
  <c r="T736" i="3"/>
  <c r="R852" i="3"/>
  <c r="T851" i="3"/>
  <c r="R288" i="11" l="1"/>
  <c r="T287" i="11"/>
  <c r="R857" i="11"/>
  <c r="T856" i="11"/>
  <c r="R748" i="11"/>
  <c r="T747" i="11"/>
  <c r="R416" i="11"/>
  <c r="T415" i="11"/>
  <c r="R738" i="3"/>
  <c r="T737" i="3"/>
  <c r="R50" i="3"/>
  <c r="T408" i="3"/>
  <c r="R409" i="3"/>
  <c r="T284" i="3"/>
  <c r="R285" i="3"/>
  <c r="T852" i="3"/>
  <c r="R853" i="3"/>
  <c r="R1026" i="3"/>
  <c r="T1025" i="3"/>
  <c r="R417" i="11" l="1"/>
  <c r="T416" i="11"/>
  <c r="T857" i="11"/>
  <c r="R858" i="11"/>
  <c r="T748" i="11"/>
  <c r="R749" i="11"/>
  <c r="R289" i="11"/>
  <c r="T288" i="11"/>
  <c r="T1026" i="3"/>
  <c r="T285" i="3"/>
  <c r="R286" i="3"/>
  <c r="R855" i="3"/>
  <c r="T853" i="3"/>
  <c r="R410" i="3"/>
  <c r="T409" i="3"/>
  <c r="T50" i="3"/>
  <c r="R51" i="3"/>
  <c r="T738" i="3"/>
  <c r="R739" i="3"/>
  <c r="T289" i="11" l="1"/>
  <c r="R290" i="11"/>
  <c r="T858" i="11"/>
  <c r="R859" i="11"/>
  <c r="T749" i="11"/>
  <c r="R750" i="11"/>
  <c r="T417" i="11"/>
  <c r="R418" i="11"/>
  <c r="T739" i="3"/>
  <c r="R740" i="3"/>
  <c r="T51" i="3"/>
  <c r="R52" i="3"/>
  <c r="R411" i="3"/>
  <c r="T410" i="3"/>
  <c r="R856" i="3"/>
  <c r="T855" i="3"/>
  <c r="T286" i="3"/>
  <c r="R287" i="3"/>
  <c r="R419" i="11" l="1"/>
  <c r="T418" i="11"/>
  <c r="R860" i="11"/>
  <c r="T859" i="11"/>
  <c r="R751" i="11"/>
  <c r="T750" i="11"/>
  <c r="T290" i="11"/>
  <c r="R291" i="11"/>
  <c r="T287" i="3"/>
  <c r="R288" i="3"/>
  <c r="R857" i="3"/>
  <c r="T856" i="3"/>
  <c r="R412" i="3"/>
  <c r="T411" i="3"/>
  <c r="R53" i="3"/>
  <c r="T52" i="3"/>
  <c r="R741" i="3"/>
  <c r="T740" i="3"/>
  <c r="R292" i="11" l="1"/>
  <c r="T291" i="11"/>
  <c r="R23" i="11"/>
  <c r="T751" i="11"/>
  <c r="R752" i="11"/>
  <c r="T860" i="11"/>
  <c r="R861" i="11"/>
  <c r="T419" i="11"/>
  <c r="R420" i="11"/>
  <c r="T741" i="3"/>
  <c r="R742" i="3"/>
  <c r="T53" i="3"/>
  <c r="R54" i="3"/>
  <c r="R413" i="3"/>
  <c r="T412" i="3"/>
  <c r="R858" i="3"/>
  <c r="T857" i="3"/>
  <c r="R289" i="3"/>
  <c r="T288" i="3"/>
  <c r="R421" i="11" l="1"/>
  <c r="T420" i="11"/>
  <c r="R862" i="11"/>
  <c r="T861" i="11"/>
  <c r="R753" i="11"/>
  <c r="T752" i="11"/>
  <c r="R24" i="11"/>
  <c r="T24" i="11" s="1"/>
  <c r="T23" i="11"/>
  <c r="T292" i="11"/>
  <c r="R293" i="11"/>
  <c r="R290" i="3"/>
  <c r="T289" i="3"/>
  <c r="T858" i="3"/>
  <c r="R859" i="3"/>
  <c r="R414" i="3"/>
  <c r="T413" i="3"/>
  <c r="R55" i="3"/>
  <c r="T54" i="3"/>
  <c r="R743" i="3"/>
  <c r="T742" i="3"/>
  <c r="R294" i="11" l="1"/>
  <c r="T293" i="11"/>
  <c r="R754" i="11"/>
  <c r="T753" i="11"/>
  <c r="R863" i="11"/>
  <c r="T862" i="11"/>
  <c r="T421" i="11"/>
  <c r="R422" i="11"/>
  <c r="T743" i="3"/>
  <c r="R744" i="3"/>
  <c r="R56" i="3"/>
  <c r="T56" i="3" s="1"/>
  <c r="T55" i="3"/>
  <c r="T414" i="3"/>
  <c r="R415" i="3"/>
  <c r="R860" i="3"/>
  <c r="T859" i="3"/>
  <c r="T290" i="3"/>
  <c r="R291" i="3"/>
  <c r="R864" i="11" l="1"/>
  <c r="T863" i="11"/>
  <c r="T754" i="11"/>
  <c r="R756" i="11"/>
  <c r="T422" i="11"/>
  <c r="R423" i="11"/>
  <c r="T294" i="11"/>
  <c r="R295" i="11"/>
  <c r="R292" i="3"/>
  <c r="T291" i="3"/>
  <c r="R23" i="3"/>
  <c r="R861" i="3"/>
  <c r="T860" i="3"/>
  <c r="T415" i="3"/>
  <c r="R416" i="3"/>
  <c r="T744" i="3"/>
  <c r="R746" i="3"/>
  <c r="R865" i="11" l="1"/>
  <c r="T864" i="11"/>
  <c r="R757" i="11"/>
  <c r="T756" i="11"/>
  <c r="R296" i="11"/>
  <c r="T295" i="11"/>
  <c r="R424" i="11"/>
  <c r="T423" i="11"/>
  <c r="T746" i="3"/>
  <c r="R747" i="3"/>
  <c r="T416" i="3"/>
  <c r="R417" i="3"/>
  <c r="R24" i="3"/>
  <c r="T24" i="3" s="1"/>
  <c r="T23" i="3"/>
  <c r="T861" i="3"/>
  <c r="R862" i="3"/>
  <c r="T292" i="3"/>
  <c r="R293" i="3"/>
  <c r="T424" i="11" l="1"/>
  <c r="R425" i="11"/>
  <c r="R297" i="11"/>
  <c r="T296" i="11"/>
  <c r="T757" i="11"/>
  <c r="R758" i="11"/>
  <c r="T865" i="11"/>
  <c r="R866" i="11"/>
  <c r="R294" i="3"/>
  <c r="T293" i="3"/>
  <c r="R863" i="3"/>
  <c r="T862" i="3"/>
  <c r="T417" i="3"/>
  <c r="R418" i="3"/>
  <c r="R748" i="3"/>
  <c r="T747" i="3"/>
  <c r="R867" i="11" l="1"/>
  <c r="T866" i="11"/>
  <c r="R759" i="11"/>
  <c r="T758" i="11"/>
  <c r="T297" i="11"/>
  <c r="R298" i="11"/>
  <c r="R426" i="11"/>
  <c r="T425" i="11"/>
  <c r="T748" i="3"/>
  <c r="R749" i="3"/>
  <c r="R419" i="3"/>
  <c r="T418" i="3"/>
  <c r="T863" i="3"/>
  <c r="R864" i="3"/>
  <c r="T294" i="3"/>
  <c r="R295" i="3"/>
  <c r="R427" i="11" l="1"/>
  <c r="T426" i="11"/>
  <c r="R299" i="11"/>
  <c r="T298" i="11"/>
  <c r="R760" i="11"/>
  <c r="T759" i="11"/>
  <c r="T867" i="11"/>
  <c r="R868" i="11"/>
  <c r="T295" i="3"/>
  <c r="R296" i="3"/>
  <c r="R865" i="3"/>
  <c r="T864" i="3"/>
  <c r="T419" i="3"/>
  <c r="R420" i="3"/>
  <c r="T749" i="3"/>
  <c r="R750" i="3"/>
  <c r="T868" i="11" l="1"/>
  <c r="R869" i="11"/>
  <c r="T760" i="11"/>
  <c r="R761" i="11"/>
  <c r="T299" i="11"/>
  <c r="R301" i="11"/>
  <c r="T427" i="11"/>
  <c r="R428" i="11"/>
  <c r="R751" i="3"/>
  <c r="T750" i="3"/>
  <c r="R421" i="3"/>
  <c r="T420" i="3"/>
  <c r="R866" i="3"/>
  <c r="T865" i="3"/>
  <c r="R297" i="3"/>
  <c r="T296" i="3"/>
  <c r="R302" i="11" l="1"/>
  <c r="T301" i="11"/>
  <c r="R762" i="11"/>
  <c r="T761" i="11"/>
  <c r="R429" i="11"/>
  <c r="T428" i="11"/>
  <c r="R870" i="11"/>
  <c r="T869" i="11"/>
  <c r="T297" i="3"/>
  <c r="R298" i="3"/>
  <c r="T866" i="3"/>
  <c r="R867" i="3"/>
  <c r="T421" i="3"/>
  <c r="R422" i="3"/>
  <c r="T751" i="3"/>
  <c r="R752" i="3"/>
  <c r="T870" i="11" l="1"/>
  <c r="R871" i="11"/>
  <c r="T429" i="11"/>
  <c r="R430" i="11"/>
  <c r="T762" i="11"/>
  <c r="R763" i="11"/>
  <c r="T302" i="11"/>
  <c r="R303" i="11"/>
  <c r="R753" i="3"/>
  <c r="T752" i="3"/>
  <c r="R423" i="3"/>
  <c r="T422" i="3"/>
  <c r="R868" i="3"/>
  <c r="T867" i="3"/>
  <c r="T298" i="3"/>
  <c r="R299" i="3"/>
  <c r="R304" i="11" l="1"/>
  <c r="T303" i="11"/>
  <c r="T430" i="11"/>
  <c r="R432" i="11"/>
  <c r="T763" i="11"/>
  <c r="R764" i="11"/>
  <c r="R872" i="11"/>
  <c r="T871" i="11"/>
  <c r="T868" i="3"/>
  <c r="R869" i="3"/>
  <c r="R424" i="3"/>
  <c r="T423" i="3"/>
  <c r="T299" i="3"/>
  <c r="R301" i="3"/>
  <c r="T753" i="3"/>
  <c r="R754" i="3"/>
  <c r="R766" i="11" l="1"/>
  <c r="T764" i="11"/>
  <c r="R873" i="11"/>
  <c r="T872" i="11"/>
  <c r="T432" i="11"/>
  <c r="R433" i="11"/>
  <c r="T304" i="11"/>
  <c r="R305" i="11"/>
  <c r="T754" i="3"/>
  <c r="R756" i="3"/>
  <c r="R302" i="3"/>
  <c r="T301" i="3"/>
  <c r="T424" i="3"/>
  <c r="R425" i="3"/>
  <c r="T869" i="3"/>
  <c r="R870" i="3"/>
  <c r="T305" i="11" l="1"/>
  <c r="R306" i="11"/>
  <c r="R434" i="11"/>
  <c r="T433" i="11"/>
  <c r="T873" i="11"/>
  <c r="R874" i="11"/>
  <c r="T766" i="11"/>
  <c r="R767" i="11"/>
  <c r="T302" i="3"/>
  <c r="R303" i="3"/>
  <c r="R426" i="3"/>
  <c r="T425" i="3"/>
  <c r="T756" i="3"/>
  <c r="R757" i="3"/>
  <c r="R871" i="3"/>
  <c r="T870" i="3"/>
  <c r="T874" i="11" l="1"/>
  <c r="R875" i="11"/>
  <c r="T767" i="11"/>
  <c r="R768" i="11"/>
  <c r="T434" i="11"/>
  <c r="R435" i="11"/>
  <c r="R307" i="11"/>
  <c r="T306" i="11"/>
  <c r="R427" i="3"/>
  <c r="T426" i="3"/>
  <c r="T303" i="3"/>
  <c r="R304" i="3"/>
  <c r="R872" i="3"/>
  <c r="T871" i="3"/>
  <c r="R758" i="3"/>
  <c r="T757" i="3"/>
  <c r="R436" i="11" l="1"/>
  <c r="T435" i="11"/>
  <c r="R769" i="11"/>
  <c r="T768" i="11"/>
  <c r="T307" i="11"/>
  <c r="R308" i="11"/>
  <c r="R876" i="11"/>
  <c r="T875" i="11"/>
  <c r="T758" i="3"/>
  <c r="R759" i="3"/>
  <c r="T872" i="3"/>
  <c r="R873" i="3"/>
  <c r="R305" i="3"/>
  <c r="T304" i="3"/>
  <c r="R428" i="3"/>
  <c r="T427" i="3"/>
  <c r="T876" i="11" l="1"/>
  <c r="R877" i="11"/>
  <c r="R309" i="11"/>
  <c r="T308" i="11"/>
  <c r="T769" i="11"/>
  <c r="R770" i="11"/>
  <c r="R437" i="11"/>
  <c r="T436" i="11"/>
  <c r="R429" i="3"/>
  <c r="T428" i="3"/>
  <c r="T305" i="3"/>
  <c r="R306" i="3"/>
  <c r="R874" i="3"/>
  <c r="T873" i="3"/>
  <c r="T759" i="3"/>
  <c r="R760" i="3"/>
  <c r="R771" i="11" l="1"/>
  <c r="T770" i="11"/>
  <c r="R878" i="11"/>
  <c r="T877" i="11"/>
  <c r="T437" i="11"/>
  <c r="R438" i="11"/>
  <c r="T309" i="11"/>
  <c r="R310" i="11"/>
  <c r="T874" i="3"/>
  <c r="R875" i="3"/>
  <c r="R761" i="3"/>
  <c r="T760" i="3"/>
  <c r="T306" i="3"/>
  <c r="R307" i="3"/>
  <c r="R430" i="3"/>
  <c r="T429" i="3"/>
  <c r="T310" i="11" l="1"/>
  <c r="R311" i="11"/>
  <c r="R439" i="11"/>
  <c r="T438" i="11"/>
  <c r="R879" i="11"/>
  <c r="T878" i="11"/>
  <c r="R772" i="11"/>
  <c r="T771" i="11"/>
  <c r="T761" i="3"/>
  <c r="R762" i="3"/>
  <c r="R876" i="3"/>
  <c r="T875" i="3"/>
  <c r="T430" i="3"/>
  <c r="R432" i="3"/>
  <c r="T307" i="3"/>
  <c r="R308" i="3"/>
  <c r="T772" i="11" l="1"/>
  <c r="R773" i="11"/>
  <c r="T879" i="11"/>
  <c r="R880" i="11"/>
  <c r="T439" i="11"/>
  <c r="R440" i="11"/>
  <c r="R312" i="11"/>
  <c r="T311" i="11"/>
  <c r="T432" i="3"/>
  <c r="R433" i="3"/>
  <c r="R763" i="3"/>
  <c r="T762" i="3"/>
  <c r="T308" i="3"/>
  <c r="R309" i="3"/>
  <c r="T876" i="3"/>
  <c r="R877" i="3"/>
  <c r="T312" i="11" l="1"/>
  <c r="R313" i="11"/>
  <c r="T440" i="11"/>
  <c r="R441" i="11"/>
  <c r="R881" i="11"/>
  <c r="T880" i="11"/>
  <c r="R774" i="11"/>
  <c r="T773" i="11"/>
  <c r="T877" i="3"/>
  <c r="R878" i="3"/>
  <c r="R310" i="3"/>
  <c r="T309" i="3"/>
  <c r="T763" i="3"/>
  <c r="R764" i="3"/>
  <c r="R434" i="3"/>
  <c r="T433" i="3"/>
  <c r="T774" i="11" l="1"/>
  <c r="R776" i="11"/>
  <c r="T881" i="11"/>
  <c r="R882" i="11"/>
  <c r="R442" i="11"/>
  <c r="T441" i="11"/>
  <c r="R315" i="11"/>
  <c r="T313" i="11"/>
  <c r="T310" i="3"/>
  <c r="R311" i="3"/>
  <c r="R879" i="3"/>
  <c r="T878" i="3"/>
  <c r="T434" i="3"/>
  <c r="R435" i="3"/>
  <c r="R766" i="3"/>
  <c r="T764" i="3"/>
  <c r="T315" i="11" l="1"/>
  <c r="R316" i="11"/>
  <c r="T776" i="11"/>
  <c r="R777" i="11"/>
  <c r="T442" i="11"/>
  <c r="R443" i="11"/>
  <c r="R883" i="11"/>
  <c r="T882" i="11"/>
  <c r="R436" i="3"/>
  <c r="T435" i="3"/>
  <c r="T766" i="3"/>
  <c r="R767" i="3"/>
  <c r="R880" i="3"/>
  <c r="T879" i="3"/>
  <c r="R312" i="3"/>
  <c r="T311" i="3"/>
  <c r="T883" i="11" l="1"/>
  <c r="R884" i="11"/>
  <c r="R444" i="11"/>
  <c r="T443" i="11"/>
  <c r="R778" i="11"/>
  <c r="T777" i="11"/>
  <c r="R317" i="11"/>
  <c r="T316" i="11"/>
  <c r="R313" i="3"/>
  <c r="T312" i="3"/>
  <c r="R881" i="3"/>
  <c r="T880" i="3"/>
  <c r="R768" i="3"/>
  <c r="T767" i="3"/>
  <c r="R437" i="3"/>
  <c r="T436" i="3"/>
  <c r="R318" i="11" l="1"/>
  <c r="T317" i="11"/>
  <c r="T884" i="11"/>
  <c r="R885" i="11"/>
  <c r="R779" i="11"/>
  <c r="T778" i="11"/>
  <c r="R445" i="11"/>
  <c r="T444" i="11"/>
  <c r="R438" i="3"/>
  <c r="T437" i="3"/>
  <c r="R882" i="3"/>
  <c r="T881" i="3"/>
  <c r="T768" i="3"/>
  <c r="R769" i="3"/>
  <c r="T313" i="3"/>
  <c r="R315" i="3"/>
  <c r="T445" i="11" l="1"/>
  <c r="R446" i="11"/>
  <c r="T779" i="11"/>
  <c r="R780" i="11"/>
  <c r="R886" i="11"/>
  <c r="T885" i="11"/>
  <c r="R319" i="11"/>
  <c r="T318" i="11"/>
  <c r="T315" i="3"/>
  <c r="R316" i="3"/>
  <c r="R770" i="3"/>
  <c r="T769" i="3"/>
  <c r="T882" i="3"/>
  <c r="R883" i="3"/>
  <c r="R439" i="3"/>
  <c r="T438" i="3"/>
  <c r="T319" i="11" l="1"/>
  <c r="R320" i="11"/>
  <c r="R888" i="11"/>
  <c r="T886" i="11"/>
  <c r="T780" i="11"/>
  <c r="R781" i="11"/>
  <c r="R447" i="11"/>
  <c r="T446" i="11"/>
  <c r="R440" i="3"/>
  <c r="T439" i="3"/>
  <c r="T883" i="3"/>
  <c r="R884" i="3"/>
  <c r="R771" i="3"/>
  <c r="T770" i="3"/>
  <c r="R317" i="3"/>
  <c r="T316" i="3"/>
  <c r="T447" i="11" l="1"/>
  <c r="R448" i="11"/>
  <c r="R782" i="11"/>
  <c r="T781" i="11"/>
  <c r="R889" i="11"/>
  <c r="T888" i="11"/>
  <c r="T320" i="11"/>
  <c r="R321" i="11"/>
  <c r="T317" i="3"/>
  <c r="R318" i="3"/>
  <c r="T771" i="3"/>
  <c r="R772" i="3"/>
  <c r="R885" i="3"/>
  <c r="T884" i="3"/>
  <c r="T440" i="3"/>
  <c r="R441" i="3"/>
  <c r="T321" i="11" l="1"/>
  <c r="R322" i="11"/>
  <c r="T448" i="11"/>
  <c r="R449" i="11"/>
  <c r="R890" i="11"/>
  <c r="T889" i="11"/>
  <c r="T782" i="11"/>
  <c r="R783" i="11"/>
  <c r="T885" i="3"/>
  <c r="R886" i="3"/>
  <c r="T441" i="3"/>
  <c r="R442" i="3"/>
  <c r="R773" i="3"/>
  <c r="T772" i="3"/>
  <c r="T318" i="3"/>
  <c r="R319" i="3"/>
  <c r="R891" i="11" l="1"/>
  <c r="T890" i="11"/>
  <c r="R450" i="11"/>
  <c r="T449" i="11"/>
  <c r="T322" i="11"/>
  <c r="R323" i="11"/>
  <c r="R784" i="11"/>
  <c r="T783" i="11"/>
  <c r="R320" i="3"/>
  <c r="T319" i="3"/>
  <c r="T773" i="3"/>
  <c r="R774" i="3"/>
  <c r="T442" i="3"/>
  <c r="R443" i="3"/>
  <c r="T886" i="3"/>
  <c r="R888" i="3"/>
  <c r="R786" i="11" l="1"/>
  <c r="T784" i="11"/>
  <c r="R324" i="11"/>
  <c r="T323" i="11"/>
  <c r="T450" i="11"/>
  <c r="R451" i="11"/>
  <c r="T891" i="11"/>
  <c r="R892" i="11"/>
  <c r="R889" i="3"/>
  <c r="T888" i="3"/>
  <c r="T443" i="3"/>
  <c r="R444" i="3"/>
  <c r="T774" i="3"/>
  <c r="R776" i="3"/>
  <c r="T320" i="3"/>
  <c r="R321" i="3"/>
  <c r="T892" i="11" l="1"/>
  <c r="R893" i="11"/>
  <c r="R452" i="11"/>
  <c r="T451" i="11"/>
  <c r="T324" i="11"/>
  <c r="R325" i="11"/>
  <c r="T786" i="11"/>
  <c r="R787" i="11"/>
  <c r="R322" i="3"/>
  <c r="T321" i="3"/>
  <c r="R777" i="3"/>
  <c r="T776" i="3"/>
  <c r="R445" i="3"/>
  <c r="T444" i="3"/>
  <c r="R890" i="3"/>
  <c r="T889" i="3"/>
  <c r="T787" i="11" l="1"/>
  <c r="R788" i="11"/>
  <c r="R326" i="11"/>
  <c r="T325" i="11"/>
  <c r="R454" i="11"/>
  <c r="T452" i="11"/>
  <c r="R894" i="11"/>
  <c r="T893" i="11"/>
  <c r="R891" i="3"/>
  <c r="T890" i="3"/>
  <c r="T445" i="3"/>
  <c r="R446" i="3"/>
  <c r="T777" i="3"/>
  <c r="R778" i="3"/>
  <c r="T322" i="3"/>
  <c r="R323" i="3"/>
  <c r="T894" i="11" l="1"/>
  <c r="R895" i="11"/>
  <c r="T454" i="11"/>
  <c r="R455" i="11"/>
  <c r="T326" i="11"/>
  <c r="R327" i="11"/>
  <c r="R789" i="11"/>
  <c r="T788" i="11"/>
  <c r="T323" i="3"/>
  <c r="R324" i="3"/>
  <c r="R779" i="3"/>
  <c r="T778" i="3"/>
  <c r="R447" i="3"/>
  <c r="T446" i="3"/>
  <c r="R892" i="3"/>
  <c r="T891" i="3"/>
  <c r="R456" i="11" l="1"/>
  <c r="T455" i="11"/>
  <c r="T895" i="11"/>
  <c r="R897" i="11"/>
  <c r="T789" i="11"/>
  <c r="R790" i="11"/>
  <c r="R328" i="11"/>
  <c r="T327" i="11"/>
  <c r="R893" i="3"/>
  <c r="T892" i="3"/>
  <c r="R448" i="3"/>
  <c r="T447" i="3"/>
  <c r="R780" i="3"/>
  <c r="T779" i="3"/>
  <c r="R325" i="3"/>
  <c r="T324" i="3"/>
  <c r="R329" i="11" l="1"/>
  <c r="T328" i="11"/>
  <c r="R791" i="11"/>
  <c r="T790" i="11"/>
  <c r="R898" i="11"/>
  <c r="T897" i="11"/>
  <c r="R457" i="11"/>
  <c r="T456" i="11"/>
  <c r="T325" i="3"/>
  <c r="R326" i="3"/>
  <c r="T780" i="3"/>
  <c r="R781" i="3"/>
  <c r="R449" i="3"/>
  <c r="T448" i="3"/>
  <c r="T893" i="3"/>
  <c r="R894" i="3"/>
  <c r="T457" i="11" l="1"/>
  <c r="R458" i="11"/>
  <c r="T898" i="11"/>
  <c r="R899" i="11"/>
  <c r="T791" i="11"/>
  <c r="R792" i="11"/>
  <c r="T329" i="11"/>
  <c r="R330" i="11"/>
  <c r="R895" i="3"/>
  <c r="T894" i="3"/>
  <c r="T449" i="3"/>
  <c r="R450" i="3"/>
  <c r="R782" i="3"/>
  <c r="T781" i="3"/>
  <c r="T326" i="3"/>
  <c r="R327" i="3"/>
  <c r="R793" i="11" l="1"/>
  <c r="T792" i="11"/>
  <c r="R331" i="11"/>
  <c r="T330" i="11"/>
  <c r="R900" i="11"/>
  <c r="T899" i="11"/>
  <c r="R459" i="11"/>
  <c r="T458" i="11"/>
  <c r="T450" i="3"/>
  <c r="R451" i="3"/>
  <c r="R328" i="3"/>
  <c r="T327" i="3"/>
  <c r="T782" i="3"/>
  <c r="R783" i="3"/>
  <c r="T895" i="3"/>
  <c r="R897" i="3"/>
  <c r="T459" i="11" l="1"/>
  <c r="R460" i="11"/>
  <c r="T331" i="11"/>
  <c r="R332" i="11"/>
  <c r="T900" i="11"/>
  <c r="R902" i="11"/>
  <c r="R794" i="11"/>
  <c r="T793" i="11"/>
  <c r="T897" i="3"/>
  <c r="R898" i="3"/>
  <c r="T783" i="3"/>
  <c r="R784" i="3"/>
  <c r="T328" i="3"/>
  <c r="R329" i="3"/>
  <c r="T451" i="3"/>
  <c r="R452" i="3"/>
  <c r="T332" i="11" l="1"/>
  <c r="R334" i="11"/>
  <c r="T460" i="11"/>
  <c r="R461" i="11"/>
  <c r="T794" i="11"/>
  <c r="R796" i="11"/>
  <c r="T902" i="11"/>
  <c r="R903" i="11"/>
  <c r="T452" i="3"/>
  <c r="R454" i="3"/>
  <c r="R330" i="3"/>
  <c r="T329" i="3"/>
  <c r="T784" i="3"/>
  <c r="R786" i="3"/>
  <c r="R899" i="3"/>
  <c r="T898" i="3"/>
  <c r="T903" i="11" l="1"/>
  <c r="R904" i="11"/>
  <c r="R462" i="11"/>
  <c r="T461" i="11"/>
  <c r="R335" i="11"/>
  <c r="T334" i="11"/>
  <c r="T796" i="11"/>
  <c r="R797" i="11"/>
  <c r="T330" i="3"/>
  <c r="R331" i="3"/>
  <c r="T899" i="3"/>
  <c r="R900" i="3"/>
  <c r="R787" i="3"/>
  <c r="T786" i="3"/>
  <c r="R455" i="3"/>
  <c r="T454" i="3"/>
  <c r="R798" i="11" l="1"/>
  <c r="T797" i="11"/>
  <c r="T462" i="11"/>
  <c r="R463" i="11"/>
  <c r="R905" i="11"/>
  <c r="T904" i="11"/>
  <c r="T335" i="11"/>
  <c r="R336" i="11"/>
  <c r="R456" i="3"/>
  <c r="T455" i="3"/>
  <c r="T787" i="3"/>
  <c r="R788" i="3"/>
  <c r="T900" i="3"/>
  <c r="R902" i="3"/>
  <c r="T331" i="3"/>
  <c r="R332" i="3"/>
  <c r="R464" i="11" l="1"/>
  <c r="T463" i="11"/>
  <c r="R337" i="11"/>
  <c r="T336" i="11"/>
  <c r="T905" i="11"/>
  <c r="R906" i="11"/>
  <c r="R799" i="11"/>
  <c r="T798" i="11"/>
  <c r="R334" i="3"/>
  <c r="T332" i="3"/>
  <c r="T902" i="3"/>
  <c r="R903" i="3"/>
  <c r="T788" i="3"/>
  <c r="R789" i="3"/>
  <c r="R457" i="3"/>
  <c r="T456" i="3"/>
  <c r="R800" i="11" l="1"/>
  <c r="T799" i="11"/>
  <c r="R907" i="11"/>
  <c r="T906" i="11"/>
  <c r="R338" i="11"/>
  <c r="T337" i="11"/>
  <c r="T464" i="11"/>
  <c r="R465" i="11"/>
  <c r="T457" i="3"/>
  <c r="R458" i="3"/>
  <c r="T789" i="3"/>
  <c r="R790" i="3"/>
  <c r="R904" i="3"/>
  <c r="T903" i="3"/>
  <c r="R335" i="3"/>
  <c r="T334" i="3"/>
  <c r="T338" i="11" l="1"/>
  <c r="R339" i="11"/>
  <c r="R466" i="11"/>
  <c r="T465" i="11"/>
  <c r="R908" i="11"/>
  <c r="T907" i="11"/>
  <c r="R801" i="11"/>
  <c r="T800" i="11"/>
  <c r="T335" i="3"/>
  <c r="R336" i="3"/>
  <c r="T904" i="3"/>
  <c r="R905" i="3"/>
  <c r="T790" i="3"/>
  <c r="R791" i="3"/>
  <c r="R459" i="3"/>
  <c r="T458" i="3"/>
  <c r="T801" i="11" l="1"/>
  <c r="R802" i="11"/>
  <c r="T908" i="11"/>
  <c r="R909" i="11"/>
  <c r="R467" i="11"/>
  <c r="T466" i="11"/>
  <c r="T339" i="11"/>
  <c r="R340" i="11"/>
  <c r="T459" i="3"/>
  <c r="R460" i="3"/>
  <c r="T791" i="3"/>
  <c r="R792" i="3"/>
  <c r="R906" i="3"/>
  <c r="T905" i="3"/>
  <c r="R337" i="3"/>
  <c r="T336" i="3"/>
  <c r="T467" i="11" l="1"/>
  <c r="R469" i="11"/>
  <c r="T909" i="11"/>
  <c r="R910" i="11"/>
  <c r="T802" i="11"/>
  <c r="R803" i="11"/>
  <c r="R341" i="11"/>
  <c r="T340" i="11"/>
  <c r="R338" i="3"/>
  <c r="T337" i="3"/>
  <c r="T460" i="3"/>
  <c r="R461" i="3"/>
  <c r="R907" i="3"/>
  <c r="T906" i="3"/>
  <c r="R793" i="3"/>
  <c r="T792" i="3"/>
  <c r="R804" i="11" l="1"/>
  <c r="T804" i="11" s="1"/>
  <c r="T803" i="11"/>
  <c r="T469" i="11"/>
  <c r="R470" i="11"/>
  <c r="T341" i="11"/>
  <c r="R342" i="11"/>
  <c r="R911" i="11"/>
  <c r="T910" i="11"/>
  <c r="T793" i="3"/>
  <c r="R794" i="3"/>
  <c r="R908" i="3"/>
  <c r="T907" i="3"/>
  <c r="R462" i="3"/>
  <c r="T461" i="3"/>
  <c r="T338" i="3"/>
  <c r="R339" i="3"/>
  <c r="R471" i="11" l="1"/>
  <c r="T470" i="11"/>
  <c r="T911" i="11"/>
  <c r="R912" i="11"/>
  <c r="R343" i="11"/>
  <c r="T342" i="11"/>
  <c r="R340" i="3"/>
  <c r="T339" i="3"/>
  <c r="R909" i="3"/>
  <c r="T908" i="3"/>
  <c r="T794" i="3"/>
  <c r="R796" i="3"/>
  <c r="T462" i="3"/>
  <c r="R463" i="3"/>
  <c r="R913" i="11" l="1"/>
  <c r="T912" i="11"/>
  <c r="T343" i="11"/>
  <c r="R344" i="11"/>
  <c r="T471" i="11"/>
  <c r="R473" i="11"/>
  <c r="R797" i="3"/>
  <c r="T796" i="3"/>
  <c r="R464" i="3"/>
  <c r="T463" i="3"/>
  <c r="T909" i="3"/>
  <c r="R910" i="3"/>
  <c r="R341" i="3"/>
  <c r="T340" i="3"/>
  <c r="R345" i="11" l="1"/>
  <c r="T344" i="11"/>
  <c r="T473" i="11"/>
  <c r="R474" i="11"/>
  <c r="R914" i="11"/>
  <c r="T913" i="11"/>
  <c r="T341" i="3"/>
  <c r="R342" i="3"/>
  <c r="T910" i="3"/>
  <c r="R911" i="3"/>
  <c r="R465" i="3"/>
  <c r="T464" i="3"/>
  <c r="T797" i="3"/>
  <c r="R798" i="3"/>
  <c r="T914" i="11" l="1"/>
  <c r="R915" i="11"/>
  <c r="R475" i="11"/>
  <c r="T474" i="11"/>
  <c r="R346" i="11"/>
  <c r="T345" i="11"/>
  <c r="R799" i="3"/>
  <c r="T798" i="3"/>
  <c r="T465" i="3"/>
  <c r="R466" i="3"/>
  <c r="R912" i="3"/>
  <c r="T911" i="3"/>
  <c r="R343" i="3"/>
  <c r="T342" i="3"/>
  <c r="T346" i="11" l="1"/>
  <c r="R347" i="11"/>
  <c r="R916" i="11"/>
  <c r="T915" i="11"/>
  <c r="T475" i="11"/>
  <c r="R476" i="11"/>
  <c r="T343" i="3"/>
  <c r="R344" i="3"/>
  <c r="T912" i="3"/>
  <c r="R913" i="3"/>
  <c r="R467" i="3"/>
  <c r="T466" i="3"/>
  <c r="R800" i="3"/>
  <c r="T799" i="3"/>
  <c r="T916" i="11" l="1"/>
  <c r="R917" i="11"/>
  <c r="R348" i="11"/>
  <c r="T347" i="11"/>
  <c r="T476" i="11"/>
  <c r="R477" i="11"/>
  <c r="T800" i="3"/>
  <c r="R801" i="3"/>
  <c r="T467" i="3"/>
  <c r="R469" i="3"/>
  <c r="R914" i="3"/>
  <c r="T913" i="3"/>
  <c r="R345" i="3"/>
  <c r="T344" i="3"/>
  <c r="R478" i="11" l="1"/>
  <c r="T477" i="11"/>
  <c r="R918" i="11"/>
  <c r="T917" i="11"/>
  <c r="T348" i="11"/>
  <c r="R349" i="11"/>
  <c r="T469" i="3"/>
  <c r="R470" i="3"/>
  <c r="R346" i="3"/>
  <c r="T345" i="3"/>
  <c r="R915" i="3"/>
  <c r="T914" i="3"/>
  <c r="R802" i="3"/>
  <c r="T801" i="3"/>
  <c r="T349" i="11" l="1"/>
  <c r="R350" i="11"/>
  <c r="T918" i="11"/>
  <c r="R919" i="11"/>
  <c r="T478" i="11"/>
  <c r="R479" i="11"/>
  <c r="T802" i="3"/>
  <c r="R803" i="3"/>
  <c r="R916" i="3"/>
  <c r="T915" i="3"/>
  <c r="T346" i="3"/>
  <c r="R347" i="3"/>
  <c r="R471" i="3"/>
  <c r="T470" i="3"/>
  <c r="R351" i="11" l="1"/>
  <c r="T350" i="11"/>
  <c r="T479" i="11"/>
  <c r="R480" i="11"/>
  <c r="T919" i="11"/>
  <c r="R920" i="11"/>
  <c r="T471" i="3"/>
  <c r="R473" i="3"/>
  <c r="R348" i="3"/>
  <c r="T347" i="3"/>
  <c r="R917" i="3"/>
  <c r="T916" i="3"/>
  <c r="R804" i="3"/>
  <c r="T804" i="3" s="1"/>
  <c r="T803" i="3"/>
  <c r="R921" i="11" l="1"/>
  <c r="T920" i="11"/>
  <c r="R481" i="11"/>
  <c r="T480" i="11"/>
  <c r="R352" i="11"/>
  <c r="T351" i="11"/>
  <c r="T917" i="3"/>
  <c r="R918" i="3"/>
  <c r="R349" i="3"/>
  <c r="T348" i="3"/>
  <c r="T473" i="3"/>
  <c r="R474" i="3"/>
  <c r="T352" i="11" l="1"/>
  <c r="R353" i="11"/>
  <c r="T481" i="11"/>
  <c r="R482" i="11"/>
  <c r="T921" i="11"/>
  <c r="R922" i="11"/>
  <c r="T474" i="3"/>
  <c r="R475" i="3"/>
  <c r="T349" i="3"/>
  <c r="R350" i="3"/>
  <c r="T918" i="3"/>
  <c r="R919" i="3"/>
  <c r="T922" i="11" l="1"/>
  <c r="R923" i="11"/>
  <c r="R487" i="11"/>
  <c r="T482" i="11"/>
  <c r="R483" i="11"/>
  <c r="R354" i="11"/>
  <c r="T353" i="11"/>
  <c r="R476" i="3"/>
  <c r="T475" i="3"/>
  <c r="R920" i="3"/>
  <c r="T919" i="3"/>
  <c r="R351" i="3"/>
  <c r="T350" i="3"/>
  <c r="T354" i="11" l="1"/>
  <c r="R355" i="11"/>
  <c r="R484" i="11"/>
  <c r="T483" i="11"/>
  <c r="R488" i="11"/>
  <c r="T487" i="11"/>
  <c r="R924" i="11"/>
  <c r="T923" i="11"/>
  <c r="T351" i="3"/>
  <c r="R352" i="3"/>
  <c r="T920" i="3"/>
  <c r="R921" i="3"/>
  <c r="T476" i="3"/>
  <c r="R477" i="3"/>
  <c r="T924" i="11" l="1"/>
  <c r="R925" i="11"/>
  <c r="R356" i="11"/>
  <c r="T355" i="11"/>
  <c r="T488" i="11"/>
  <c r="R489" i="11"/>
  <c r="T484" i="11"/>
  <c r="R485" i="11"/>
  <c r="T485" i="11" s="1"/>
  <c r="R353" i="3"/>
  <c r="T352" i="3"/>
  <c r="R478" i="3"/>
  <c r="T477" i="3"/>
  <c r="R922" i="3"/>
  <c r="T921" i="3"/>
  <c r="R490" i="11" l="1"/>
  <c r="T489" i="11"/>
  <c r="T925" i="11"/>
  <c r="R926" i="11"/>
  <c r="T356" i="11"/>
  <c r="R357" i="11"/>
  <c r="R923" i="3"/>
  <c r="T922" i="3"/>
  <c r="R479" i="3"/>
  <c r="T478" i="3"/>
  <c r="R354" i="3"/>
  <c r="T353" i="3"/>
  <c r="R927" i="11" l="1"/>
  <c r="T926" i="11"/>
  <c r="T357" i="11"/>
  <c r="R358" i="11"/>
  <c r="T490" i="11"/>
  <c r="R491" i="11"/>
  <c r="T354" i="3"/>
  <c r="R355" i="3"/>
  <c r="T479" i="3"/>
  <c r="R480" i="3"/>
  <c r="R924" i="3"/>
  <c r="T923" i="3"/>
  <c r="R360" i="11" l="1"/>
  <c r="T358" i="11"/>
  <c r="R492" i="11"/>
  <c r="T491" i="11"/>
  <c r="T927" i="11"/>
  <c r="R928" i="11"/>
  <c r="R356" i="3"/>
  <c r="T355" i="3"/>
  <c r="R925" i="3"/>
  <c r="T924" i="3"/>
  <c r="R481" i="3"/>
  <c r="T480" i="3"/>
  <c r="R929" i="11" l="1"/>
  <c r="T928" i="11"/>
  <c r="R493" i="11"/>
  <c r="T492" i="11"/>
  <c r="R361" i="11"/>
  <c r="T360" i="11"/>
  <c r="T481" i="3"/>
  <c r="R482" i="3"/>
  <c r="T925" i="3"/>
  <c r="R926" i="3"/>
  <c r="R357" i="3"/>
  <c r="T356" i="3"/>
  <c r="T361" i="11" l="1"/>
  <c r="R362" i="11"/>
  <c r="T493" i="11"/>
  <c r="R494" i="11"/>
  <c r="R930" i="11"/>
  <c r="T929" i="11"/>
  <c r="T926" i="3"/>
  <c r="R927" i="3"/>
  <c r="R483" i="3"/>
  <c r="R487" i="3"/>
  <c r="T482" i="3"/>
  <c r="T357" i="3"/>
  <c r="R358" i="3"/>
  <c r="T930" i="11" l="1"/>
  <c r="R931" i="11"/>
  <c r="T494" i="11"/>
  <c r="R495" i="11"/>
  <c r="R363" i="11"/>
  <c r="T362" i="11"/>
  <c r="R58" i="11"/>
  <c r="T58" i="11" s="1"/>
  <c r="R484" i="3"/>
  <c r="T483" i="3"/>
  <c r="R928" i="3"/>
  <c r="T927" i="3"/>
  <c r="R360" i="3"/>
  <c r="T358" i="3"/>
  <c r="R488" i="3"/>
  <c r="T487" i="3"/>
  <c r="R364" i="11" l="1"/>
  <c r="R59" i="11"/>
  <c r="T59" i="11" s="1"/>
  <c r="T363" i="11"/>
  <c r="R496" i="11"/>
  <c r="T495" i="11"/>
  <c r="R932" i="11"/>
  <c r="T931" i="11"/>
  <c r="R361" i="3"/>
  <c r="T360" i="3"/>
  <c r="R489" i="3"/>
  <c r="T488" i="3"/>
  <c r="T928" i="3"/>
  <c r="R929" i="3"/>
  <c r="T484" i="3"/>
  <c r="R485" i="3"/>
  <c r="T485" i="3" s="1"/>
  <c r="T932" i="11" l="1"/>
  <c r="R933" i="11"/>
  <c r="T496" i="11"/>
  <c r="R497" i="11"/>
  <c r="R365" i="11"/>
  <c r="T364" i="11"/>
  <c r="R930" i="3"/>
  <c r="T929" i="3"/>
  <c r="R490" i="3"/>
  <c r="T489" i="3"/>
  <c r="T361" i="3"/>
  <c r="R362" i="3"/>
  <c r="R366" i="11" l="1"/>
  <c r="T366" i="11" s="1"/>
  <c r="R367" i="11"/>
  <c r="T365" i="11"/>
  <c r="R498" i="11"/>
  <c r="T497" i="11"/>
  <c r="R934" i="11"/>
  <c r="T933" i="11"/>
  <c r="R363" i="3"/>
  <c r="T362" i="3"/>
  <c r="R58" i="3"/>
  <c r="R491" i="3"/>
  <c r="T490" i="3"/>
  <c r="R931" i="3"/>
  <c r="T930" i="3"/>
  <c r="T367" i="11" l="1"/>
  <c r="R63" i="11"/>
  <c r="T934" i="11"/>
  <c r="R935" i="11"/>
  <c r="R499" i="11"/>
  <c r="T498" i="11"/>
  <c r="R932" i="3"/>
  <c r="T931" i="3"/>
  <c r="T491" i="3"/>
  <c r="R492" i="3"/>
  <c r="T58" i="3"/>
  <c r="T363" i="3"/>
  <c r="R364" i="3"/>
  <c r="R59" i="3"/>
  <c r="T59" i="3" s="1"/>
  <c r="T499" i="11" l="1"/>
  <c r="R500" i="11"/>
  <c r="T935" i="11"/>
  <c r="R936" i="11"/>
  <c r="T63" i="11"/>
  <c r="R64" i="11"/>
  <c r="T492" i="3"/>
  <c r="R493" i="3"/>
  <c r="T364" i="3"/>
  <c r="R365" i="3"/>
  <c r="R933" i="3"/>
  <c r="T932" i="3"/>
  <c r="R937" i="11" l="1"/>
  <c r="T936" i="11"/>
  <c r="R501" i="11"/>
  <c r="T500" i="11"/>
  <c r="T64" i="11"/>
  <c r="R65" i="11"/>
  <c r="T933" i="3"/>
  <c r="R934" i="3"/>
  <c r="R366" i="3"/>
  <c r="T366" i="3" s="1"/>
  <c r="R367" i="3"/>
  <c r="T365" i="3"/>
  <c r="R494" i="3"/>
  <c r="T493" i="3"/>
  <c r="R66" i="11" l="1"/>
  <c r="T65" i="11"/>
  <c r="T501" i="11"/>
  <c r="R502" i="11"/>
  <c r="T937" i="11"/>
  <c r="R938" i="11"/>
  <c r="T494" i="3"/>
  <c r="R495" i="3"/>
  <c r="R63" i="3"/>
  <c r="T367" i="3"/>
  <c r="T934" i="3"/>
  <c r="R935" i="3"/>
  <c r="R939" i="11" l="1"/>
  <c r="T938" i="11"/>
  <c r="R503" i="11"/>
  <c r="T502" i="11"/>
  <c r="R67" i="11"/>
  <c r="T66" i="11"/>
  <c r="R936" i="3"/>
  <c r="T935" i="3"/>
  <c r="T63" i="3"/>
  <c r="R64" i="3"/>
  <c r="R496" i="3"/>
  <c r="T495" i="3"/>
  <c r="R68" i="11" l="1"/>
  <c r="T67" i="11"/>
  <c r="T503" i="11"/>
  <c r="R504" i="11"/>
  <c r="R940" i="11"/>
  <c r="T939" i="11"/>
  <c r="T496" i="3"/>
  <c r="R497" i="3"/>
  <c r="R65" i="3"/>
  <c r="T64" i="3"/>
  <c r="T936" i="3"/>
  <c r="R937" i="3"/>
  <c r="T504" i="11" l="1"/>
  <c r="R505" i="11"/>
  <c r="T940" i="11"/>
  <c r="R941" i="11"/>
  <c r="T68" i="11"/>
  <c r="R69" i="11"/>
  <c r="R938" i="3"/>
  <c r="T937" i="3"/>
  <c r="R66" i="3"/>
  <c r="T65" i="3"/>
  <c r="T497" i="3"/>
  <c r="R498" i="3"/>
  <c r="R70" i="11" l="1"/>
  <c r="T69" i="11"/>
  <c r="T941" i="11"/>
  <c r="R942" i="11"/>
  <c r="R506" i="11"/>
  <c r="T505" i="11"/>
  <c r="R499" i="3"/>
  <c r="T498" i="3"/>
  <c r="T66" i="3"/>
  <c r="R67" i="3"/>
  <c r="R939" i="3"/>
  <c r="T938" i="3"/>
  <c r="R507" i="11" l="1"/>
  <c r="T506" i="11"/>
  <c r="R943" i="11"/>
  <c r="T942" i="11"/>
  <c r="T70" i="11"/>
  <c r="R71" i="11"/>
  <c r="R940" i="3"/>
  <c r="T939" i="3"/>
  <c r="R68" i="3"/>
  <c r="T67" i="3"/>
  <c r="T499" i="3"/>
  <c r="R500" i="3"/>
  <c r="T943" i="11" l="1"/>
  <c r="R944" i="11"/>
  <c r="T71" i="11"/>
  <c r="R72" i="11"/>
  <c r="T507" i="11"/>
  <c r="R508" i="11"/>
  <c r="R501" i="3"/>
  <c r="T500" i="3"/>
  <c r="T68" i="3"/>
  <c r="R69" i="3"/>
  <c r="R941" i="3"/>
  <c r="T940" i="3"/>
  <c r="R509" i="11" l="1"/>
  <c r="T508" i="11"/>
  <c r="R945" i="11"/>
  <c r="T944" i="11"/>
  <c r="R74" i="11"/>
  <c r="T72" i="11"/>
  <c r="T941" i="3"/>
  <c r="R942" i="3"/>
  <c r="T69" i="3"/>
  <c r="R70" i="3"/>
  <c r="T501" i="3"/>
  <c r="R502" i="3"/>
  <c r="T74" i="11" l="1"/>
  <c r="R75" i="11"/>
  <c r="T945" i="11"/>
  <c r="R946" i="11"/>
  <c r="T509" i="11"/>
  <c r="R510" i="11"/>
  <c r="T502" i="3"/>
  <c r="R503" i="3"/>
  <c r="R71" i="3"/>
  <c r="T70" i="3"/>
  <c r="T942" i="3"/>
  <c r="R943" i="3"/>
  <c r="T510" i="11" l="1"/>
  <c r="R511" i="11"/>
  <c r="R947" i="11"/>
  <c r="T946" i="11"/>
  <c r="R76" i="11"/>
  <c r="T75" i="11"/>
  <c r="R944" i="3"/>
  <c r="T943" i="3"/>
  <c r="T71" i="3"/>
  <c r="R72" i="3"/>
  <c r="R504" i="3"/>
  <c r="T503" i="3"/>
  <c r="T76" i="11" l="1"/>
  <c r="R77" i="11"/>
  <c r="R948" i="11"/>
  <c r="T947" i="11"/>
  <c r="R513" i="11"/>
  <c r="T511" i="11"/>
  <c r="T504" i="3"/>
  <c r="R505" i="3"/>
  <c r="T72" i="3"/>
  <c r="R74" i="3"/>
  <c r="T944" i="3"/>
  <c r="R945" i="3"/>
  <c r="S513" i="11" l="1"/>
  <c r="T513" i="11" s="1"/>
  <c r="R514" i="11"/>
  <c r="T77" i="11"/>
  <c r="R78" i="11"/>
  <c r="T948" i="11"/>
  <c r="R949" i="11"/>
  <c r="R946" i="3"/>
  <c r="T945" i="3"/>
  <c r="R75" i="3"/>
  <c r="T74" i="3"/>
  <c r="R506" i="3"/>
  <c r="T505" i="3"/>
  <c r="R950" i="11" l="1"/>
  <c r="R955" i="11"/>
  <c r="T949" i="11"/>
  <c r="R79" i="11"/>
  <c r="T78" i="11"/>
  <c r="R515" i="11"/>
  <c r="T514" i="11"/>
  <c r="T506" i="3"/>
  <c r="R507" i="3"/>
  <c r="T75" i="3"/>
  <c r="R76" i="3"/>
  <c r="T946" i="3"/>
  <c r="R947" i="3"/>
  <c r="R516" i="11" l="1"/>
  <c r="T515" i="11"/>
  <c r="T79" i="11"/>
  <c r="R80" i="11"/>
  <c r="T955" i="11"/>
  <c r="R956" i="11"/>
  <c r="T950" i="11"/>
  <c r="R951" i="11"/>
  <c r="R948" i="3"/>
  <c r="T947" i="3"/>
  <c r="T76" i="3"/>
  <c r="R77" i="3"/>
  <c r="R508" i="3"/>
  <c r="T507" i="3"/>
  <c r="R952" i="11" l="1"/>
  <c r="T951" i="11"/>
  <c r="T956" i="11"/>
  <c r="R957" i="11"/>
  <c r="R81" i="11"/>
  <c r="T80" i="11"/>
  <c r="T516" i="11"/>
  <c r="R517" i="11"/>
  <c r="R509" i="3"/>
  <c r="T508" i="3"/>
  <c r="R78" i="3"/>
  <c r="T77" i="3"/>
  <c r="R949" i="3"/>
  <c r="T948" i="3"/>
  <c r="R958" i="11" l="1"/>
  <c r="T957" i="11"/>
  <c r="R518" i="11"/>
  <c r="T517" i="11"/>
  <c r="T81" i="11"/>
  <c r="R82" i="11"/>
  <c r="R953" i="11"/>
  <c r="T953" i="11" s="1"/>
  <c r="T952" i="11"/>
  <c r="T949" i="3"/>
  <c r="R950" i="3"/>
  <c r="R955" i="3"/>
  <c r="T78" i="3"/>
  <c r="R79" i="3"/>
  <c r="T509" i="3"/>
  <c r="R510" i="3"/>
  <c r="T82" i="11" l="1"/>
  <c r="R83" i="11"/>
  <c r="T518" i="11"/>
  <c r="R519" i="11"/>
  <c r="T958" i="11"/>
  <c r="R959" i="11"/>
  <c r="T510" i="3"/>
  <c r="R511" i="3"/>
  <c r="R80" i="3"/>
  <c r="T79" i="3"/>
  <c r="R956" i="3"/>
  <c r="T955" i="3"/>
  <c r="T950" i="3"/>
  <c r="R951" i="3"/>
  <c r="R960" i="11" l="1"/>
  <c r="T959" i="11"/>
  <c r="R520" i="11"/>
  <c r="T519" i="11"/>
  <c r="T83" i="11"/>
  <c r="R85" i="11"/>
  <c r="R952" i="3"/>
  <c r="T951" i="3"/>
  <c r="R957" i="3"/>
  <c r="T956" i="3"/>
  <c r="R81" i="3"/>
  <c r="T80" i="3"/>
  <c r="R513" i="3"/>
  <c r="T511" i="3"/>
  <c r="R86" i="11" l="1"/>
  <c r="T85" i="11"/>
  <c r="R521" i="11"/>
  <c r="T520" i="11"/>
  <c r="R961" i="11"/>
  <c r="T960" i="11"/>
  <c r="R514" i="3"/>
  <c r="S513" i="3"/>
  <c r="T513" i="3" s="1"/>
  <c r="T81" i="3"/>
  <c r="R82" i="3"/>
  <c r="R958" i="3"/>
  <c r="T957" i="3"/>
  <c r="T952" i="3"/>
  <c r="R953" i="3"/>
  <c r="T953" i="3" s="1"/>
  <c r="T961" i="11" l="1"/>
  <c r="R962" i="11"/>
  <c r="T521" i="11"/>
  <c r="R522" i="11"/>
  <c r="T86" i="11"/>
  <c r="R87" i="11"/>
  <c r="R959" i="3"/>
  <c r="T958" i="3"/>
  <c r="R83" i="3"/>
  <c r="T82" i="3"/>
  <c r="R515" i="3"/>
  <c r="T514" i="3"/>
  <c r="T87" i="11" l="1"/>
  <c r="R88" i="11"/>
  <c r="T522" i="11"/>
  <c r="R523" i="11"/>
  <c r="R963" i="11"/>
  <c r="T962" i="11"/>
  <c r="T515" i="3"/>
  <c r="R516" i="3"/>
  <c r="T83" i="3"/>
  <c r="R85" i="3"/>
  <c r="T959" i="3"/>
  <c r="R960" i="3"/>
  <c r="T963" i="11" l="1"/>
  <c r="R964" i="11"/>
  <c r="R524" i="11"/>
  <c r="T523" i="11"/>
  <c r="T88" i="11"/>
  <c r="R89" i="11"/>
  <c r="T960" i="3"/>
  <c r="R961" i="3"/>
  <c r="T85" i="3"/>
  <c r="R86" i="3"/>
  <c r="R517" i="3"/>
  <c r="T516" i="3"/>
  <c r="T89" i="11" l="1"/>
  <c r="R90" i="11"/>
  <c r="T524" i="11"/>
  <c r="R525" i="11"/>
  <c r="R965" i="11"/>
  <c r="T964" i="11"/>
  <c r="T517" i="3"/>
  <c r="R518" i="3"/>
  <c r="T86" i="3"/>
  <c r="R87" i="3"/>
  <c r="R962" i="3"/>
  <c r="T961" i="3"/>
  <c r="T965" i="11" l="1"/>
  <c r="R966" i="11"/>
  <c r="R526" i="11"/>
  <c r="T525" i="11"/>
  <c r="T90" i="11"/>
  <c r="R91" i="11"/>
  <c r="T962" i="3"/>
  <c r="R963" i="3"/>
  <c r="R88" i="3"/>
  <c r="T87" i="3"/>
  <c r="T518" i="3"/>
  <c r="R519" i="3"/>
  <c r="R527" i="11" l="1"/>
  <c r="T526" i="11"/>
  <c r="R92" i="11"/>
  <c r="T91" i="11"/>
  <c r="T966" i="11"/>
  <c r="R967" i="11"/>
  <c r="T519" i="3"/>
  <c r="R520" i="3"/>
  <c r="T88" i="3"/>
  <c r="R89" i="3"/>
  <c r="R964" i="3"/>
  <c r="T963" i="3"/>
  <c r="R968" i="11" l="1"/>
  <c r="T967" i="11"/>
  <c r="T92" i="11"/>
  <c r="R93" i="11"/>
  <c r="T527" i="11"/>
  <c r="R528" i="11"/>
  <c r="R965" i="3"/>
  <c r="T964" i="3"/>
  <c r="R90" i="3"/>
  <c r="T89" i="3"/>
  <c r="T520" i="3"/>
  <c r="R521" i="3"/>
  <c r="T528" i="11" l="1"/>
  <c r="R529" i="11"/>
  <c r="R94" i="11"/>
  <c r="T93" i="11"/>
  <c r="T968" i="11"/>
  <c r="R969" i="11"/>
  <c r="T521" i="3"/>
  <c r="R522" i="3"/>
  <c r="R91" i="3"/>
  <c r="T90" i="3"/>
  <c r="R966" i="3"/>
  <c r="T965" i="3"/>
  <c r="T969" i="11" l="1"/>
  <c r="R970" i="11"/>
  <c r="R95" i="11"/>
  <c r="T94" i="11"/>
  <c r="R530" i="11"/>
  <c r="T529" i="11"/>
  <c r="R967" i="3"/>
  <c r="T966" i="3"/>
  <c r="T91" i="3"/>
  <c r="R92" i="3"/>
  <c r="R523" i="3"/>
  <c r="T522" i="3"/>
  <c r="R971" i="11" l="1"/>
  <c r="T970" i="11"/>
  <c r="T530" i="11"/>
  <c r="R531" i="11"/>
  <c r="R96" i="11"/>
  <c r="T95" i="11"/>
  <c r="T523" i="3"/>
  <c r="R524" i="3"/>
  <c r="R93" i="3"/>
  <c r="T92" i="3"/>
  <c r="T967" i="3"/>
  <c r="R968" i="3"/>
  <c r="T96" i="11" l="1"/>
  <c r="R97" i="11"/>
  <c r="R532" i="11"/>
  <c r="S531" i="11"/>
  <c r="T531" i="11" s="1"/>
  <c r="T971" i="11"/>
  <c r="R972" i="11"/>
  <c r="T968" i="3"/>
  <c r="R969" i="3"/>
  <c r="T93" i="3"/>
  <c r="R94" i="3"/>
  <c r="R525" i="3"/>
  <c r="T524" i="3"/>
  <c r="T97" i="11" l="1"/>
  <c r="R98" i="11"/>
  <c r="T972" i="11"/>
  <c r="R973" i="11"/>
  <c r="R533" i="11"/>
  <c r="T532" i="11"/>
  <c r="T525" i="3"/>
  <c r="R526" i="3"/>
  <c r="T94" i="3"/>
  <c r="R95" i="3"/>
  <c r="R970" i="3"/>
  <c r="T969" i="3"/>
  <c r="R974" i="11" l="1"/>
  <c r="T974" i="11" s="1"/>
  <c r="T973" i="11"/>
  <c r="T98" i="11"/>
  <c r="R99" i="11"/>
  <c r="T533" i="11"/>
  <c r="R540" i="11"/>
  <c r="R535" i="11"/>
  <c r="T970" i="3"/>
  <c r="R971" i="3"/>
  <c r="R96" i="3"/>
  <c r="T95" i="3"/>
  <c r="R527" i="3"/>
  <c r="T526" i="3"/>
  <c r="R100" i="11" l="1"/>
  <c r="T99" i="11"/>
  <c r="T535" i="11"/>
  <c r="R536" i="11"/>
  <c r="T540" i="11"/>
  <c r="R541" i="11"/>
  <c r="T527" i="3"/>
  <c r="R528" i="3"/>
  <c r="T96" i="3"/>
  <c r="R97" i="3"/>
  <c r="R972" i="3"/>
  <c r="T971" i="3"/>
  <c r="R537" i="11" l="1"/>
  <c r="T536" i="11"/>
  <c r="R542" i="11"/>
  <c r="R548" i="11"/>
  <c r="T541" i="11"/>
  <c r="T100" i="11"/>
  <c r="R101" i="11"/>
  <c r="R973" i="3"/>
  <c r="T972" i="3"/>
  <c r="R98" i="3"/>
  <c r="T97" i="3"/>
  <c r="R529" i="3"/>
  <c r="T528" i="3"/>
  <c r="R103" i="11" l="1"/>
  <c r="T101" i="11"/>
  <c r="R549" i="11"/>
  <c r="T548" i="11"/>
  <c r="T542" i="11"/>
  <c r="R543" i="11"/>
  <c r="T537" i="11"/>
  <c r="R538" i="11"/>
  <c r="T529" i="3"/>
  <c r="R530" i="3"/>
  <c r="R99" i="3"/>
  <c r="T98" i="3"/>
  <c r="R974" i="3"/>
  <c r="T974" i="3" s="1"/>
  <c r="T973" i="3"/>
  <c r="R539" i="11" l="1"/>
  <c r="T539" i="11" s="1"/>
  <c r="T538" i="11"/>
  <c r="T543" i="11"/>
  <c r="R544" i="11"/>
  <c r="R550" i="11"/>
  <c r="T549" i="11"/>
  <c r="R104" i="11"/>
  <c r="T103" i="11"/>
  <c r="T99" i="3"/>
  <c r="R100" i="3"/>
  <c r="T530" i="3"/>
  <c r="R531" i="3"/>
  <c r="R105" i="11" l="1"/>
  <c r="T104" i="11"/>
  <c r="T550" i="11"/>
  <c r="R551" i="11"/>
  <c r="T544" i="11"/>
  <c r="R545" i="11"/>
  <c r="R532" i="3"/>
  <c r="S531" i="3"/>
  <c r="T531" i="3" s="1"/>
  <c r="R101" i="3"/>
  <c r="T100" i="3"/>
  <c r="T545" i="11" l="1"/>
  <c r="R546" i="11"/>
  <c r="R552" i="11"/>
  <c r="T551" i="11"/>
  <c r="R106" i="11"/>
  <c r="T105" i="11"/>
  <c r="T101" i="3"/>
  <c r="R103" i="3"/>
  <c r="R533" i="3"/>
  <c r="T532" i="3"/>
  <c r="T552" i="11" l="1"/>
  <c r="R553" i="11"/>
  <c r="R547" i="11"/>
  <c r="T546" i="11"/>
  <c r="T106" i="11"/>
  <c r="R107" i="11"/>
  <c r="R540" i="3"/>
  <c r="T533" i="3"/>
  <c r="R535" i="3"/>
  <c r="T103" i="3"/>
  <c r="R104" i="3"/>
  <c r="R108" i="11" l="1"/>
  <c r="T107" i="11"/>
  <c r="R557" i="11"/>
  <c r="T547" i="11"/>
  <c r="R554" i="11"/>
  <c r="T553" i="11"/>
  <c r="R105" i="3"/>
  <c r="T104" i="3"/>
  <c r="T535" i="3"/>
  <c r="R536" i="3"/>
  <c r="T540" i="3"/>
  <c r="R541" i="3"/>
  <c r="R555" i="11" l="1"/>
  <c r="T555" i="11" s="1"/>
  <c r="T554" i="11"/>
  <c r="R558" i="11"/>
  <c r="T557" i="11"/>
  <c r="T108" i="11"/>
  <c r="R109" i="11"/>
  <c r="R542" i="3"/>
  <c r="T541" i="3"/>
  <c r="R548" i="3"/>
  <c r="R537" i="3"/>
  <c r="T536" i="3"/>
  <c r="R106" i="3"/>
  <c r="T105" i="3"/>
  <c r="T109" i="11" l="1"/>
  <c r="R110" i="11"/>
  <c r="R559" i="11"/>
  <c r="T558" i="11"/>
  <c r="T106" i="3"/>
  <c r="R107" i="3"/>
  <c r="T537" i="3"/>
  <c r="R538" i="3"/>
  <c r="R549" i="3"/>
  <c r="T548" i="3"/>
  <c r="R543" i="3"/>
  <c r="T542" i="3"/>
  <c r="T559" i="11" l="1"/>
  <c r="R560" i="11"/>
  <c r="R111" i="11"/>
  <c r="T110" i="11"/>
  <c r="R544" i="3"/>
  <c r="T543" i="3"/>
  <c r="T549" i="3"/>
  <c r="R550" i="3"/>
  <c r="R539" i="3"/>
  <c r="T539" i="3" s="1"/>
  <c r="T538" i="3"/>
  <c r="R108" i="3"/>
  <c r="T107" i="3"/>
  <c r="R112" i="11" l="1"/>
  <c r="T111" i="11"/>
  <c r="R561" i="11"/>
  <c r="T560" i="11"/>
  <c r="T108" i="3"/>
  <c r="R109" i="3"/>
  <c r="T550" i="3"/>
  <c r="R551" i="3"/>
  <c r="R545" i="3"/>
  <c r="T544" i="3"/>
  <c r="R562" i="11" l="1"/>
  <c r="T561" i="11"/>
  <c r="T112" i="11"/>
  <c r="R113" i="11"/>
  <c r="T109" i="3"/>
  <c r="R110" i="3"/>
  <c r="R546" i="3"/>
  <c r="T545" i="3"/>
  <c r="T551" i="3"/>
  <c r="R552" i="3"/>
  <c r="R114" i="11" l="1"/>
  <c r="T113" i="11"/>
  <c r="T562" i="11"/>
  <c r="R563" i="11"/>
  <c r="T552" i="3"/>
  <c r="R553" i="3"/>
  <c r="T546" i="3"/>
  <c r="R547" i="3"/>
  <c r="R111" i="3"/>
  <c r="T110" i="3"/>
  <c r="R564" i="11" l="1"/>
  <c r="T563" i="11"/>
  <c r="T114" i="11"/>
  <c r="R116" i="11"/>
  <c r="T111" i="3"/>
  <c r="R112" i="3"/>
  <c r="R557" i="3"/>
  <c r="T547" i="3"/>
  <c r="R554" i="3"/>
  <c r="T553" i="3"/>
  <c r="T116" i="11" l="1"/>
  <c r="R117" i="11"/>
  <c r="R565" i="11"/>
  <c r="T564" i="11"/>
  <c r="T554" i="3"/>
  <c r="R555" i="3"/>
  <c r="T555" i="3" s="1"/>
  <c r="R558" i="3"/>
  <c r="T557" i="3"/>
  <c r="R113" i="3"/>
  <c r="T112" i="3"/>
  <c r="T565" i="11" l="1"/>
  <c r="R566" i="11"/>
  <c r="R118" i="11"/>
  <c r="T117" i="11"/>
  <c r="R114" i="3"/>
  <c r="T113" i="3"/>
  <c r="R559" i="3"/>
  <c r="T558" i="3"/>
  <c r="R567" i="11" l="1"/>
  <c r="T566" i="11"/>
  <c r="T118" i="11"/>
  <c r="R119" i="11"/>
  <c r="T559" i="3"/>
  <c r="R560" i="3"/>
  <c r="T114" i="3"/>
  <c r="R116" i="3"/>
  <c r="R120" i="11" l="1"/>
  <c r="T119" i="11"/>
  <c r="R568" i="11"/>
  <c r="T567" i="11"/>
  <c r="T116" i="3"/>
  <c r="R117" i="3"/>
  <c r="R561" i="3"/>
  <c r="T560" i="3"/>
  <c r="T568" i="11" l="1"/>
  <c r="R569" i="11"/>
  <c r="T120" i="11"/>
  <c r="R121" i="11"/>
  <c r="T561" i="3"/>
  <c r="R562" i="3"/>
  <c r="R118" i="3"/>
  <c r="T117" i="3"/>
  <c r="R570" i="11" l="1"/>
  <c r="T569" i="11"/>
  <c r="R122" i="11"/>
  <c r="T121" i="11"/>
  <c r="T118" i="3"/>
  <c r="R119" i="3"/>
  <c r="T562" i="3"/>
  <c r="R563" i="3"/>
  <c r="R123" i="11" l="1"/>
  <c r="T122" i="11"/>
  <c r="T570" i="11"/>
  <c r="R571" i="11"/>
  <c r="R564" i="3"/>
  <c r="T563" i="3"/>
  <c r="T119" i="3"/>
  <c r="R120" i="3"/>
  <c r="R573" i="11" l="1"/>
  <c r="T571" i="11"/>
  <c r="T123" i="11"/>
  <c r="R124" i="11"/>
  <c r="R121" i="3"/>
  <c r="T120" i="3"/>
  <c r="T564" i="3"/>
  <c r="R565" i="3"/>
  <c r="R125" i="11" l="1"/>
  <c r="T124" i="11"/>
  <c r="T573" i="11"/>
  <c r="R574" i="11"/>
  <c r="R566" i="3"/>
  <c r="T565" i="3"/>
  <c r="T121" i="3"/>
  <c r="R122" i="3"/>
  <c r="T574" i="11" l="1"/>
  <c r="R575" i="11"/>
  <c r="T125" i="11"/>
  <c r="R126" i="11"/>
  <c r="R123" i="3"/>
  <c r="T122" i="3"/>
  <c r="R567" i="3"/>
  <c r="T566" i="3"/>
  <c r="R576" i="11" l="1"/>
  <c r="T575" i="11"/>
  <c r="T126" i="11"/>
  <c r="R127" i="11"/>
  <c r="T567" i="3"/>
  <c r="R568" i="3"/>
  <c r="R124" i="3"/>
  <c r="T123" i="3"/>
  <c r="R128" i="11" l="1"/>
  <c r="T127" i="11"/>
  <c r="R577" i="11"/>
  <c r="T576" i="11"/>
  <c r="T124" i="3"/>
  <c r="R125" i="3"/>
  <c r="T568" i="3"/>
  <c r="R569" i="3"/>
  <c r="R129" i="11" l="1"/>
  <c r="T128" i="11"/>
  <c r="T577" i="11"/>
  <c r="R578" i="11"/>
  <c r="T569" i="3"/>
  <c r="R570" i="3"/>
  <c r="R126" i="3"/>
  <c r="T125" i="3"/>
  <c r="R579" i="11" l="1"/>
  <c r="T578" i="11"/>
  <c r="T129" i="11"/>
  <c r="R130" i="11"/>
  <c r="T126" i="3"/>
  <c r="R127" i="3"/>
  <c r="T570" i="3"/>
  <c r="R571" i="3"/>
  <c r="R131" i="11" l="1"/>
  <c r="T130" i="11"/>
  <c r="T579" i="11"/>
  <c r="R580" i="11"/>
  <c r="T571" i="3"/>
  <c r="R573" i="3"/>
  <c r="T127" i="3"/>
  <c r="R128" i="3"/>
  <c r="T580" i="11" l="1"/>
  <c r="R581" i="11"/>
  <c r="R134" i="11"/>
  <c r="T131" i="11"/>
  <c r="R132" i="11"/>
  <c r="T132" i="11" s="1"/>
  <c r="R129" i="3"/>
  <c r="T128" i="3"/>
  <c r="T573" i="3"/>
  <c r="R574" i="3"/>
  <c r="R135" i="11" l="1"/>
  <c r="T135" i="11" s="1"/>
  <c r="T134" i="11"/>
  <c r="R582" i="11"/>
  <c r="T581" i="11"/>
  <c r="T574" i="3"/>
  <c r="R575" i="3"/>
  <c r="T129" i="3"/>
  <c r="R130" i="3"/>
  <c r="T582" i="11" l="1"/>
  <c r="R583" i="11"/>
  <c r="R131" i="3"/>
  <c r="T130" i="3"/>
  <c r="R576" i="3"/>
  <c r="T575" i="3"/>
  <c r="R584" i="11" l="1"/>
  <c r="T583" i="11"/>
  <c r="R577" i="3"/>
  <c r="T576" i="3"/>
  <c r="R132" i="3"/>
  <c r="T132" i="3" s="1"/>
  <c r="R134" i="3"/>
  <c r="T131" i="3"/>
  <c r="R585" i="11" l="1"/>
  <c r="T584" i="11"/>
  <c r="T134" i="3"/>
  <c r="R135" i="3"/>
  <c r="T135" i="3" s="1"/>
  <c r="R578" i="3"/>
  <c r="T577" i="3"/>
  <c r="R587" i="11" l="1"/>
  <c r="T585" i="11"/>
  <c r="T578" i="3"/>
  <c r="R579" i="3"/>
  <c r="R588" i="11" l="1"/>
  <c r="T587" i="11"/>
  <c r="T579" i="3"/>
  <c r="R580" i="3"/>
  <c r="T588" i="11" l="1"/>
  <c r="R589" i="11"/>
  <c r="T580" i="3"/>
  <c r="R581" i="3"/>
  <c r="T589" i="11" l="1"/>
  <c r="R590" i="11"/>
  <c r="R582" i="3"/>
  <c r="T581" i="3"/>
  <c r="R591" i="11" l="1"/>
  <c r="T590" i="11"/>
  <c r="T582" i="3"/>
  <c r="R583" i="3"/>
  <c r="T591" i="11" l="1"/>
  <c r="R592" i="11"/>
  <c r="R584" i="3"/>
  <c r="T583" i="3"/>
  <c r="T592" i="11" l="1"/>
  <c r="R593" i="11"/>
  <c r="R585" i="3"/>
  <c r="T584" i="3"/>
  <c r="R594" i="11" l="1"/>
  <c r="T593" i="11"/>
  <c r="T585" i="3"/>
  <c r="R587" i="3"/>
  <c r="T594" i="11" l="1"/>
  <c r="R595" i="11"/>
  <c r="T587" i="3"/>
  <c r="R588" i="3"/>
  <c r="R596" i="11" l="1"/>
  <c r="T595" i="11"/>
  <c r="R589" i="3"/>
  <c r="T588" i="3"/>
  <c r="T596" i="11" l="1"/>
  <c r="R597" i="11"/>
  <c r="R590" i="3"/>
  <c r="T589" i="3"/>
  <c r="T597" i="11" l="1"/>
  <c r="R598" i="11"/>
  <c r="T590" i="3"/>
  <c r="R591" i="3"/>
  <c r="T598" i="11" l="1"/>
  <c r="R599" i="11"/>
  <c r="R592" i="3"/>
  <c r="T591" i="3"/>
  <c r="T599" i="11" l="1"/>
  <c r="R601" i="11"/>
  <c r="T592" i="3"/>
  <c r="R593" i="3"/>
  <c r="R602" i="11" l="1"/>
  <c r="T601" i="11"/>
  <c r="T593" i="3"/>
  <c r="R594" i="3"/>
  <c r="R603" i="11" l="1"/>
  <c r="T602" i="11"/>
  <c r="R595" i="3"/>
  <c r="T594" i="3"/>
  <c r="T603" i="11" l="1"/>
  <c r="R604" i="11"/>
  <c r="T595" i="3"/>
  <c r="R596" i="3"/>
  <c r="R605" i="11" l="1"/>
  <c r="T604" i="11"/>
  <c r="R597" i="3"/>
  <c r="T596" i="3"/>
  <c r="T605" i="11" l="1"/>
  <c r="R606" i="11"/>
  <c r="T597" i="3"/>
  <c r="R598" i="3"/>
  <c r="T606" i="11" l="1"/>
  <c r="R607" i="11"/>
  <c r="R599" i="3"/>
  <c r="T598" i="3"/>
  <c r="T607" i="11" l="1"/>
  <c r="R608" i="11"/>
  <c r="R601" i="3"/>
  <c r="T599" i="3"/>
  <c r="T608" i="11" l="1"/>
  <c r="R609" i="11"/>
  <c r="T601" i="3"/>
  <c r="R602" i="3"/>
  <c r="R610" i="11" l="1"/>
  <c r="T609" i="11"/>
  <c r="T602" i="3"/>
  <c r="R603" i="3"/>
  <c r="R611" i="11" l="1"/>
  <c r="T610" i="11"/>
  <c r="R604" i="3"/>
  <c r="T603" i="3"/>
  <c r="R612" i="11" l="1"/>
  <c r="T611" i="11"/>
  <c r="T604" i="3"/>
  <c r="R605" i="3"/>
  <c r="R613" i="11" l="1"/>
  <c r="T612" i="11"/>
  <c r="T605" i="3"/>
  <c r="R606" i="3"/>
  <c r="T613" i="11" l="1"/>
  <c r="R614" i="11"/>
  <c r="R607" i="3"/>
  <c r="T606" i="3"/>
  <c r="T614" i="11" l="1"/>
  <c r="R616" i="11"/>
  <c r="T607" i="3"/>
  <c r="R608" i="3"/>
  <c r="R617" i="11" l="1"/>
  <c r="T616" i="11"/>
  <c r="T608" i="3"/>
  <c r="R609" i="3"/>
  <c r="T617" i="11" l="1"/>
  <c r="R618" i="11"/>
  <c r="R610" i="3"/>
  <c r="T609" i="3"/>
  <c r="R619" i="11" l="1"/>
  <c r="T618" i="11"/>
  <c r="T610" i="3"/>
  <c r="R611" i="3"/>
  <c r="T619" i="11" l="1"/>
  <c r="R620" i="11"/>
  <c r="R612" i="3"/>
  <c r="T611" i="3"/>
  <c r="T620" i="11" l="1"/>
  <c r="R621" i="11"/>
  <c r="T612" i="3"/>
  <c r="R613" i="3"/>
  <c r="R622" i="11" l="1"/>
  <c r="T621" i="11"/>
  <c r="T613" i="3"/>
  <c r="R614" i="3"/>
  <c r="R623" i="11" l="1"/>
  <c r="T622" i="11"/>
  <c r="T614" i="3"/>
  <c r="R616" i="3"/>
  <c r="R624" i="11" l="1"/>
  <c r="T623" i="11"/>
  <c r="R617" i="3"/>
  <c r="T616" i="3"/>
  <c r="R626" i="11" l="1"/>
  <c r="T624" i="11"/>
  <c r="T617" i="3"/>
  <c r="R618" i="3"/>
  <c r="T626" i="11" l="1"/>
  <c r="R627" i="11"/>
  <c r="R619" i="3"/>
  <c r="T618" i="3"/>
  <c r="T627" i="11" l="1"/>
  <c r="R628" i="11"/>
  <c r="R620" i="3"/>
  <c r="T619" i="3"/>
  <c r="R629" i="11" l="1"/>
  <c r="T628" i="11"/>
  <c r="T620" i="3"/>
  <c r="R621" i="3"/>
  <c r="T629" i="11" l="1"/>
  <c r="R630" i="11"/>
  <c r="R622" i="3"/>
  <c r="T621" i="3"/>
  <c r="R631" i="11" l="1"/>
  <c r="T630" i="11"/>
  <c r="T622" i="3"/>
  <c r="R623" i="3"/>
  <c r="R632" i="11" l="1"/>
  <c r="T631" i="11"/>
  <c r="R624" i="3"/>
  <c r="T623" i="3"/>
  <c r="R633" i="11" l="1"/>
  <c r="T632" i="11"/>
  <c r="R626" i="3"/>
  <c r="T624" i="3"/>
  <c r="R634" i="11" l="1"/>
  <c r="T633" i="11"/>
  <c r="R627" i="3"/>
  <c r="T626" i="3"/>
  <c r="T634" i="11" l="1"/>
  <c r="R636" i="11"/>
  <c r="T627" i="3"/>
  <c r="R628" i="3"/>
  <c r="T636" i="11" l="1"/>
  <c r="R637" i="11"/>
  <c r="R629" i="3"/>
  <c r="T628" i="3"/>
  <c r="R638" i="11" l="1"/>
  <c r="T637" i="11"/>
  <c r="R630" i="3"/>
  <c r="T629" i="3"/>
  <c r="T638" i="11" l="1"/>
  <c r="R639" i="11"/>
  <c r="T630" i="3"/>
  <c r="R631" i="3"/>
  <c r="R640" i="11" l="1"/>
  <c r="T639" i="11"/>
  <c r="R632" i="3"/>
  <c r="T631" i="3"/>
  <c r="T640" i="11" l="1"/>
  <c r="R641" i="11"/>
  <c r="T632" i="3"/>
  <c r="R633" i="3"/>
  <c r="T641" i="11" l="1"/>
  <c r="R642" i="11"/>
  <c r="T633" i="3"/>
  <c r="R634" i="3"/>
  <c r="R643" i="11" l="1"/>
  <c r="T642" i="11"/>
  <c r="T634" i="3"/>
  <c r="R636" i="3"/>
  <c r="R644" i="11" l="1"/>
  <c r="T643" i="11"/>
  <c r="T636" i="3"/>
  <c r="R637" i="3"/>
  <c r="R646" i="11" l="1"/>
  <c r="T644" i="11"/>
  <c r="R638" i="3"/>
  <c r="T637" i="3"/>
  <c r="R647" i="11" l="1"/>
  <c r="T646" i="11"/>
  <c r="T638" i="3"/>
  <c r="R639" i="3"/>
  <c r="T647" i="11" l="1"/>
  <c r="R648" i="11"/>
  <c r="T639" i="3"/>
  <c r="R640" i="3"/>
  <c r="T648" i="11" l="1"/>
  <c r="R649" i="11"/>
  <c r="R641" i="3"/>
  <c r="T640" i="3"/>
  <c r="R650" i="11" l="1"/>
  <c r="T649" i="11"/>
  <c r="T641" i="3"/>
  <c r="R642" i="3"/>
  <c r="T650" i="11" l="1"/>
  <c r="R651" i="11"/>
  <c r="R60" i="11"/>
  <c r="R643" i="3"/>
  <c r="T642" i="3"/>
  <c r="R652" i="11" l="1"/>
  <c r="T651" i="11"/>
  <c r="R61" i="11"/>
  <c r="T60" i="11"/>
  <c r="R644" i="3"/>
  <c r="T643" i="3"/>
  <c r="T61" i="11" l="1"/>
  <c r="R62" i="11"/>
  <c r="T62" i="11" s="1"/>
  <c r="R653" i="11"/>
  <c r="T652" i="11"/>
  <c r="T644" i="3"/>
  <c r="R646" i="3"/>
  <c r="R654" i="11" l="1"/>
  <c r="T653" i="11"/>
  <c r="R647" i="3"/>
  <c r="T646" i="3"/>
  <c r="R656" i="11" l="1"/>
  <c r="T654" i="11"/>
  <c r="T647" i="3"/>
  <c r="R648" i="3"/>
  <c r="R657" i="11" l="1"/>
  <c r="T656" i="11"/>
  <c r="T648" i="3"/>
  <c r="R649" i="3"/>
  <c r="R658" i="11" l="1"/>
  <c r="T657" i="11"/>
  <c r="R650" i="3"/>
  <c r="T649" i="3"/>
  <c r="R659" i="11" l="1"/>
  <c r="T658" i="11"/>
  <c r="T650" i="3"/>
  <c r="R651" i="3"/>
  <c r="R60" i="3"/>
  <c r="T659" i="11" l="1"/>
  <c r="R660" i="11"/>
  <c r="R652" i="3"/>
  <c r="T651" i="3"/>
  <c r="T60" i="3"/>
  <c r="R61" i="3"/>
  <c r="T660" i="11" l="1"/>
  <c r="R661" i="11"/>
  <c r="T61" i="3"/>
  <c r="R62" i="3"/>
  <c r="R653" i="3"/>
  <c r="T652" i="3"/>
  <c r="R662" i="11" l="1"/>
  <c r="T661" i="11"/>
  <c r="R654" i="3"/>
  <c r="T653" i="3"/>
  <c r="T62" i="3"/>
  <c r="T662" i="11" l="1"/>
  <c r="R663" i="11"/>
  <c r="R656" i="3"/>
  <c r="T654" i="3"/>
  <c r="R664" i="11" l="1"/>
  <c r="T663" i="11"/>
  <c r="R657" i="3"/>
  <c r="T656" i="3"/>
  <c r="T664" i="11" l="1"/>
  <c r="R666" i="11"/>
  <c r="R658" i="3"/>
  <c r="T657" i="3"/>
  <c r="R667" i="11" l="1"/>
  <c r="T666" i="11"/>
  <c r="T658" i="3"/>
  <c r="R659" i="3"/>
  <c r="T667" i="11" l="1"/>
  <c r="R668" i="11"/>
  <c r="R660" i="3"/>
  <c r="T659" i="3"/>
  <c r="T668" i="11" l="1"/>
  <c r="R669" i="11"/>
  <c r="T660" i="3"/>
  <c r="R661" i="3"/>
  <c r="R670" i="11" l="1"/>
  <c r="T669" i="11"/>
  <c r="R662" i="3"/>
  <c r="T661" i="3"/>
  <c r="T670" i="11" l="1"/>
  <c r="R671" i="11"/>
  <c r="T662" i="3"/>
  <c r="R663" i="3"/>
  <c r="R672" i="11" l="1"/>
  <c r="T671" i="11"/>
  <c r="T663" i="3"/>
  <c r="R664" i="3"/>
  <c r="R673" i="11" l="1"/>
  <c r="T672" i="11"/>
  <c r="T664" i="3"/>
  <c r="R666" i="3"/>
  <c r="T673" i="11" l="1"/>
  <c r="R674" i="11"/>
  <c r="T666" i="3"/>
  <c r="R667" i="3"/>
  <c r="R676" i="11" l="1"/>
  <c r="T674" i="11"/>
  <c r="T667" i="3"/>
  <c r="R668" i="3"/>
  <c r="R677" i="11" l="1"/>
  <c r="T676" i="11"/>
  <c r="T668" i="3"/>
  <c r="R669" i="3"/>
  <c r="T677" i="11" l="1"/>
  <c r="R678" i="11"/>
  <c r="R670" i="3"/>
  <c r="T669" i="3"/>
  <c r="R679" i="11" l="1"/>
  <c r="T678" i="11"/>
  <c r="T670" i="3"/>
  <c r="R671" i="3"/>
  <c r="T679" i="11" l="1"/>
  <c r="R680" i="11"/>
  <c r="T680" i="11" s="1"/>
  <c r="R672" i="3"/>
  <c r="T671" i="3"/>
  <c r="R673" i="3" l="1"/>
  <c r="T672" i="3"/>
  <c r="T673" i="3" l="1"/>
  <c r="R674" i="3"/>
  <c r="R676" i="3" l="1"/>
  <c r="T674" i="3"/>
  <c r="R677" i="3" l="1"/>
  <c r="T676" i="3"/>
  <c r="T677" i="3" l="1"/>
  <c r="R678" i="3"/>
  <c r="T678" i="3" l="1"/>
  <c r="R679" i="3"/>
  <c r="R680" i="3" l="1"/>
  <c r="T679" i="3"/>
  <c r="T68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SIMBADA</author>
  </authors>
  <commentList>
    <comment ref="I582" authorId="0" shapeId="0" xr:uid="{AD954B09-3B08-41CB-AAB1-9301C76FE50E}">
      <text>
        <r>
          <rPr>
            <b/>
            <sz val="9"/>
            <color indexed="81"/>
            <rFont val="Tahoma"/>
            <family val="2"/>
          </rPr>
          <t>SIMBADA: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SIMBADA</author>
  </authors>
  <commentList>
    <comment ref="I582" authorId="0" shapeId="0" xr:uid="{FCBB35B6-5606-4F66-9FFA-AD7C035E0606}">
      <text>
        <r>
          <rPr>
            <b/>
            <sz val="9"/>
            <color indexed="81"/>
            <rFont val="Tahoma"/>
            <family val="2"/>
          </rPr>
          <t>SIMBADA: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<sst xmlns="http://schemas.openxmlformats.org/spreadsheetml/2006/main" count="19438" uniqueCount="3205">
  <si>
    <t>NO.</t>
  </si>
  <si>
    <t>KD</t>
  </si>
  <si>
    <t>NAMA JABATAN</t>
  </si>
  <si>
    <t>NAMA PEJABAT</t>
  </si>
  <si>
    <t>KET STATUS</t>
  </si>
  <si>
    <t>NIP</t>
  </si>
  <si>
    <t>PANGKAT / GOL / TMT</t>
  </si>
  <si>
    <t>PENDIDIKAN</t>
  </si>
  <si>
    <t>TMT JABATAN</t>
  </si>
  <si>
    <t>MKJ TERAKHIR</t>
  </si>
  <si>
    <t>KODE ESELON</t>
  </si>
  <si>
    <t>TMT
ESELON</t>
  </si>
  <si>
    <t>MKJ
Eselon</t>
  </si>
  <si>
    <t>KET.</t>
  </si>
  <si>
    <t>AGAMA</t>
  </si>
  <si>
    <t>JK</t>
  </si>
  <si>
    <t>JJ</t>
  </si>
  <si>
    <t>JT</t>
  </si>
  <si>
    <t>Hukuman Disiplin</t>
  </si>
  <si>
    <t>NILAI KINERJA</t>
  </si>
  <si>
    <t>Kompetensi Teknis</t>
  </si>
  <si>
    <t>Kompetensi Manajerial</t>
  </si>
  <si>
    <t>Komptensi Sosial Kultural</t>
  </si>
  <si>
    <t>Kategori</t>
  </si>
  <si>
    <t>Tahun</t>
  </si>
  <si>
    <t>Rencana Pengembangan Karier</t>
  </si>
  <si>
    <t>Rencana Pengembangan Kompetensi</t>
  </si>
  <si>
    <t>Tanggal Lahir</t>
  </si>
  <si>
    <t>Usia</t>
  </si>
  <si>
    <t>TMT Pensiun</t>
  </si>
  <si>
    <t xml:space="preserve"> BUPATI TANGGAMUS</t>
  </si>
  <si>
    <t xml:space="preserve">Drs. H. MOH. SALEH ASNAWI, M.A.M.H </t>
  </si>
  <si>
    <t>-</t>
  </si>
  <si>
    <t>S.2 HUKUM</t>
  </si>
  <si>
    <t>20-02-2025</t>
  </si>
  <si>
    <t>Islam</t>
  </si>
  <si>
    <t>Laki-laki</t>
  </si>
  <si>
    <t>WAKIL BUPATI TANGGAMUS</t>
  </si>
  <si>
    <t>AGUS SURANTO</t>
  </si>
  <si>
    <t>SETDA</t>
  </si>
  <si>
    <t>1. SEKRETARIAT DAERAH</t>
  </si>
  <si>
    <t>Sekretaris Daerah</t>
  </si>
  <si>
    <t>Ir. SUAIDI,  M.M.</t>
  </si>
  <si>
    <t>Definitif</t>
  </si>
  <si>
    <t>19671220 199803 1 005</t>
  </si>
  <si>
    <t>Pembina Utama Madya (IV/d) / 01-02-2025</t>
  </si>
  <si>
    <t>S.2 Magister Manajemen</t>
  </si>
  <si>
    <t>22-11-2024</t>
  </si>
  <si>
    <t>2A</t>
  </si>
  <si>
    <t>PIM II</t>
  </si>
  <si>
    <t>Baik</t>
  </si>
  <si>
    <t>Mutasi</t>
  </si>
  <si>
    <t xml:space="preserve">Staf Ahli Bidang Ekonomi, Keuangan dan Pembangunan </t>
  </si>
  <si>
    <t>SYAMDJUNISTON, S.H.,M.M.</t>
  </si>
  <si>
    <t>19670919 199003 1 004</t>
  </si>
  <si>
    <t>S.2 Magister Manejemen</t>
  </si>
  <si>
    <t>2B</t>
  </si>
  <si>
    <t>Staf Ahli Bidang Pemerintahan, Hukum dan Politik</t>
  </si>
  <si>
    <t>GIGIH RUDIANSYAH, S.E.</t>
  </si>
  <si>
    <t>19740525 200003 1 009</t>
  </si>
  <si>
    <t>Pembina Utama Muda (IV/c) / 01-04-2024</t>
  </si>
  <si>
    <t>S.1 Ilmu Ekonomi</t>
  </si>
  <si>
    <t>26-06-2023</t>
  </si>
  <si>
    <t>Staf Ahli Bupati Bidang Kemasyarakatan dan SDM</t>
  </si>
  <si>
    <t>DHANI RIZA EFRIANSYAH, S.T.</t>
  </si>
  <si>
    <t>19750827 200604 1 006</t>
  </si>
  <si>
    <t>Pembina Tk.I (IV/b) / 01-04-2022</t>
  </si>
  <si>
    <t>S.1 Teknik</t>
  </si>
  <si>
    <t>02-05-2024</t>
  </si>
  <si>
    <t>11-01-2021</t>
  </si>
  <si>
    <t>Asisten Pemerintahan dan Kesejahteraan Rakyat pada Sekretariat Daerah</t>
  </si>
  <si>
    <t>Pelaksana Tugas</t>
  </si>
  <si>
    <t>19780723 200604 1 012</t>
  </si>
  <si>
    <t>Kepala Bagian Tata Pemerintahan pada Sekretariat Daerah</t>
  </si>
  <si>
    <t>SYARIF ZULKARNAIN, S.S.T.P, M.Si.</t>
  </si>
  <si>
    <t>19810831 199912 1 002</t>
  </si>
  <si>
    <t>Pembina Tk.I (IV/b) / 01-10-2020</t>
  </si>
  <si>
    <t>S.2 Magister Ilmu Pembangunan</t>
  </si>
  <si>
    <t>04-09-2020</t>
  </si>
  <si>
    <t>3A</t>
  </si>
  <si>
    <t>08-01-2013</t>
  </si>
  <si>
    <t>PIM III</t>
  </si>
  <si>
    <t>Analis Kebijakan Ahli Muda pada Bagian Tata Pemerintahan Sekretariat Daerah.</t>
  </si>
  <si>
    <t>AYI TRIANAJAYA, S.E.</t>
  </si>
  <si>
    <t>19740809 201001 1 009</t>
  </si>
  <si>
    <t>Penata (III/c) / 01-04-2022</t>
  </si>
  <si>
    <t>S.1 Ekonomi</t>
  </si>
  <si>
    <t>31-12-2021</t>
  </si>
  <si>
    <t>JF</t>
  </si>
  <si>
    <t>ALKHOZI, S.E.</t>
  </si>
  <si>
    <t>19680924 200902 1 002</t>
  </si>
  <si>
    <t>Penata Tk. I (III/d) / 01-10-2018</t>
  </si>
  <si>
    <t>SEPTI YULIANTI, S.E.</t>
  </si>
  <si>
    <t>19800709 200501 2 014</t>
  </si>
  <si>
    <t>Penata (III/c) / 01-10-2022</t>
  </si>
  <si>
    <t>Kepala Bagian Kesejahteraan Rakyat pada Sekretariat Daerah</t>
  </si>
  <si>
    <t>AHMAD NGALIM, S.S.T.P., M.M.</t>
  </si>
  <si>
    <t>Pembina Tk.I (IV/b) /  01-04-2022</t>
  </si>
  <si>
    <t>01-09-2023</t>
  </si>
  <si>
    <t>Analis Kebijakan Ahli Muda pada Bagian Kesejahteraan Rakyat Sekretariat Daerah</t>
  </si>
  <si>
    <t>MUHAMMAD KHONNIRO KULBIE, S.E., M.M.</t>
  </si>
  <si>
    <t>19850722 201101 1 005</t>
  </si>
  <si>
    <t>Penata Tk.I (III/d) / 01-04-2023</t>
  </si>
  <si>
    <t xml:space="preserve">S.1 Ilmu Ekonomi </t>
  </si>
  <si>
    <t>ASRUL SANI PUTRA JAYA, S.Kom.</t>
  </si>
  <si>
    <t>19760523 200604 1 015</t>
  </si>
  <si>
    <t>Penata (III/c) / 01-04-2021</t>
  </si>
  <si>
    <t>S.1 Komputer</t>
  </si>
  <si>
    <t>LOWONG</t>
  </si>
  <si>
    <t>Kepala Bagian Hukum pada Sekretariat Daerah</t>
  </si>
  <si>
    <t>ARIEF RAKHMAT, S.H., M.H.</t>
  </si>
  <si>
    <t>19790916 201001 1 006</t>
  </si>
  <si>
    <t>Pembina Tk.I (IV/b) / 01-10-2023</t>
  </si>
  <si>
    <t>S.2 Hukum</t>
  </si>
  <si>
    <t>31-12-2019</t>
  </si>
  <si>
    <t>Perancang Peraturan Perundang-Undangan Ahli Muda pada Bagian Hukum Sekretariat Daerah</t>
  </si>
  <si>
    <t>M.E.DONI FHASE, SH</t>
  </si>
  <si>
    <t>19831220 201502 1 001</t>
  </si>
  <si>
    <t>S.1 Hukum</t>
  </si>
  <si>
    <t>Analis Hukum Ahli Muda pada Bagian Hukum Sekretariat Daerah</t>
  </si>
  <si>
    <t xml:space="preserve">Penyuluh Hukum Ahli Muda pada Bagian Hukum Sekretariat Daerah </t>
  </si>
  <si>
    <t>SRI HAPSARI HANDAYANI NUGROHO NINGSIH, A.Md.</t>
  </si>
  <si>
    <t>D3. Perpustakaan</t>
  </si>
  <si>
    <t>Kepala Bagian Kerjasama pada Sekretariat Daerah</t>
  </si>
  <si>
    <t>NS. MARYANI, S.Kep.,M.M.</t>
  </si>
  <si>
    <t>19690301 198803 2 002</t>
  </si>
  <si>
    <t>Pembina Tk.I (IV/b) / 01-04-2023</t>
  </si>
  <si>
    <t>16-02-2021</t>
  </si>
  <si>
    <t>PIM IV 2015</t>
  </si>
  <si>
    <t>Analis Kebijakan Muda pada Bagian Kerjasama Sekretariat Daerah</t>
  </si>
  <si>
    <t>EM. WINARTO, SKM.,M.M.</t>
  </si>
  <si>
    <t>19760716 199502 1 001</t>
  </si>
  <si>
    <t>Pembina (IV/a) / 01-10-2017</t>
  </si>
  <si>
    <t>SRI MAMIK MAYAWATI, S.E.</t>
  </si>
  <si>
    <t>19791016 200701 2 014</t>
  </si>
  <si>
    <t>Penata Tk.I (III/d) / 01-04-2021</t>
  </si>
  <si>
    <t>STYVA PALANDI, S.H.</t>
  </si>
  <si>
    <t>19740923 200212 2 005</t>
  </si>
  <si>
    <t>S1. Hukum</t>
  </si>
  <si>
    <t>Khatolik</t>
  </si>
  <si>
    <t>Asisten Perekonomian dan Pembangunan pada Sekretariat Daerah</t>
  </si>
  <si>
    <t>HENDRA WIJAYA MEGA, S.T., M.T., M.M.</t>
  </si>
  <si>
    <t>19710329 199803 1 004</t>
  </si>
  <si>
    <t>Pembina Utama Muda (IV/c) / 01-10-2019</t>
  </si>
  <si>
    <t>S.2 Magister Teknik / S.2 Magister Manajemen</t>
  </si>
  <si>
    <t>Kepala Bagian Perekonomian dan Sumber Daya Alam pada Sekretariat Daerah</t>
  </si>
  <si>
    <t>EVI SILVIA, S.H., M.M.</t>
  </si>
  <si>
    <t>19690312 200801 2 017</t>
  </si>
  <si>
    <t>Pembina (IV/a) / 01-04-2021</t>
  </si>
  <si>
    <t>Analis Kebijakan Bagian Perekonomian dan Sumber Daya Alam Sekretariat Daerah</t>
  </si>
  <si>
    <t>IRHAMSYAH KUNDO, S.I.Kom.</t>
  </si>
  <si>
    <t>19791128 200902 1 002</t>
  </si>
  <si>
    <t>FAISAL BURMELLI, S.I.Kom., M.M.</t>
  </si>
  <si>
    <t>19811204 200501 1 007</t>
  </si>
  <si>
    <t>Pembina (IV/a) / 01-04-2020</t>
  </si>
  <si>
    <t>PIM IV</t>
  </si>
  <si>
    <t>Analis Kebijakan pada Bagian Perekonomian dan Sumber Daya Alam Sekretariat Daerah</t>
  </si>
  <si>
    <t>RITA ARYANTI, S.E.M.M.</t>
  </si>
  <si>
    <t>19770925 200701 2 018</t>
  </si>
  <si>
    <t>Penata Tk.I (III/d) / 01-04-2022</t>
  </si>
  <si>
    <t xml:space="preserve">Kepala Bagian Pengadaan Barang dan Jasa pada Sekretariat Daerah </t>
  </si>
  <si>
    <t>HERLIYANTO, S.T.,M.M.</t>
  </si>
  <si>
    <t>Pengelola Pengadaan Barang/Jasa Ahli Muda pada Bagian Pengadaan Barang dan Jasa Sekretariat Daerah</t>
  </si>
  <si>
    <t>ANDIKA HERLAMBANG, S.E., M.M.</t>
  </si>
  <si>
    <t>19811015 200902 1 006</t>
  </si>
  <si>
    <t>Penata Tk.I (III/d)/ 01-10-2020</t>
  </si>
  <si>
    <t>19790304 201001 1 007</t>
  </si>
  <si>
    <t>MUKTI ANTONNY, S.Si., M.M</t>
  </si>
  <si>
    <t>19811028 201101 1 005</t>
  </si>
  <si>
    <t xml:space="preserve">Kepala Bagian Administrasi Pembangunan pada Sekretariat Daerah </t>
  </si>
  <si>
    <t>JOKO SUPRIHATIN, S.Kom,. M.M</t>
  </si>
  <si>
    <t>JABATAN TIDAK ADA</t>
  </si>
  <si>
    <t>Asisten Administrasi Umum pada Sekretariat Daerah</t>
  </si>
  <si>
    <t>Kepala Bagian Umum pada Sekretariat Daerah</t>
  </si>
  <si>
    <t>EKO DIDI ARMADI, S.E.,M.M.</t>
  </si>
  <si>
    <t>19780331 200701 1 003</t>
  </si>
  <si>
    <t>25-04-2025</t>
  </si>
  <si>
    <t>04-04-2024</t>
  </si>
  <si>
    <t>Analis Kebijakan Ahli Muda pada Bagian Umum Sekretariat Daerah</t>
  </si>
  <si>
    <t>BENI SAPUTRA, S.E., M.M.</t>
  </si>
  <si>
    <t>19831222 200501 1 005</t>
  </si>
  <si>
    <t>Pembina (IV/a) / 01-04-2023</t>
  </si>
  <si>
    <t>HARMIN, S.IP</t>
  </si>
  <si>
    <t>19760711 200701 1 008</t>
  </si>
  <si>
    <t>S.1 Ilmu Pemerintahan</t>
  </si>
  <si>
    <t>Kepala Bagian Protokol dan Komunikasi Pimpinan pada Sekretariat Daerah</t>
  </si>
  <si>
    <t>HENDRA FERY, S.E., M.M.</t>
  </si>
  <si>
    <t>19741120 201001 1 004</t>
  </si>
  <si>
    <t>Pembina (IV/a) / 01-10-2021</t>
  </si>
  <si>
    <t xml:space="preserve">Analis Kebijakan Ahli Muda pada Bagian Protokol dan Komunikasi Pimpinan Sekretariat Daerah </t>
  </si>
  <si>
    <t>ZULYAN, S.E.</t>
  </si>
  <si>
    <t>19770824 201001 1 011</t>
  </si>
  <si>
    <t>Penata (III/c) / 01-04-2023</t>
  </si>
  <si>
    <t>S.1  Ekonomi</t>
  </si>
  <si>
    <t xml:space="preserve">Kepala Sub Bagian Protokol pada Bagian Protokol dan Komunikasi Pimpinan Sekretariat Daerah </t>
  </si>
  <si>
    <t>NUR FAJRIANI HAMID, S.STP</t>
  </si>
  <si>
    <t>19930827 201708 2 002</t>
  </si>
  <si>
    <t>Penata (III/c) / 01-10-2023</t>
  </si>
  <si>
    <t>D.IV STPDN</t>
  </si>
  <si>
    <t>19-09-2022</t>
  </si>
  <si>
    <t>4A</t>
  </si>
  <si>
    <t>Kepala Bagian Organisasi pada Sekretariat Daerah</t>
  </si>
  <si>
    <t>FARIDA ARIANI, S.STP., M.Si.</t>
  </si>
  <si>
    <t>19870829 200602 2 002</t>
  </si>
  <si>
    <t>Pembina (IVa) / 01-10-2023</t>
  </si>
  <si>
    <t>D.IV STPDN/S.2 Administrasi Negara</t>
  </si>
  <si>
    <t>05-10-2022</t>
  </si>
  <si>
    <t>PIM IV 2006</t>
  </si>
  <si>
    <t>Analis Kebijakan Ahli Muda pada Bagian Organisasi Sekretariat Daerah</t>
  </si>
  <si>
    <t>YUNANI, S.E.</t>
  </si>
  <si>
    <t>19820403 201001 2 037</t>
  </si>
  <si>
    <t>NURDIANSYAH, S.I.P., M.Si.</t>
  </si>
  <si>
    <t>19920620 201406 1 001</t>
  </si>
  <si>
    <t>Penata (III/c) /01-04-2021</t>
  </si>
  <si>
    <t>S.1 Ilmu Pemerintahan/ S.2 Magister Sains</t>
  </si>
  <si>
    <t>Kepala Bagian Perencanaan dan Keuangan pada Sekretariat Daerah</t>
  </si>
  <si>
    <t>ANGGA WIDARMA, S.S.T.P., M.H.</t>
  </si>
  <si>
    <t>19850609 200312 1 001</t>
  </si>
  <si>
    <t>Pembina Tk. I (IV/b) / 01-02-2024</t>
  </si>
  <si>
    <t>D.IV. STPDN/S.2 Hukum</t>
  </si>
  <si>
    <t>15-09-2023</t>
  </si>
  <si>
    <t>Analis Keuangan Pusat dan Daerah pada Bagian Perencanaan dan Keuangan Sekretariat Daerah</t>
  </si>
  <si>
    <t>MEI LESTARI, S.IP.,M.M.</t>
  </si>
  <si>
    <t>19840525 201001 2 004</t>
  </si>
  <si>
    <t>Perencana Ahli Muda pada Bagian Perencanaan dan Keuangan Sekretariat Daerah</t>
  </si>
  <si>
    <t>HERI YUNIANTO, SE</t>
  </si>
  <si>
    <t>19800604 201406 1 003</t>
  </si>
  <si>
    <t>DPRD</t>
  </si>
  <si>
    <t>2. SEKRETARIAT DEWAN PERWAKILAN RAKYAT DAERAH</t>
  </si>
  <si>
    <t>Sekretaris Dewan Perwakilan Rakyat Daerah</t>
  </si>
  <si>
    <t>19770324 200212 1 003</t>
  </si>
  <si>
    <t>Pembina Tk.I (IV/b) / 01-10-2021</t>
  </si>
  <si>
    <t>S.2 Magister Ilmu Pemerintahan</t>
  </si>
  <si>
    <t>22-12-2023</t>
  </si>
  <si>
    <t xml:space="preserve">Kepala Bagian Umum pada Sekretariat Dewan Perwakilan Rakyat Daerah </t>
  </si>
  <si>
    <t>IBRAHIM, S.E., M.M.</t>
  </si>
  <si>
    <t>19780905 200701 1 016</t>
  </si>
  <si>
    <t>04-01-2022</t>
  </si>
  <si>
    <t>Kepala Sub Bagian Tata Usaha dan Kepegawaian pada Bagian Umum pada Sekretariat Dewan Perwakilan Rakyat Daerah</t>
  </si>
  <si>
    <t>SAM`AN, S.T.</t>
  </si>
  <si>
    <t>19800401 200902 1 005</t>
  </si>
  <si>
    <t>Penata Tk.I (III/d) / 01-10-2022</t>
  </si>
  <si>
    <t>S.1 Teknik Elektro</t>
  </si>
  <si>
    <t xml:space="preserve">Analis Kebijakan Ahli Muda  pada Sekretariat Dewan Perwakilan Rakyat Daerah </t>
  </si>
  <si>
    <t>SAFRIATI, S.E., M.M.</t>
  </si>
  <si>
    <t>19780208 200701 2 013</t>
  </si>
  <si>
    <t>18-11-2022</t>
  </si>
  <si>
    <t>DARSAH, S.E.</t>
  </si>
  <si>
    <t>19790411 200701 1 005</t>
  </si>
  <si>
    <t>Penata Tk.I (III/d) / 01-08-2024</t>
  </si>
  <si>
    <t xml:space="preserve">Kepala Bagian Keuangan pada Sekretariat Dewan Perwakilan Rakyat Daerah </t>
  </si>
  <si>
    <t>S.1 Sosial</t>
  </si>
  <si>
    <t>Perencana Ahli Muda  pada Sekretariat Dewan Perwakilan Rakyat Daerah</t>
  </si>
  <si>
    <t>MULYADI HARTONO, S.E.</t>
  </si>
  <si>
    <t>19761105 200604 1 009</t>
  </si>
  <si>
    <t>30-12-2022</t>
  </si>
  <si>
    <t>Analis Keuangan Pusat dan Daerah Ahli Muda  pada Sekretariat Dewan Perwakilan Rakyat Daerah</t>
  </si>
  <si>
    <t>WIKE NURJANAH, S.E., M.M.</t>
  </si>
  <si>
    <t>19850125 201001 2 033</t>
  </si>
  <si>
    <t>Penata Tk.I (III/d) / 01-10-2021</t>
  </si>
  <si>
    <t>Analis Kebijakan Ahi Muda  pada  Sekretariat Dewan Perwakilan Rakyat Daerah</t>
  </si>
  <si>
    <t xml:space="preserve">Kepala Bagian Persidangan pada Sekretariat Dewan Perwakilan Rakyat Daerah </t>
  </si>
  <si>
    <t>ANDI KHOLIL,S.H.</t>
  </si>
  <si>
    <t>19690323 200902 1 001</t>
  </si>
  <si>
    <t>Analis Kebijakan Ahi Muda pada Sekretariat Dewan Perwakilan Rakyat Daerah</t>
  </si>
  <si>
    <t>RINI ASTUTI, S.Sos.</t>
  </si>
  <si>
    <t>19760926 199803 2 003</t>
  </si>
  <si>
    <t>S.1 Ilmu Sosial</t>
  </si>
  <si>
    <t>Analis Kebijakan Ahi Muda  pada Sekretariat Dewan Perwakilan Rakyat Daerah</t>
  </si>
  <si>
    <t>YUBHAN HIBA ADHIPRAMA, S.T.</t>
  </si>
  <si>
    <t>19771109 200701 1 013</t>
  </si>
  <si>
    <t xml:space="preserve">Kepala Bagian Humas dan Protokol pada Sekretariat Dewan Perwakilan Rakyat Daerah </t>
  </si>
  <si>
    <t>RIA HANDAYONA, S.E.</t>
  </si>
  <si>
    <t>19840916 200902 2 004</t>
  </si>
  <si>
    <t>Penata Tk. I (III/d) / 01-04-2020</t>
  </si>
  <si>
    <t>07-10-2020</t>
  </si>
  <si>
    <t>Pranata Humas Ahli Muda pada Sekretariat Dewan Perwakilan Rakyat Daerah</t>
  </si>
  <si>
    <t>FERRY IRAWAN, S.E.</t>
  </si>
  <si>
    <t>197006212006041001</t>
  </si>
  <si>
    <t>Penata Tk.I (III/d) / 01-04-2016</t>
  </si>
  <si>
    <t>Analis Kebijakan Ahli Muda pada Sekretariat Dewan Perwakilan Rakyat Daerah</t>
  </si>
  <si>
    <t>NENG ICE MALANTIKA, S.H.</t>
  </si>
  <si>
    <t>19800506 201001 2 006</t>
  </si>
  <si>
    <t>INSPKT</t>
  </si>
  <si>
    <t>3. INSPEKTORAT DAERAH</t>
  </si>
  <si>
    <t>Inspektur Daerah</t>
  </si>
  <si>
    <t>Drs. SUHENDAR Z, M.Si</t>
  </si>
  <si>
    <t>Pembina Utama Muda (IV/c)</t>
  </si>
  <si>
    <t>Sekretaris Inspektorat Daerah</t>
  </si>
  <si>
    <t>GUSTAM APRIYANSYAH, S.Sos., M.M.</t>
  </si>
  <si>
    <t>19770816 199803 1 006</t>
  </si>
  <si>
    <t>Pembina Tk. I (IV/b) / 01-10-2021</t>
  </si>
  <si>
    <t>02-01-2019</t>
  </si>
  <si>
    <t>PIM III 2018</t>
  </si>
  <si>
    <t>Perencana Ahli Muda pada Inspektorat</t>
  </si>
  <si>
    <t>NUZUL LILIANA, SAN.</t>
  </si>
  <si>
    <t>19920322 201502 2 001</t>
  </si>
  <si>
    <t>Penata Muda Tk.I (III/b) / 01-04-2019</t>
  </si>
  <si>
    <t>S.1 Adm. Negara</t>
  </si>
  <si>
    <t>Analis Kebijakan Ahli Muda pada pada Sekretariat Inspekorat Daerah</t>
  </si>
  <si>
    <t>RIA SAPTA MAULIANA, S.Sos.</t>
  </si>
  <si>
    <t>19800129 201001 2 018</t>
  </si>
  <si>
    <t>S.1 Ilmu Sosial Politik</t>
  </si>
  <si>
    <t>Pembina (IV/a)</t>
  </si>
  <si>
    <t>Inspektur Pembantu I pada Inspektorat Daerah</t>
  </si>
  <si>
    <t>TAMAN PRASI SKM., M.KKK</t>
  </si>
  <si>
    <t>19710202 199703 1 012</t>
  </si>
  <si>
    <t xml:space="preserve">S.2 Magister Keselamatan dan Kesehatan Kerja </t>
  </si>
  <si>
    <t>Inspektur Pembantu II pada Inspektorat Daerah</t>
  </si>
  <si>
    <t>Inspektur Pembantu III pada Inspektorat Daerah</t>
  </si>
  <si>
    <t>NOVRIZAL MULKAN, S.H., M.M.</t>
  </si>
  <si>
    <t>Inspektur Pembantu IV pada Inspektorat Daerah</t>
  </si>
  <si>
    <t>19730717 200701 1 038</t>
  </si>
  <si>
    <t>Pembina (IV/a) / 01-10-2019</t>
  </si>
  <si>
    <t>09-04-2020</t>
  </si>
  <si>
    <t>PIM III 2017</t>
  </si>
  <si>
    <t>Inspektur Pembantu V pada Inspektorat Daerah</t>
  </si>
  <si>
    <t>TABRONI  ROFI`I, S.Sos., M.I.P.</t>
  </si>
  <si>
    <t>19751001 200312 1 001</t>
  </si>
  <si>
    <t>POLPP</t>
  </si>
  <si>
    <t>4. SATUAN POLISI PAMONG PRAJA</t>
  </si>
  <si>
    <t>Kepala Satuan Polisi Pamong Praja</t>
  </si>
  <si>
    <t>RICARDO PUTRAYASA, S.A.B</t>
  </si>
  <si>
    <t>19830704 200212 1 006</t>
  </si>
  <si>
    <t>S1. Manajemen Ekonomi Publik</t>
  </si>
  <si>
    <t>04-11-2024</t>
  </si>
  <si>
    <t>Sekretaris Satuan Polisi Pamong Praja</t>
  </si>
  <si>
    <t>NASHUR AS, S.E., M.M.</t>
  </si>
  <si>
    <t>19701209 199803 1 004</t>
  </si>
  <si>
    <t>Pembina Tk.I (IV/b) / 01-10-2022</t>
  </si>
  <si>
    <t>28-12-2022</t>
  </si>
  <si>
    <t>Kepala Sub Bagian Program pada Sekretariat Satuan Polisi Pamong Praja</t>
  </si>
  <si>
    <t>DARWIN, S.E., M.M.</t>
  </si>
  <si>
    <t>19780109 200902 1002</t>
  </si>
  <si>
    <t>Kepala Sub Bagian Keuangan pada Sekretariat Satuan Polisi Pamong Praja</t>
  </si>
  <si>
    <t>YETTI MARIA, S.Kom.</t>
  </si>
  <si>
    <t>19820329 200801 2 014</t>
  </si>
  <si>
    <t>Penata Tk. I (III/d) / 01-04-2022</t>
  </si>
  <si>
    <t>18-09-2023</t>
  </si>
  <si>
    <t>Kepala Sub Bagian Umum dan Kepegawaian pada Sekretariat Satuan Polisi Pamong Praja</t>
  </si>
  <si>
    <t>DENI ANDRIYANA, S.E</t>
  </si>
  <si>
    <t>19800731 200902 1 001</t>
  </si>
  <si>
    <t>Kepala Bidang Penegakkan Perundang-Undangan Daerah pada Satuan Polisi Pamong Praja</t>
  </si>
  <si>
    <t>SIGIT TRIYONO, SIP.</t>
  </si>
  <si>
    <t>19820215 200902 1 006</t>
  </si>
  <si>
    <t>Penata Tk. I (III/d) / 01-04-2018</t>
  </si>
  <si>
    <t>3B</t>
  </si>
  <si>
    <t>Kepala Seksi Pembinaan, Pengawasan dan Penyuluhan pada Bidang Penegakkan Perundang-Undangan Daerah pada Satuan Polisi Pamong Praja</t>
  </si>
  <si>
    <t>SUPRIADI, S.T.</t>
  </si>
  <si>
    <t>19820515 200902 1 004</t>
  </si>
  <si>
    <t xml:space="preserve">S.1 Ekonomi </t>
  </si>
  <si>
    <t>Kepala Seksi Penyelidikan dan Penyidikan pada Bidang Penegakan Perundang-Undangan Daerah   pada Satuan Polisi Pamong Praja</t>
  </si>
  <si>
    <t>JALILI, S.E.</t>
  </si>
  <si>
    <t>19750905 200701 1 004</t>
  </si>
  <si>
    <t>29-11-2019</t>
  </si>
  <si>
    <t>Kepala Bidang Ketertiban Umum dan Ketentraman Masyarakat pada Satuan Polisi Pamong Praja</t>
  </si>
  <si>
    <t>HAITER MUNTAIN, S.I.P.,M.M.</t>
  </si>
  <si>
    <t>19761225 200902 1 002</t>
  </si>
  <si>
    <t>S.1 Ilmu Pemerintahan/ S.2 Magister Manajemen</t>
  </si>
  <si>
    <t>Kepala Seksi Kerjasama pada Bidang Ketertiban Umum dan Ketentraman Masyarakat pada Satuan Polisi Pamong Praja</t>
  </si>
  <si>
    <t>BURHAN, S.IP</t>
  </si>
  <si>
    <t>19731008 200801 1 006</t>
  </si>
  <si>
    <t>S.1 Pemerintahan</t>
  </si>
  <si>
    <t>24-02-2022</t>
  </si>
  <si>
    <t>Kepala Seksi Operasi dan Pengendalian pada Bidang Ketertiban Umum dan Ketentraman Masyarakat pada Satuan Polisi Pamong Praja</t>
  </si>
  <si>
    <t>ARIS SIGIT WIDODO, S.E</t>
  </si>
  <si>
    <t>19710421 199803 1 008</t>
  </si>
  <si>
    <t>Kepala Bidang Sumber Daya Aparatur pada Satuan Polisi Pamong Praja</t>
  </si>
  <si>
    <t>S2. Magister Manajemen</t>
  </si>
  <si>
    <t>07-09-2022</t>
  </si>
  <si>
    <t>Kepala Seksi Pelatihan Dasar pada Bidang Sumber Daya Aparatur pada Satuan Polisi Pamong Praja</t>
  </si>
  <si>
    <t>MUHAMMAD IRAWAN, S.E.</t>
  </si>
  <si>
    <t>19820520 200902 1 004</t>
  </si>
  <si>
    <t>Kepala Seksi Teknis Fungsional pada Bidang Sumber Daya Aparatur pada Satuan Polisi Pamong Praja</t>
  </si>
  <si>
    <t>19760920 200902 1 003</t>
  </si>
  <si>
    <t>Penata (III/c) / 01-10-2019</t>
  </si>
  <si>
    <t>Kepala Bidang Perlindungan Masyarakat pada Satuan Polisi Pamong Praja</t>
  </si>
  <si>
    <t>HALIMI, S.Sos.,M.M.</t>
  </si>
  <si>
    <t>19740912 200801 1 010</t>
  </si>
  <si>
    <t>Penata Tk.I (III/d) / 01-10-2019</t>
  </si>
  <si>
    <t>Kepala Seksi Satuan Perlindungan Masyarakat pada Bidang Perlindungan Msyarakat pada Satuan Polisi Pamong Praja</t>
  </si>
  <si>
    <t>JONI HARTONO, S.H.,M.M.</t>
  </si>
  <si>
    <t>19800612 200902 1 004</t>
  </si>
  <si>
    <t>S.2 Magister Hukum</t>
  </si>
  <si>
    <t>Kepala Seksi Bina Potensi Masyarakat pada Bidang Perlindungan Masyarakat pada Satuan Polisi Pamong Praja</t>
  </si>
  <si>
    <t>Pembina (IV/a) / 01-04-2022</t>
  </si>
  <si>
    <t>26-03-2021</t>
  </si>
  <si>
    <t>DAMKR</t>
  </si>
  <si>
    <t>5. DINAS PEMADAM KEBAKARAN DAN PENYELAMATAN</t>
  </si>
  <si>
    <t>Kepala Dinas Pemadam Kebakaran dan Penyelamatan</t>
  </si>
  <si>
    <t>Drs. FIRDAUS TARUNAJAYA, M.M.</t>
  </si>
  <si>
    <t>19690828 198909 1 001</t>
  </si>
  <si>
    <t>26-01-2026</t>
  </si>
  <si>
    <t>Sekretaris Dinas Pemadam Kebakaran dan Penyelamatan</t>
  </si>
  <si>
    <t>YOSA SUMBALA, S.S.T.P.</t>
  </si>
  <si>
    <t>19870312 200602 1 001</t>
  </si>
  <si>
    <t>Pembina Tk.I (IV/b) / 01-04-2024</t>
  </si>
  <si>
    <t>16-01-2021</t>
  </si>
  <si>
    <t xml:space="preserve">Kepala Sub Bagian Umum dan Kepegawaian pada Sekretariat Dinas Pemadam dan Penyelamatan </t>
  </si>
  <si>
    <t>ROHIMUDDIN, S.E.</t>
  </si>
  <si>
    <t>19800506 200902 1 003</t>
  </si>
  <si>
    <t>Penata (III/c) / 01-04-2019</t>
  </si>
  <si>
    <t xml:space="preserve">Kepala Sub Bagian Perencanaan dan Keuangan pada Sekretariat Dinas Pemadam dan Penyelamatan </t>
  </si>
  <si>
    <t>SITI YUSTIAN TRI WULANDARI, S.E.</t>
  </si>
  <si>
    <t>19900927 201502 2 002</t>
  </si>
  <si>
    <t xml:space="preserve">Kepala Bidang Pencegahan pada Dinas Pemadam Kebakaran dan Penyelamatan </t>
  </si>
  <si>
    <t>19781107 200701 1 003</t>
  </si>
  <si>
    <t xml:space="preserve">Kepala Seksi Pencegahan dan Inspeksi pada Bidang Pencegahan pada Dinas Pemadam Kebakaran dan Penyelamatan </t>
  </si>
  <si>
    <t xml:space="preserve">ANSORI MUKRIM, S.T., M.M. </t>
  </si>
  <si>
    <t>19770403 200701 1 006</t>
  </si>
  <si>
    <t>Penata Tk.I (III/d) / 01-04-2020</t>
  </si>
  <si>
    <t>Kepala Seksi Peningkatan Kapasitas Aparatur pada Bidang Pencegahan pada Dinas Pemadam Kebakaran dan Penyelamatan</t>
  </si>
  <si>
    <t xml:space="preserve">EDI SAPUTRA, S.IP </t>
  </si>
  <si>
    <t>19790202 200701 1 020</t>
  </si>
  <si>
    <t>Penata (III/c) / 01-10-2020</t>
  </si>
  <si>
    <t>S-1 Ilmu Pemerintahan</t>
  </si>
  <si>
    <t>Analis Kebakaran Ahli Muda pada Dinas Pemadam Kebakaran dan Penyelamatan</t>
  </si>
  <si>
    <t>HIDAYAT,S.E.</t>
  </si>
  <si>
    <t>19750724 200701 1 003</t>
  </si>
  <si>
    <t>Penata Tk.I (III/d) / 01-10-2020</t>
  </si>
  <si>
    <t xml:space="preserve">Kepala Bidang Pemadam, Penyelamatan, dan Sarana Prasarana pada Dinas Pemadam dan Penyelamatan </t>
  </si>
  <si>
    <t>ASMUNI ROMZI, S.E.</t>
  </si>
  <si>
    <t>19740408 200701 1 005</t>
  </si>
  <si>
    <t>Penata Tk.I (III/d) / 01-4-2020</t>
  </si>
  <si>
    <t xml:space="preserve">Kepala Seksi Pemadam Kebakaran pada Bidang Pemadam, Penyelamatan, dan Sarana Prasarana pada Dinas Pemadam dan Penyelamatan </t>
  </si>
  <si>
    <t>NUZIRWAN, S.I.P.</t>
  </si>
  <si>
    <t>19770415 200701 1 014</t>
  </si>
  <si>
    <t>Penata Tk. (III/d) / 01-04-2022</t>
  </si>
  <si>
    <t xml:space="preserve">Kepala Seksi Penyelamatan dan Evakuasi pada Bidang Pemadam, Penyelamatan, dan Sarana Prasarana pada Dinas Pemadam dan Penyelamatan </t>
  </si>
  <si>
    <t>KHUFRONSYAH, S.E.</t>
  </si>
  <si>
    <t>19770604 200701 1 007</t>
  </si>
  <si>
    <t>ERWIN EFENDI, S.IP</t>
  </si>
  <si>
    <t>19730410 200701 1 006</t>
  </si>
  <si>
    <t>CAPIL</t>
  </si>
  <si>
    <t>6. DINAS KEPENDUDUKAN DAN PENCATATAN SIPIL</t>
  </si>
  <si>
    <t xml:space="preserve">Kepala Dinas Kependudukan dan Pencatatan Sipil </t>
  </si>
  <si>
    <t>19790903 199810 1 001</t>
  </si>
  <si>
    <t>Pembina Utama Muda (IV/c) / 01-10-2022</t>
  </si>
  <si>
    <t>D.IV STPDN/S.2 Magister Sains</t>
  </si>
  <si>
    <t>14-01-2020</t>
  </si>
  <si>
    <t xml:space="preserve">Sekretaris Dinas Kependudukan dan Pencatatan Sipil </t>
  </si>
  <si>
    <t>S.1 Pertanian</t>
  </si>
  <si>
    <t>Kepala Sub Bagian Umum dan Kepegawaian pada Sekretariat Dinas Kependudukan dan Pencatatan Sipil</t>
  </si>
  <si>
    <t>YETI HANDAYANI, S.Kom.</t>
  </si>
  <si>
    <t>19811013 201406 2 002</t>
  </si>
  <si>
    <t>Penata Muda (III/b) / 01-04-2022</t>
  </si>
  <si>
    <t>S.1 Sistem Informasi</t>
  </si>
  <si>
    <t>10-06-2024</t>
  </si>
  <si>
    <t>Analis Keuangan Pusat/Daerah Ahli Muda pada Dinas Kependudukan dan Pencatatan Sipil</t>
  </si>
  <si>
    <t>Kepala Sub Bagian Perencanaan pada Sekretariat Dinas Kependudukan dan Pencatatan Sipil</t>
  </si>
  <si>
    <t>S-2 Manajemen Pembangunan Daerah</t>
  </si>
  <si>
    <t>Kepala Bidang Pelayanan Pendaftaran Penduduk pada Dinas Kependudukan dan Pencatatan Sipil</t>
  </si>
  <si>
    <t>APRIZAL, S.Kom</t>
  </si>
  <si>
    <t>19830421 200604 1 009</t>
  </si>
  <si>
    <t>Penata Tk.I (III/d) / 01-10-2017</t>
  </si>
  <si>
    <t>Administrator database kependudukan Ahli Muda pada Dinas Kependudukan dan Pencatatan Sipil</t>
  </si>
  <si>
    <t>DAFITRIOSEPAJAR, S.Kom.</t>
  </si>
  <si>
    <t>19770915 201101 1 004</t>
  </si>
  <si>
    <t>Penata Tk. I (III/d) / 01-10-2020</t>
  </si>
  <si>
    <t xml:space="preserve">Kepala Bidang Pelayanan Pencatatan Sipil pada Dinas Kependudukan dan Pencatatan Sipil </t>
  </si>
  <si>
    <t>ARUM HANDAYANI, S.E.</t>
  </si>
  <si>
    <t>19810518 200501 2 014</t>
  </si>
  <si>
    <t>Penata Tk. I (III/d) / 01-10-2019</t>
  </si>
  <si>
    <t>02-02-2023</t>
  </si>
  <si>
    <t>JANUARTINA, S.E.</t>
  </si>
  <si>
    <t>19790113 200902 2 004</t>
  </si>
  <si>
    <t>Penata (III/b)/01-10-2020</t>
  </si>
  <si>
    <t>ROSILAWATI, S.E.</t>
  </si>
  <si>
    <t>19720615 200604 2 017</t>
  </si>
  <si>
    <t xml:space="preserve">Kepala Bidang Pengelolaan Informasi Administrasi Kependudukan (PIAK) pada Dinas Kependudukan dan Pencatatan Sipil </t>
  </si>
  <si>
    <t>KURNIA HIDAYANTI, S.E.</t>
  </si>
  <si>
    <t>19720316 199803 2 004</t>
  </si>
  <si>
    <t>Penata Tk.I (III/d) / 01-10-2018</t>
  </si>
  <si>
    <t>14-12-2020</t>
  </si>
  <si>
    <t>Analis Kebijakan Ahli Muda pada Dinas Kependudukan dan Pencatatan Sipil</t>
  </si>
  <si>
    <t>SUMAINI, S.Sos., M.M.</t>
  </si>
  <si>
    <t>19760907 200701 2 015</t>
  </si>
  <si>
    <t>AFRIYANTI, S.E.</t>
  </si>
  <si>
    <t>19710424 200604 2 013</t>
  </si>
  <si>
    <t>Penata Tk. I (III/d) / 01-04-2019</t>
  </si>
  <si>
    <t xml:space="preserve">Kepala Bidang Pemanfaatan Data dan Inovasi Pelayanan pada Dinas Kependudukan dan Pencatatan Sipil </t>
  </si>
  <si>
    <t>LUSIA UMINI, S.Kom, M.M.</t>
  </si>
  <si>
    <t>19780308 200701 2 011</t>
  </si>
  <si>
    <t>DISDIKBUD</t>
  </si>
  <si>
    <t>7. DINAS PENDIDIKAN DAN KEBUDAYAAN</t>
  </si>
  <si>
    <t>Kepala Dinas Pendidikan dan Kebudayaan</t>
  </si>
  <si>
    <t>RAKHMAN HUSIN, S.Sos., M.M.</t>
  </si>
  <si>
    <t>19710430 200312 1 002</t>
  </si>
  <si>
    <t>Pembina Tk.I (IV/b) / 01-10-2018</t>
  </si>
  <si>
    <t>Sekretaris Dinas Pendidikan dan Kebudayaan</t>
  </si>
  <si>
    <t>ALMUHAISIN, S.E.</t>
  </si>
  <si>
    <t>19770715 199903 1 004</t>
  </si>
  <si>
    <t xml:space="preserve">Perencana Ahli Muda pada Sekretariat Dinas Pendidikan dan Kebudayaan </t>
  </si>
  <si>
    <t>DONI, S.Kom</t>
  </si>
  <si>
    <t>19801016 201407 1 003</t>
  </si>
  <si>
    <t>S.1 komputer</t>
  </si>
  <si>
    <t xml:space="preserve">Analis Keuangan Pusat / Daerah Ahli Muda pada Sekretariat Dinas Pendidikan dan Kebudayaan </t>
  </si>
  <si>
    <t>YOSI ERYATI, S.E.</t>
  </si>
  <si>
    <t>19820119 200212 2 002</t>
  </si>
  <si>
    <t xml:space="preserve">Kepala Bidang Ketenagaan pada Dinas Pendidikan dan Kebudayaan </t>
  </si>
  <si>
    <t xml:space="preserve">Kepala Seksi Ketenagaan Pendidikan Dasar pada Bidang Ketenagaan pada Dinas Pendidikan dan Kebudayaan </t>
  </si>
  <si>
    <t>15-06-2021</t>
  </si>
  <si>
    <t xml:space="preserve">Kepala Seksi Ketenagaan Pendidikan Anak Usia Dini pada Bidang Ketenagaan pada Dinas Pendidikan dan Kebudayaan </t>
  </si>
  <si>
    <t>19690904 200604 2 007</t>
  </si>
  <si>
    <t>Analis Sumber Daya Aparatur Ahli Muda pada Dinas Pendidikan</t>
  </si>
  <si>
    <t xml:space="preserve">Kepala Bidang Pendidikan Dasar pada Dinas Pendidikan dan Kebudayaan </t>
  </si>
  <si>
    <t>Hindu</t>
  </si>
  <si>
    <t>Kepala Seksi Kurikulum Sekolah Dasar pada Bidang Pendidikan Dasar pada Dinas Pendidikan dan Kebudayaan</t>
  </si>
  <si>
    <t xml:space="preserve">Kepala Seksi Kurikulum Sekolah Menengah Pertama pada Bidang Pendidikan Dasar pada Dinas Pendidikan dan Kebudayaan </t>
  </si>
  <si>
    <t>ISKANDAR, S.Ag, M.Pdi</t>
  </si>
  <si>
    <t>19680915 199512 1 001</t>
  </si>
  <si>
    <t xml:space="preserve">Pengembang Teknologi Pembelajaran Ahli Muda pada Dinas Pendidikan dan Kebudayaan </t>
  </si>
  <si>
    <t>AFRINA, S.E.</t>
  </si>
  <si>
    <t>19830228 201212 2 002</t>
  </si>
  <si>
    <t>S1. Ekonomi</t>
  </si>
  <si>
    <t>30-12-2021</t>
  </si>
  <si>
    <t xml:space="preserve">Kepala Bidang PAUD dan DIKMAS pada Dinas Pendidikan dan Kebudayaan </t>
  </si>
  <si>
    <t>AFIFAH ASNA DEWI, S.Si.</t>
  </si>
  <si>
    <t>Kepala Seksi Pendidikan Anak Usia Dini pada Bidang PAUD dan DIKMAS pada Dinas Pendidikan dan Kebudayaan</t>
  </si>
  <si>
    <t xml:space="preserve">Kepala Seksi Pendidikan Masyarakat (DIKMAS) pada Bidang PAUD dan DIKMAS pada Dinas Pendidikan dan Kebudayaan </t>
  </si>
  <si>
    <t xml:space="preserve">Widyaprada Ahli Muda pada Dinas Pendidikan dan Kebudayaan </t>
  </si>
  <si>
    <t>AQUARINA PAHLAWI, S.Kom</t>
  </si>
  <si>
    <t>19780201 200804 2 002</t>
  </si>
  <si>
    <t xml:space="preserve"> Penata Tk.I (III/d) / 01-04-2023</t>
  </si>
  <si>
    <t>S1. Komputer</t>
  </si>
  <si>
    <t xml:space="preserve">Kepala Bidang Sarana dan Prasarana Pendidikan pada Dinas Pendidikan dan Kebudayaan </t>
  </si>
  <si>
    <t>MULYADI, S.T.,M.M.</t>
  </si>
  <si>
    <t xml:space="preserve">Kepala Seksi Sarana dan Prasarana Sekolah Dasar pada Bidang Sarana dan Prasarana Pendidikan pada Dinas Pendidikan dan Kebudayaan </t>
  </si>
  <si>
    <t>MUHLISIN, S.E.</t>
  </si>
  <si>
    <t xml:space="preserve">Kepala Seksi Sarana dan Prasarana Sekolah Menengah Pertama pada Bidang Sarana dan Prasarana Pendidikan pada Dinas Pendidikan dan Kebudayaan </t>
  </si>
  <si>
    <t>ANDI SUSANTO, S.Kom</t>
  </si>
  <si>
    <t>19780605 200501 1 010</t>
  </si>
  <si>
    <t>24-02-2025</t>
  </si>
  <si>
    <t>23-01-2017</t>
  </si>
  <si>
    <t xml:space="preserve">Pengembang Penilaian Pendidikan Ahli Muda pada Dinas Pendidikan dan Kebudayaan </t>
  </si>
  <si>
    <t xml:space="preserve">Kepala Bidang Kebudayaan pada Dinas Pendidikan dan Kebudayaan </t>
  </si>
  <si>
    <t>ZURYATI, S.E.</t>
  </si>
  <si>
    <t>Pamong Budaya Ahli Muda pada Dinas Pendidikan dan Kebudayaan</t>
  </si>
  <si>
    <t>ROSYADI, S.E.</t>
  </si>
  <si>
    <t>19810718 200902 1 007</t>
  </si>
  <si>
    <t>ANAS KAMALAJAYA, S.E.</t>
  </si>
  <si>
    <t>197210152007011006</t>
  </si>
  <si>
    <t>Penata Tk.I (III/d) / 01-10-2016</t>
  </si>
  <si>
    <t>SORI BASARI, S.E.</t>
  </si>
  <si>
    <t>19780202 199803 1 006</t>
  </si>
  <si>
    <t>Penata Tk.I (III/d) / 01-10-2015</t>
  </si>
  <si>
    <t>DINKES</t>
  </si>
  <si>
    <t>8. DINAS KESEHATAN</t>
  </si>
  <si>
    <t>Kepala Dinas Kesehatan</t>
  </si>
  <si>
    <t>dr. HERRY NOVRIZAL, M.M.</t>
  </si>
  <si>
    <t>19721124 200212 1 002</t>
  </si>
  <si>
    <t>Sekretaris Dinas Kesehatan</t>
  </si>
  <si>
    <t>Kepala Sub Bagian Penyusunan Program dan Informasi pada Sekretariat Dinas Kesehatan</t>
  </si>
  <si>
    <t>19840619 201101 1 002</t>
  </si>
  <si>
    <t>Penata (III/c)</t>
  </si>
  <si>
    <t>Kepala Sub Bagian Kepegawaian dan Umum pada Sekretariat Dinas Kesehatan</t>
  </si>
  <si>
    <t>JAUHARI, S.E.</t>
  </si>
  <si>
    <t>19730310 200701 1 033</t>
  </si>
  <si>
    <t>05-04-2020</t>
  </si>
  <si>
    <t>Analis Keuangan Pusat dan Daerah Ahli Muda pada Dinas Kesehatan</t>
  </si>
  <si>
    <t>Kepala Bidang Pelayanan Kesehatan pada Dinas Kesehatan</t>
  </si>
  <si>
    <t>YEKTI MULYANI, S.Si.</t>
  </si>
  <si>
    <t>19740120 200604 2 002</t>
  </si>
  <si>
    <t>Pembina (IV/a) /01-10-2022</t>
  </si>
  <si>
    <t>S.1 Farmasi</t>
  </si>
  <si>
    <t>26-11-2020</t>
  </si>
  <si>
    <t>Administrator Kesehatan Ahli Muda pada Dinas Kesehatan</t>
  </si>
  <si>
    <t>MELNAWATI, SKM.,M.M.</t>
  </si>
  <si>
    <t>19760622 200604 2 006</t>
  </si>
  <si>
    <t>Kepala Bidang Sumber Daya Kesehatan pada Dinas Kesehatan</t>
  </si>
  <si>
    <t>NASRULLOH, S.E., M.M.</t>
  </si>
  <si>
    <t>19810816 200801 1 008</t>
  </si>
  <si>
    <t>IMRON ROSYADI, S.Si. A.Pt.</t>
  </si>
  <si>
    <t>19840202 201001 1 010</t>
  </si>
  <si>
    <t>Penata (III/c) / 01-04-2020</t>
  </si>
  <si>
    <t>HERLINA, S.ST, M.Kes</t>
  </si>
  <si>
    <t>19761005 200212 2 006</t>
  </si>
  <si>
    <t xml:space="preserve"> S.2 Magister Kesehatan</t>
  </si>
  <si>
    <t>Kepala Bidang Pencegahan dan Pengendalian Penyakit pada Dinas Kesehatan</t>
  </si>
  <si>
    <t>BAMBANG SUTEJO, S.K.M., M.M.</t>
  </si>
  <si>
    <t>19740805 199901 1 003</t>
  </si>
  <si>
    <t>Epidemiolog Kesehatan Ahli Muda pada Dinas Kesehatan</t>
  </si>
  <si>
    <t>ARI KARTIKA, A.Md.Kep</t>
  </si>
  <si>
    <t>19810401 200501 2 008</t>
  </si>
  <si>
    <t>Penata (III/c) / 01-04-2017</t>
  </si>
  <si>
    <t>D.III Keperawatan</t>
  </si>
  <si>
    <t>JOHAN WAHYUDI, Amd.Tem</t>
  </si>
  <si>
    <t>19770110 200012 1 001</t>
  </si>
  <si>
    <t>D.III Teknik Elektro</t>
  </si>
  <si>
    <t>D.3 Kesehatan Lingkungan</t>
  </si>
  <si>
    <t>Kepala Bidang Kesehatan Masyarakat pada Dinas Kesehatan</t>
  </si>
  <si>
    <t>Laki-Laki</t>
  </si>
  <si>
    <t>19770509 200801 2 015</t>
  </si>
  <si>
    <t>PUPR</t>
  </si>
  <si>
    <t>9. DINAS PEKERJAAN UMUM DAN PERUMAHAN RAKYAT</t>
  </si>
  <si>
    <t>Kepala Dinas Pekerjaan Umum dan Perumahan Rakyat</t>
  </si>
  <si>
    <t>Ir. BELLI PAHLUPI, S.T.,M.T</t>
  </si>
  <si>
    <t>19751223 200003 1 004</t>
  </si>
  <si>
    <t>Pembina Tk.I (IV/b)</t>
  </si>
  <si>
    <t>S.2 Magister Teknik</t>
  </si>
  <si>
    <t>Sekretaris Dinas Pekerjaan Umum dan Perumahan Rakyat</t>
  </si>
  <si>
    <t>EKA ANGKASAWAN, S.T., M.T.</t>
  </si>
  <si>
    <t>Kepala Sub Bagian Umum dan Kepegawaian pada Sekretariat Dinas Pekerjaan Umum dan Perumahan Rakyat</t>
  </si>
  <si>
    <t>YERNI, S.E.</t>
  </si>
  <si>
    <t>19810605 200801 2 016</t>
  </si>
  <si>
    <t>Kepala Sub Bagian Keuangan pada Sekretariat Dinas Pekerjaan Umum dan Perumahan Rakyat</t>
  </si>
  <si>
    <t>MELI MARLINA, S.Kom.,M.M.</t>
  </si>
  <si>
    <t>19760307 201001 2 008</t>
  </si>
  <si>
    <t>Analis Kebijakan Ahli Muda pada Dinas Dinas Pekerjaan Umum dan Perumahan Rakyat</t>
  </si>
  <si>
    <t>DESWANDIE ABDUL BARIE, S.IP</t>
  </si>
  <si>
    <t>19781215 200701 1 006</t>
  </si>
  <si>
    <t>Kepala Bidang Bina Program pada Dinas Pekerjaan Umum dan Perumahan Rakyat</t>
  </si>
  <si>
    <t>TONNY SAPUTRA, S.H., M.M.</t>
  </si>
  <si>
    <t>19760228 199803 1 003</t>
  </si>
  <si>
    <t>S1. Hukum/ S.2 Magister Manajemen</t>
  </si>
  <si>
    <t>Perencana Ahli Muda pada Dinas Pekerjaan Umum dan Perumahan Rakyat</t>
  </si>
  <si>
    <t>JAKA SUTIAWAN, S.I.P.</t>
  </si>
  <si>
    <t>19800618 200801 1 012</t>
  </si>
  <si>
    <t>Pranata Komputer Ahli Muda pada Dinas Pekerjaan Umum dan Perumahan Rakyat</t>
  </si>
  <si>
    <t>SYAIFUL BAHRI, S.E.</t>
  </si>
  <si>
    <t>19760530 200312 1 004</t>
  </si>
  <si>
    <t>Penata Tk.I (III/d) / 01-04-2019</t>
  </si>
  <si>
    <t>Kepala Bidang Bina Marga pada Dinas Pekerjaan Umum dan Perumahan Rakyat</t>
  </si>
  <si>
    <t>BOWO NUGROHO, S.T., M.T.</t>
  </si>
  <si>
    <t>19750414 200003 1 002</t>
  </si>
  <si>
    <t>Pembina (IV/a) / 01-04-2017</t>
  </si>
  <si>
    <t>29-01-2019</t>
  </si>
  <si>
    <t>Teknik Jalan dan Jembatan Ahli Muda pada Dinas Pekerjaan Umum dan Perumahan Rakyat</t>
  </si>
  <si>
    <t>ARIANTONI, S.T., M.T.</t>
  </si>
  <si>
    <t>19700220 199503 1 005</t>
  </si>
  <si>
    <t>S.2 Teknik</t>
  </si>
  <si>
    <t>FIRDAUS HASAN, S.E.</t>
  </si>
  <si>
    <t>19700219 200604 1 002</t>
  </si>
  <si>
    <t>SRIYATI, S.T.,M.M.</t>
  </si>
  <si>
    <t>19761010 200801 2 032</t>
  </si>
  <si>
    <t>Kepala Bidang Cipta Karya pada  Dinas Pekerjaan Umum dan Perumahan Rakyat</t>
  </si>
  <si>
    <t>Teknik Tata Bangunan dan Perumahan Ahli Muda pada Dinas Pekerjaan Umum dan Perumahan Rakyat</t>
  </si>
  <si>
    <t>SODRI MUKRIM, S.T.</t>
  </si>
  <si>
    <t>19790818 200701 1 012</t>
  </si>
  <si>
    <t>Teknik Penyehatan Lingkungan Ahli Muda pada Dinas Pekerjaan Umum dan Perumahan Rakyat</t>
  </si>
  <si>
    <t>ATRIA ANTHONI, S.P., M.M.</t>
  </si>
  <si>
    <t>19820312 201001 1 023</t>
  </si>
  <si>
    <t>NURIYANTO, S.E.</t>
  </si>
  <si>
    <t>19760712 200701 1 027</t>
  </si>
  <si>
    <t>Kepala Bidang Pengairan pada Dinas Pekerjaan Umum dan Perumahan Rakyat</t>
  </si>
  <si>
    <t>Teknik Pengairan Ahli Muda pada Dinas Pekerjaan Umum dan Perumahan Rakyat</t>
  </si>
  <si>
    <t>YUSPI, S.I.P.</t>
  </si>
  <si>
    <t>19740513 200701 1 032</t>
  </si>
  <si>
    <t>FIRDAUS ALAMSYAH, S.T.,M.T.</t>
  </si>
  <si>
    <t>19750817 201406 1 003</t>
  </si>
  <si>
    <t>Kepala Bidang Penyediaan Perumahan pada Dinas Pekerjaan Umum dan Perumahan Rakyat</t>
  </si>
  <si>
    <t>AGUSTIADI LAKO, S.T., M.T.</t>
  </si>
  <si>
    <t>14-09-2023</t>
  </si>
  <si>
    <t>HARIYANI, S.T.,M.T.</t>
  </si>
  <si>
    <t>19730712 200604 2 010</t>
  </si>
  <si>
    <t>Penata Tk. I (III/d) / 01-04-2014</t>
  </si>
  <si>
    <t>S.1 Teknik / S.2 Magister Teknik</t>
  </si>
  <si>
    <t>Penata Ruang Ahli Muda pada Dinas Pekerjaan Umum dan Perumahan Rakyat</t>
  </si>
  <si>
    <t>SYAMSYUDDUHA, SE</t>
  </si>
  <si>
    <t>19801120 200801 1 014</t>
  </si>
  <si>
    <t>HERI GUSTOMI, S.H.</t>
  </si>
  <si>
    <t>19820816 201502 1 001</t>
  </si>
  <si>
    <t>Penata (III/c) / 01-10-2021</t>
  </si>
  <si>
    <t>Kepala Bidang Tata Kota dan Jasa Konstruksi pada Dinas Pekerjaan Umum dan Perumahan Rakyat</t>
  </si>
  <si>
    <t>DWI ANDY SETIAWAN, S.T.,M.T.</t>
  </si>
  <si>
    <t>19780425 200501 1 005</t>
  </si>
  <si>
    <t>Pembina Jasa Konstruksi Ahli Muda pada Dinas Pekerjaan Umum dan Perumahan Rakyat</t>
  </si>
  <si>
    <t>ANDANTI DWI YUNIARTI, S.T.,M.T</t>
  </si>
  <si>
    <t>19760606 200801 2 027</t>
  </si>
  <si>
    <t>ELI SUMYATI, S.E.</t>
  </si>
  <si>
    <t>19800403 200902 2 006</t>
  </si>
  <si>
    <t>PIPIT APRIHANDOKO, S.Kom</t>
  </si>
  <si>
    <t>19830402 200902 1 002</t>
  </si>
  <si>
    <t>DINSOS</t>
  </si>
  <si>
    <t>10. DINAS SOSIAL</t>
  </si>
  <si>
    <t>Kepala Dinas Sosial</t>
  </si>
  <si>
    <t>Drs. HARDASYAH,M.M.</t>
  </si>
  <si>
    <t>19671105 199312 1 001</t>
  </si>
  <si>
    <t>Pembina Utama Muda (IV/b) / 01-10-2022</t>
  </si>
  <si>
    <t>S1. Ilmu Sosial Politik dan Administrasi Negara</t>
  </si>
  <si>
    <t>30-11-2021</t>
  </si>
  <si>
    <t>Sekretaris Dinas Sosial</t>
  </si>
  <si>
    <t>MUZLINA R, S.T.P., M.M.</t>
  </si>
  <si>
    <t>19750727 200604 2 024</t>
  </si>
  <si>
    <t>Kepala Sub Bagian Umum dan Kepegawaian pada Sekretariat Dinas Sosial</t>
  </si>
  <si>
    <t>KALINGGO MARGONO S.Kom</t>
  </si>
  <si>
    <t>19780606 201212 1 003</t>
  </si>
  <si>
    <t>Penata Muda Tk.I (III/b)</t>
  </si>
  <si>
    <t>Perencana Ahli Muda pada Dinas Sosial</t>
  </si>
  <si>
    <t>MIRNAWATI, S.E.</t>
  </si>
  <si>
    <t>19800612 200701 2 006</t>
  </si>
  <si>
    <t>Penata Tk,I (III/d) / 01-04-2022</t>
  </si>
  <si>
    <t>Analis Keuangan Pusat/Daerah Ahli Muda pada Dinas Sosial</t>
  </si>
  <si>
    <t>PRAMARISTA APRIAWAN, S.E.</t>
  </si>
  <si>
    <t>19710429 200801 1 009</t>
  </si>
  <si>
    <t>Penata Tk,I (III/d) / 01-04-2020</t>
  </si>
  <si>
    <t>Kepala Bidang Pemberdayaan Sosial pada Dinas Sosial</t>
  </si>
  <si>
    <t>JOHN AWALUDDIN, S.T.</t>
  </si>
  <si>
    <t>19780922 200312 1 005</t>
  </si>
  <si>
    <t>Pembina (IV/a) / 01-10-2018</t>
  </si>
  <si>
    <t>Pekerja Sosial Ahli Muda pada Dinas Sosial</t>
  </si>
  <si>
    <t>FATURAHMAN MAHARDIKA, A.Md.AK.</t>
  </si>
  <si>
    <t>19811108 200212 1 002</t>
  </si>
  <si>
    <t>Penata Tk.I (III/d)</t>
  </si>
  <si>
    <t>D3. Analis Kesehatan</t>
  </si>
  <si>
    <t>LAINA TUSSIFA, S.Sos</t>
  </si>
  <si>
    <t>19750328 201001 2 002</t>
  </si>
  <si>
    <t>Kepala Bidang Perlindungan dan Jaminan Sosial pada Dinas Sosial</t>
  </si>
  <si>
    <t>FINA OKTASARI, S.H., M.H.</t>
  </si>
  <si>
    <t>19801017 200501 2 009</t>
  </si>
  <si>
    <t>S-2 Hukum</t>
  </si>
  <si>
    <t>24-09-2021</t>
  </si>
  <si>
    <t>Penyuluh Sosial Ahli Muda pada Dinas Sosial</t>
  </si>
  <si>
    <t>ONGKI SATRIO SUMANTRI,S.Sos</t>
  </si>
  <si>
    <t>19890915 201502 1 001</t>
  </si>
  <si>
    <t>ARIP HIDAYAT, S.Kom</t>
  </si>
  <si>
    <t>19810110 201001 1 010</t>
  </si>
  <si>
    <t>Kepala Bidang Penanganan Fakir Miskin pada Dinas Sosial</t>
  </si>
  <si>
    <t>RIENS DEPILA ABDUL KADIR, S.STP.</t>
  </si>
  <si>
    <t>19861006 200412 2 002</t>
  </si>
  <si>
    <t>AHMAD DLUHA KASIM, S.H., M.H.</t>
  </si>
  <si>
    <t>19840107 200902 1 007</t>
  </si>
  <si>
    <t>Kepala Bidang Rehabilitasi Sosial pada Dinas Sosial</t>
  </si>
  <si>
    <t>IZMIL FIKRI, S.E.</t>
  </si>
  <si>
    <t>19720922 200902 1 001</t>
  </si>
  <si>
    <t>Ir. ROSNIDAR</t>
  </si>
  <si>
    <t>19680901 200212 2 002</t>
  </si>
  <si>
    <t>Penata Tk.I (III/d) / 01-10-2014</t>
  </si>
  <si>
    <t>NAKER</t>
  </si>
  <si>
    <t>11. DINAS TENAGA KERJA</t>
  </si>
  <si>
    <t>Kepala Dinas Tenaga Kerja</t>
  </si>
  <si>
    <t>DHARMA SAPUTRA, S.E.,M.H.</t>
  </si>
  <si>
    <t>19750827 199603 1 002</t>
  </si>
  <si>
    <t>Sekretaris Dinas Tenaga Kerja</t>
  </si>
  <si>
    <t>Kepala Sub Bagian Umum, Kepegawaian dan Perencanaan pada Sekretariat Dinas Tenaga Kerja</t>
  </si>
  <si>
    <t>ELVAN HARVICO, S.Sos.,M.M.</t>
  </si>
  <si>
    <t>19790611 200902 1 006</t>
  </si>
  <si>
    <t>S.2 Magister Manajemen SDM</t>
  </si>
  <si>
    <t>Kepala Sub Bagian Keuangan pada Sekretariat Dinas Tenaga Kerja</t>
  </si>
  <si>
    <t>IRMA YUSNITA, S.E.</t>
  </si>
  <si>
    <t>19731008 200801 2 007</t>
  </si>
  <si>
    <t>Kepala Bidang Tenaga Kerja pada Dinas Tenaga Kerja</t>
  </si>
  <si>
    <t>ISWANDI, SKM</t>
  </si>
  <si>
    <t>19751224 200604 1 001</t>
  </si>
  <si>
    <t>S1. Kesehatan Masyarakat</t>
  </si>
  <si>
    <t>Pengawas Ketenagakerjaan Ahli Muda pada Dinas Tenaga Kerja</t>
  </si>
  <si>
    <t>19741121 200701 1 004</t>
  </si>
  <si>
    <t>Pengantar Kerja Ahli Muda pada Dinas Tenaga kerja</t>
  </si>
  <si>
    <t>Analis Kebijakan Ahli Muda pada ada Dinas Tenaga Kerja</t>
  </si>
  <si>
    <t>Kepala Bidang Energi dan Sumber Daya Mineral pada Dinas Tenaga Kerja</t>
  </si>
  <si>
    <t>Pembina (IV/a) / 01-10-2020</t>
  </si>
  <si>
    <t>05-08-2021</t>
  </si>
  <si>
    <t>Penyidik Bumi Ahli Muda pada Dinas Tenaga kerja</t>
  </si>
  <si>
    <t>31-12-2023</t>
  </si>
  <si>
    <t>BUDIMAN, S.Kom.,M.M.</t>
  </si>
  <si>
    <t>19781026 200801 1 003</t>
  </si>
  <si>
    <t>DP3AP2KB</t>
  </si>
  <si>
    <t>12. DINAS PEMBERDAYAAN PEREMPUAN, PERLINDUNGAN ANAK, PENGENDALIAN PENDUDUK DAN KELUARGA BERENCANA</t>
  </si>
  <si>
    <t>Kepala Dinas Pemberdayaan Perempuan, Perlindungan Anak, Pengendalian Penduduk dan Keluarga Berencana</t>
  </si>
  <si>
    <t>S-2 MAGISTER MANAJEMEN</t>
  </si>
  <si>
    <t>Sekretaris Dinas Pemberdayaan Perempuan, Perlindungan Anak, Pengendalian Penduduk dan Keluarga Berencana</t>
  </si>
  <si>
    <t>FATURAHMAN WIJAYA, S.Kep.</t>
  </si>
  <si>
    <t>19851225 200804 1 001</t>
  </si>
  <si>
    <t>S.1 Keperawatan</t>
  </si>
  <si>
    <t>Kepala Sub Bagian Umum dan Kepegawaian pada Sekretariat Dinas Pemberdayaan Perempuan, Perlindungan Anak, Pengendalian Penduduk dan Keluarga Berencana</t>
  </si>
  <si>
    <t>MAGRILISA, S.E.</t>
  </si>
  <si>
    <t>19710202 200701 2 003</t>
  </si>
  <si>
    <t>Analis Keuangan Pusat/Daerah Ahli Muda pada Dinas Pemberdayaan Perempuan, Perlindungan Anak, Pengendalian Penduduk dan Keluarga Berencana</t>
  </si>
  <si>
    <t>Kepala Sub Bagian Perencanaan pada Sekretariat Dinas Pemberdayaan Perempuan, Perlindungan Anak, Pengendalian Penduduk dan Keluarga Berencana</t>
  </si>
  <si>
    <t>Kepala Bidang Pemberdayaan Perempuan dan Perlindungan Anak pada Dinas Pemberdayaan Perempuan, Perlindungan Anak, Pengendalian Penduduk dan Keluarga Berencana</t>
  </si>
  <si>
    <t>OKTIANA, S.T.P.</t>
  </si>
  <si>
    <t>19731028 200312 2 005</t>
  </si>
  <si>
    <t>S-1 Teknik Pertanian</t>
  </si>
  <si>
    <t>Penggerak Swadaya Masyarakat Ahli Muda pada Dinas Pemberdayaan Perempuan, Perlindungan Anak, Pengendalian Penduduk dan Keluarga Berencana</t>
  </si>
  <si>
    <t>ERNALIS, S.E.</t>
  </si>
  <si>
    <t>19701010 200604 2 014</t>
  </si>
  <si>
    <t>SHOLIHAH, S.Ag.</t>
  </si>
  <si>
    <t>19720605 200501 2 007</t>
  </si>
  <si>
    <t>S.1 Agama</t>
  </si>
  <si>
    <t>DALYANA, S.E., M.M.</t>
  </si>
  <si>
    <t>19741004 200701 2 012</t>
  </si>
  <si>
    <t>Penata Tk.I (III/d) / 01-04-2017</t>
  </si>
  <si>
    <t>Kepala Bidang Kualitas Hidup Perempuan dan Keluarga pada Dinas Pemberdayaan Perempuan, Perlindungan Anak Pengendalian Penduduk dan Keluarga Berencana</t>
  </si>
  <si>
    <t>RUWIYATI, S.Ag., M.Si.</t>
  </si>
  <si>
    <t>19760101 200902 2 007</t>
  </si>
  <si>
    <t>S.1 Tafsir Hadist/S.2 Magister Ilmu Administrasi</t>
  </si>
  <si>
    <t>TUTI AMIATI, S.E.</t>
  </si>
  <si>
    <t>19730506 200604 2 012</t>
  </si>
  <si>
    <t>Penata Tk.I (III/d) /01-04-2022</t>
  </si>
  <si>
    <t>YUSRONI, S.E.</t>
  </si>
  <si>
    <t>19800905 201001 2 030</t>
  </si>
  <si>
    <t>Kepala Bidang Advokasi, Penggerakan dan Informasi (ADPIN) pada Dinas Pemberdayaan Perempuan, Perlindungan Anak Pengendalian Penduduk dan Keluarga Berencana</t>
  </si>
  <si>
    <t>GUNTORO, S.H.</t>
  </si>
  <si>
    <t>19691211 200801 1 017</t>
  </si>
  <si>
    <t>Penata Tk.I (III/d) /01-10-2019</t>
  </si>
  <si>
    <t>Penata Kependudukan dan Keluarga Berencana Ahli Muda pada Dinas Pemberdayaan Perempuan, Perlindungan Anak, Pengendalian Penduduk dan Keluarga Berencana</t>
  </si>
  <si>
    <t>ZANTIYANA, S.E.</t>
  </si>
  <si>
    <t>19770510 200701 2 014</t>
  </si>
  <si>
    <t>LENY TRIANA, S.E.</t>
  </si>
  <si>
    <t>19860114 201001 2 004</t>
  </si>
  <si>
    <t xml:space="preserve">Penata (III/c) / 01-10-2022 </t>
  </si>
  <si>
    <t>Kepala Bidang Keluarga Berencana dan Keluarga Sejahtera pada Dinas Pemberdayaan Perempuan, Perlindungan Anak Pengendalian Penduduk dan Keluarga Berencana</t>
  </si>
  <si>
    <t>BUDI M. GHOZALI SKM.M.Kes</t>
  </si>
  <si>
    <t>19701118 199303 1 006</t>
  </si>
  <si>
    <t>S.2 Magister Kesehatan Masyarakat</t>
  </si>
  <si>
    <t>HENI DESMIATI, S.E.</t>
  </si>
  <si>
    <t>19781214 200701 2 012</t>
  </si>
  <si>
    <t>LH</t>
  </si>
  <si>
    <t>13. DINAS LINGKUNGAN HIDUP</t>
  </si>
  <si>
    <t>Kepala Dinas Lingkungan Hidup</t>
  </si>
  <si>
    <t>KEMAS AMIN YUSFI, S.T.,M.M.</t>
  </si>
  <si>
    <t>19750710 200003 1 001</t>
  </si>
  <si>
    <t>Pembina Utama MUda (IV/c) / 01-10-2022</t>
  </si>
  <si>
    <t>S.1 Teknik/ S.2 Magister Manajemen</t>
  </si>
  <si>
    <t>Sekretaris Dinas Lingkungan Hidup</t>
  </si>
  <si>
    <t>ABDUL RAHMAN, S.E.</t>
  </si>
  <si>
    <t>19740916 199902 1 001</t>
  </si>
  <si>
    <t xml:space="preserve">Kepala Sub Bagian Umum dan Kepegawaian pada Sekretariat Dinas Lingkungan Hidup </t>
  </si>
  <si>
    <t>DERAJAT WAHYONO, S.E.</t>
  </si>
  <si>
    <t>19730712 200604 1 007</t>
  </si>
  <si>
    <t xml:space="preserve">Kepala Sub Bagian Perencanaan pada Sekretariat Dinas Lingkungan Hidup </t>
  </si>
  <si>
    <t>SOFYAN MARADIPA, S.T</t>
  </si>
  <si>
    <t>19840615 200902 1 004</t>
  </si>
  <si>
    <t>Analis Keuangan Pusat/Daerah Ahli Muda pada Dinas Lingkungan Hidup</t>
  </si>
  <si>
    <t>DINA KURNIA, S.ST.</t>
  </si>
  <si>
    <t>19810106 201001 2 012</t>
  </si>
  <si>
    <t>S.1 Kesehatan Lingkungan</t>
  </si>
  <si>
    <t>Kepala Bidang Pengendalian Pencemaran dan Kerusakan pada Dinas Lingkungan Hidup</t>
  </si>
  <si>
    <t>HENDRA WIJAYA, S.T., M.T.</t>
  </si>
  <si>
    <t>19761111 200604 1 008</t>
  </si>
  <si>
    <t>Pembina (IV/a) / 01-04-2019</t>
  </si>
  <si>
    <t>Pengendali Dampak Lingkungan Ahli Muda pada Dinas Lingkungan Hidup</t>
  </si>
  <si>
    <t>YULIA PASMAWATI, S.T.</t>
  </si>
  <si>
    <t>19860715 201502 2 001</t>
  </si>
  <si>
    <t>S.1 Teknik Kimia</t>
  </si>
  <si>
    <t>SALADIN AULIA SANDI, S.T., M.M.</t>
  </si>
  <si>
    <t>19800808 200604 1 008</t>
  </si>
  <si>
    <t>Pembina (IV/a) 01-04-2020</t>
  </si>
  <si>
    <t>S.1 Geologi Pertambangan/ S.2 Magister Manajemen</t>
  </si>
  <si>
    <t>CECEP ENDANG SURYADI, SS</t>
  </si>
  <si>
    <t>19751005 200003 1 006</t>
  </si>
  <si>
    <t>Penata Tk. I (III/d) / 01-04-2015</t>
  </si>
  <si>
    <t>S1. Sastra</t>
  </si>
  <si>
    <t>Kepala Bidang Pengelolaan Sampah Limbah dan Pertamanan pada Dinas Lingkungan Hidup</t>
  </si>
  <si>
    <t>WIRAWAN ADHY PUTRA, S.Hut, M.Eng.</t>
  </si>
  <si>
    <t>19710728 199803 1 006</t>
  </si>
  <si>
    <t>Pembina (IV/a) / 01-10-2011</t>
  </si>
  <si>
    <t>S.1 Kehutanan/ S.2 Magister Engenering</t>
  </si>
  <si>
    <t>BUDI HARTONO, S.E.</t>
  </si>
  <si>
    <t>19800302 200906 1 001</t>
  </si>
  <si>
    <t>WIDARAWATI DEWI, S.T.</t>
  </si>
  <si>
    <t>19710925 199903 2 003</t>
  </si>
  <si>
    <t>SULASNO, S.E.,M.M.</t>
  </si>
  <si>
    <t>19701108 200604 1 004</t>
  </si>
  <si>
    <t>Kepala Bidang Tata Lingkungan pada Dinas Lingkungan Hidup</t>
  </si>
  <si>
    <t>ASEP APRIYADI, S.E.</t>
  </si>
  <si>
    <t>19820423 200312 1 006</t>
  </si>
  <si>
    <t>HARI ARIADI, S.T.,M.Si.</t>
  </si>
  <si>
    <t>19820722 200902 1 004</t>
  </si>
  <si>
    <t>S.2 Magister Ilmu Administrasi</t>
  </si>
  <si>
    <t>SRI MULATSIH, S.T.</t>
  </si>
  <si>
    <t>197302052006042002</t>
  </si>
  <si>
    <t>Pembina (IV/a / 01-04-2023</t>
  </si>
  <si>
    <t>PIM IV
2015</t>
  </si>
  <si>
    <t>Perempuan</t>
  </si>
  <si>
    <t>Kepala Bidang Penataan dan Peningkatan Kapasitas Lingkungan Hidup pada Dinas Lingkungan Hidup</t>
  </si>
  <si>
    <t>ADI GUNAWAN, S.E.,M.M.</t>
  </si>
  <si>
    <t>Pengawas Lingkungan Hidup Ahli Muda pada Dinas Lingkungan Hidup</t>
  </si>
  <si>
    <t>ANDRIANUS PURWANTO, S.P.</t>
  </si>
  <si>
    <t>19701010 199203 1 009</t>
  </si>
  <si>
    <t>Penata Tk.I (III/d) / 01-04-2015</t>
  </si>
  <si>
    <t>FIRMANSYAH, S.H., M.M.</t>
  </si>
  <si>
    <t>19730912 200801 1 009</t>
  </si>
  <si>
    <t>Pembina (IV/a) 01-04-2022</t>
  </si>
  <si>
    <t>Pembina (IV/a) / 01-04-2015</t>
  </si>
  <si>
    <t>PMD</t>
  </si>
  <si>
    <t>14. DINAS PEMBERDAYAAN MASYARAKAT DAN DESA</t>
  </si>
  <si>
    <t>Kepala Dinas Pemberdayaan Masyarakat dan Desa</t>
  </si>
  <si>
    <t>ARPIN, S.Pd., M.M.</t>
  </si>
  <si>
    <t>19680901 199103 1 007</t>
  </si>
  <si>
    <t>Pembina Utama Muda (IV/c) / 01-10-2021</t>
  </si>
  <si>
    <t>Sekretaris Dinas Pemberdayaan Masyarakat dan Desa</t>
  </si>
  <si>
    <t>LAUYUSTIS, S.Pd.,M.M.</t>
  </si>
  <si>
    <t>19710402 199303 1 005</t>
  </si>
  <si>
    <t xml:space="preserve">Kepala Sub Bagian Umum dan Kepegawaian pada Sekretariat Dinas Pemberdayaan Masyarakat dan Desa </t>
  </si>
  <si>
    <t>DESNITA, S.E.</t>
  </si>
  <si>
    <t>19750103 200701 2 017</t>
  </si>
  <si>
    <t>Pembina (IV/a) / 01-04-2024</t>
  </si>
  <si>
    <t xml:space="preserve">Kepala Sub Bagian Perencanaan pada Sekretariat Dinas Pemberdayaan Masyarakat dan Desa </t>
  </si>
  <si>
    <t>DEWI PUTIASIH, S.E.</t>
  </si>
  <si>
    <t>19800531 200701 2 009</t>
  </si>
  <si>
    <t>Penata Tk.I (III/d) / 01-04-2024</t>
  </si>
  <si>
    <t xml:space="preserve">Analis Keuangan Pusat dan Daerah Ahli Muda pada Dinas Pemberdayaan Masyarakat dan Desa </t>
  </si>
  <si>
    <t>SASI DINA INDRAWATI, S.IP.</t>
  </si>
  <si>
    <t>19830411 201001 2 038</t>
  </si>
  <si>
    <t>08-06-2022</t>
  </si>
  <si>
    <t>Kepala Bidang Pemberdayaan Masyarakat dan Kelembagaan Pekon pada Dinas Pemberdayaan Masyarakat dan Desa</t>
  </si>
  <si>
    <t>PARSIYAM, S.E.</t>
  </si>
  <si>
    <t>02/12/2025</t>
  </si>
  <si>
    <t xml:space="preserve">Penggerak Swadaya Masyarakat Ahli Muda pada Dinas Pemberdayaan Masyarakat dan Desa </t>
  </si>
  <si>
    <t>ARYANTI, S.E., M.M.</t>
  </si>
  <si>
    <t>19790323 200701 2 009</t>
  </si>
  <si>
    <t>Kepala Bidang Tata Pemerintahan Pekon pada Dinas Pemberdayaan Masyarakat dan Desa</t>
  </si>
  <si>
    <t>EDI NUGROHO, S.Kom</t>
  </si>
  <si>
    <t xml:space="preserve">Analis Kebijakan Ahli Muda pada Dinas Pemberdayaan Masyarakat dan Desa </t>
  </si>
  <si>
    <t>ROZIANSYAH, S.I.P.</t>
  </si>
  <si>
    <t>19830816 200902 1 005</t>
  </si>
  <si>
    <t>NASRUDDIN, S.Kom.</t>
  </si>
  <si>
    <t>19720103 201001 1 003</t>
  </si>
  <si>
    <t>Kepala Bidang Penataan dan Kerjasama Pekon pada Dinas Pemberdayaan Masyarakat dan Desa</t>
  </si>
  <si>
    <t>RR. SRI ASIH ANGGOROWATI, S.Si.</t>
  </si>
  <si>
    <t>19690909 199803 2 007</t>
  </si>
  <si>
    <t>Pembina (IV/a) / 01-04-2013</t>
  </si>
  <si>
    <t>S-1 Biologi Lingkungan</t>
  </si>
  <si>
    <t>YENNY WANTINA, S.Kom.</t>
  </si>
  <si>
    <t>19780110 200701 2 022</t>
  </si>
  <si>
    <t>SUPRAPTO, S.I.P.</t>
  </si>
  <si>
    <t>19720419 199103 1 001</t>
  </si>
  <si>
    <t>Kepala Bidang Keuangan, Kekayaan, Aset dan Produk Hukum Pekon pada Dinas Pemberdayaan Masyarakat dan Desa</t>
  </si>
  <si>
    <t>EKO SETIONO, S.E., M.M.</t>
  </si>
  <si>
    <t>19820605 200801 1 011</t>
  </si>
  <si>
    <t>NURKHOLIK, S.IP.</t>
  </si>
  <si>
    <t>19840802 201502 1 001</t>
  </si>
  <si>
    <t>DISHUB</t>
  </si>
  <si>
    <t>15. DINAS PERHUBUNGAN</t>
  </si>
  <si>
    <t>Kepala Dinas Perhubungan</t>
  </si>
  <si>
    <t>19740120 199402 1 002</t>
  </si>
  <si>
    <t>S1. Ilmu Pemerintahan</t>
  </si>
  <si>
    <t xml:space="preserve">Sekretaris Dinas Perhubungan </t>
  </si>
  <si>
    <t>Drs. SABAR MARULAK SITANGGANG</t>
  </si>
  <si>
    <t>Kepala Sub Bagian Umum, Kepegawaian dan Keuangan pada Sekretariat Dinas Perhubungan</t>
  </si>
  <si>
    <t>EVVY RENITAWATY, SE</t>
  </si>
  <si>
    <t>19750717 200902 2 001</t>
  </si>
  <si>
    <t>Kepala Sub Bagian Perencanaan dan Pelaporan pada Sekretariat Dinas Perhubungan</t>
  </si>
  <si>
    <t>WINDA FIDRIANI, M.Pd.</t>
  </si>
  <si>
    <t>19850327 201406 2 002</t>
  </si>
  <si>
    <t>S.2 Pendidikan Bahasa Indonesia</t>
  </si>
  <si>
    <t>Kepala Bidang Lalu Lintas pada Dinas Perhubungan</t>
  </si>
  <si>
    <t>ISMAN HADI, S.E.</t>
  </si>
  <si>
    <t>19680901 199303 1 004</t>
  </si>
  <si>
    <t>29-06-2022</t>
  </si>
  <si>
    <t>Kepala Seksi Pengendalian dan Manajemen Rekayasa Lalu Lintas pada Bidang Lalu Lintas pada Dinas Perhubungan</t>
  </si>
  <si>
    <t>JOHAN HARFIAN, S.Kom.</t>
  </si>
  <si>
    <t>19810101 200801 1 022</t>
  </si>
  <si>
    <t>Kepala Seksi Keselamatan Lalu Lintas pada Bidang Lalu Lintas pada Dinas Perhubungan</t>
  </si>
  <si>
    <t>MUNJAID, S.E.</t>
  </si>
  <si>
    <t>19791102 200902 1 001</t>
  </si>
  <si>
    <t>Penata Tk.I (III/d) / 01-10-2023</t>
  </si>
  <si>
    <t>Kepala Bidang Angkutan Darat dan Laut pada Dinas Perhubungan</t>
  </si>
  <si>
    <t>ARI YUDHA. AZ, S.T., M.T.</t>
  </si>
  <si>
    <t xml:space="preserve">Kepala Seksi Angkutan Darat pada Bidang Angkutan Darat dan Laut pada Dinas Perhubungan </t>
  </si>
  <si>
    <t>ADI MARTHA ISMAIL S.Sos</t>
  </si>
  <si>
    <t>19810511 201001 1 005</t>
  </si>
  <si>
    <t>08-11-2022</t>
  </si>
  <si>
    <t xml:space="preserve">Kepala Seksi Angkutan Laut pada Bidang Angkutan Darat dan Laut pada Dinas Perhubungan </t>
  </si>
  <si>
    <t>IRWAN SUTEJA, S.E.</t>
  </si>
  <si>
    <t>19750101 200604 1 028</t>
  </si>
  <si>
    <t>Penata Tk.I (III/d) - 01-10-2021</t>
  </si>
  <si>
    <t>Kepala Bidang Teknik Sarana dan Prasarana pada Dinas Perhubungan</t>
  </si>
  <si>
    <t>EKA JAYA ALEX RIANDHI, S.E.</t>
  </si>
  <si>
    <t>19790906 200604 1 006</t>
  </si>
  <si>
    <t>Kepala Seksi Terminal dan Perparkiran pada Bidang Teknik Sarana dan Prasarana pada Dinas Perhubungan</t>
  </si>
  <si>
    <t>WAWAN SUJARWANTO, S.Kom</t>
  </si>
  <si>
    <t>19720802 200801 1 012</t>
  </si>
  <si>
    <t>S.1 KOMPUTER</t>
  </si>
  <si>
    <t>Kepala Seksi Kendaraan, Perbengkelan dan Pengujian pada Bidang Teknik Sarana dan Prasarana pada Dinas Perhubungan</t>
  </si>
  <si>
    <t>YB. WIRASTO ARDHI, S.T.</t>
  </si>
  <si>
    <t>19770522 201001 1 003</t>
  </si>
  <si>
    <t>Kristen</t>
  </si>
  <si>
    <t>KOMINFO</t>
  </si>
  <si>
    <t>16. DINAS KOMUNIKASI DAN INFORMATIKA</t>
  </si>
  <si>
    <t>Kepala Dinas Komunikasi dan Informatika</t>
  </si>
  <si>
    <t>SUHARTONO, S.Si.T,. M.Kes</t>
  </si>
  <si>
    <t>19671228 198703 1 001</t>
  </si>
  <si>
    <t>Pembina Utama Muda (IV/c) / 01-02-2024</t>
  </si>
  <si>
    <t>S.2 Magister Kesehatan</t>
  </si>
  <si>
    <t>Sekretaris Dinas Komunikasi dan Informatika</t>
  </si>
  <si>
    <t>GOFIR PURWANTO, S.E., M.M.</t>
  </si>
  <si>
    <t>Kepala Sub Bagian Tata Usaha pada Sekretariat Dinas Komunikasi dan Informatika</t>
  </si>
  <si>
    <t>Perencana Ahli Muda pada Dinas Komunikasi dan Informatika</t>
  </si>
  <si>
    <t>ANAS MARKHABAN, S.E., M.M</t>
  </si>
  <si>
    <t>19710706 200501 1 009</t>
  </si>
  <si>
    <t>Analis Keuangan Pusat/Daerah Ahli Muda pada Dinas Komunikasi dan Informatika</t>
  </si>
  <si>
    <t>RATNA PURI, S.E., M.M.</t>
  </si>
  <si>
    <t>19790615 2000701 2 010</t>
  </si>
  <si>
    <t>Kepala Bidang Hubungan Masyarakat dan Informasi Komunikasi Publik pada Dinas Komunikasi dan Informatika</t>
  </si>
  <si>
    <t>SONNY YOGA PERDANA, S.Sos, M.Si</t>
  </si>
  <si>
    <t>19771128 200312 1 004</t>
  </si>
  <si>
    <t>Pembina (IV/a) / 01-10-2015</t>
  </si>
  <si>
    <t>S.2 Magister Administrasi Negara</t>
  </si>
  <si>
    <t>Analis Kebijakan Ahli Muda  pada Dinas Komunikasi dan Informatika</t>
  </si>
  <si>
    <t>ANGGA RUSMAWAN, S.Kom., M.M.</t>
  </si>
  <si>
    <t>19860207 200902 1 003</t>
  </si>
  <si>
    <t>Pranata Humas Ahli Muda pada Dinas Komunikasi dan Informatika</t>
  </si>
  <si>
    <t>NORI SETIAWAN, S.Kom.,M.M.</t>
  </si>
  <si>
    <t>19821103 201001 1 023</t>
  </si>
  <si>
    <t>Kepala Bidang Statistik pada Dinas Komunikasi dan Informatika</t>
  </si>
  <si>
    <t>HENDRA GUNAWAN, S.H.</t>
  </si>
  <si>
    <t>19810401 200604 1 009</t>
  </si>
  <si>
    <t>Statistisi Ahli Muda pada Dinas Komunikasi dan Informatika</t>
  </si>
  <si>
    <t>ZUHAIRI ROMZI, S.E.</t>
  </si>
  <si>
    <t>19760823 200701 1 003</t>
  </si>
  <si>
    <t>HENDRA OKTOMI, S.E.M.M</t>
  </si>
  <si>
    <t>19741008 200804 1 001</t>
  </si>
  <si>
    <t>Kepala Bidang Persandian pada Dinas Komunikasi dan Informatika</t>
  </si>
  <si>
    <t>Sandiman Ahli Muda pada Dinas Komunikasi dan Informatika</t>
  </si>
  <si>
    <t>MUHAMMAD YUDHI MARYUNI, S.Sos.</t>
  </si>
  <si>
    <t>19770626 200902 1 002</t>
  </si>
  <si>
    <t>S.1 Sosial politik</t>
  </si>
  <si>
    <t>Manggala Informatika Ahli Muda pada Dinas Komunikasi dan Informatika</t>
  </si>
  <si>
    <t>AMRINA DEWI, S.H.</t>
  </si>
  <si>
    <t>19770714 200902 2005</t>
  </si>
  <si>
    <t>Kepala Bidang E-Goverment pada Dinas Komunikasi dan Informatika</t>
  </si>
  <si>
    <t>EVI YUNIANTY, S.E., M.M.</t>
  </si>
  <si>
    <t>19800613 200701 2 016</t>
  </si>
  <si>
    <t>Pembina (IV/a) / 01-10-2022</t>
  </si>
  <si>
    <t>INDRAWAN TAUFIK, S.T.</t>
  </si>
  <si>
    <t>19850611 201101 1 002</t>
  </si>
  <si>
    <t>ZULFIKRI BARMAWI, S.E., M.M.</t>
  </si>
  <si>
    <t>19820831 201101 1 002</t>
  </si>
  <si>
    <t>S-2 Manajemen</t>
  </si>
  <si>
    <t>UMKM</t>
  </si>
  <si>
    <t>17. DINAS KOPERASI, UKM, PERINDUSTRIAN DAN PERDAGANGAN</t>
  </si>
  <si>
    <t>Kepala Dinas Koperasi, Usaha Kecil dan Menengah, Perindustrian dan Perdagangan</t>
  </si>
  <si>
    <t>Sekretaris Dinas Koperasi, Usaha Kecil dan Menengah, Perindustrian dan Perdagangan</t>
  </si>
  <si>
    <t>WIWIN TRIANI, S.E.,M.M</t>
  </si>
  <si>
    <t>19710304 199303 2 003</t>
  </si>
  <si>
    <t>S.2 Manajemen</t>
  </si>
  <si>
    <t>Kepala Sub Bagian Perencanaan pada Sekretariat Dinas Koperasi, Usaha Kecil dan Menengah, Perindustrian dan Perdagangan</t>
  </si>
  <si>
    <t>EVILIA, S.IP.</t>
  </si>
  <si>
    <t>19841010 201001 2 004</t>
  </si>
  <si>
    <t>Penata Tk.I (III/d) / 01-10-2024</t>
  </si>
  <si>
    <t>09-03-2022</t>
  </si>
  <si>
    <t>Analis Keuangan Pusat/Daerah Ahli Muda pada Dinas Koperasi, Usaha Kecil dan Menengah, Perindustrian dan Perdagangan</t>
  </si>
  <si>
    <t>ANDHINA INDAH PRATAMA, S.P., M.M.</t>
  </si>
  <si>
    <t>19850613 201001 2 015</t>
  </si>
  <si>
    <t>Kepala Sub Bagian Umum dan Kepegawaian pada Sekretariat Dinas Koperasi, Usaha Kecil dan Menengah, Perindustrian dan Perdagangan</t>
  </si>
  <si>
    <t>WIGNYO SUSANTO, S.E.</t>
  </si>
  <si>
    <t>19740107 200501 1 008</t>
  </si>
  <si>
    <t>Kepala Bidang Koperasi pada Dinas Koperasi, Usaha Kecil dan Menengah, Perindustrian dan Perdagangan</t>
  </si>
  <si>
    <t>JUNAIDI, S.E., M.M.</t>
  </si>
  <si>
    <t>19690326 199103 1 003</t>
  </si>
  <si>
    <t>Pembina  (IV/a) / 01-04-2019</t>
  </si>
  <si>
    <t>15-07-2021</t>
  </si>
  <si>
    <t>Pim IV</t>
  </si>
  <si>
    <t>Pengawas Koperasi Ahli Muda pada Dinas Koperasi, Usaha Kecil dan Menengah, Perindustrian dan Perdagangan</t>
  </si>
  <si>
    <t>EVI ZULFIA, S.E.</t>
  </si>
  <si>
    <t>19690414 200604 2 007</t>
  </si>
  <si>
    <t>ANDI RIYONO, S.E., M.M.</t>
  </si>
  <si>
    <t>19740606 199803 1 009</t>
  </si>
  <si>
    <t>Pembina  (IV/a) / 01-04-2022</t>
  </si>
  <si>
    <t>MUZANNI, S.I.P.</t>
  </si>
  <si>
    <t>19700416 200801 1 015</t>
  </si>
  <si>
    <t>Kepala Bidang Usaha Kecil dan Menengah pada Dinas Koperasi, Usaha Kecil dan Menengah, Perindustrian dan Perdagangan</t>
  </si>
  <si>
    <t>Analis Kebijakan Ahli Muda pada pada Dinas Koperasi, Usaha Kecil dan Menengah, Perindustrian dan Perdagangan</t>
  </si>
  <si>
    <t>YETI KHULFIYAH, S.E.</t>
  </si>
  <si>
    <t>19800416 200501 2 014</t>
  </si>
  <si>
    <t>Analis Kebijakan Ahli Muda pada Dinas Koperasi, Usaha Kecil dan Menengah, Perindustrian dan Perdagangan</t>
  </si>
  <si>
    <t>FUAD ASLAWI, S.E.</t>
  </si>
  <si>
    <t>19760705 200003 1 005</t>
  </si>
  <si>
    <t>SUSANTI, S.E.</t>
  </si>
  <si>
    <t>19771008 200701 2 010</t>
  </si>
  <si>
    <t>Kepala Bidang Perindustrian pada Dinas Koperasi, Usaha Kecil dan Menengah, Perindustrian dan Perdagangan</t>
  </si>
  <si>
    <t>Pembina (IV/a) / 01-10-2023</t>
  </si>
  <si>
    <t>Penyuluh Perindustrian Ahli Muda pada Dinas Koperasi, Usaha Kecil dan Menengah, Perindustrian dan Perdagangan</t>
  </si>
  <si>
    <t>ANDRIAN DWI HENDARTO, S.T.,M.M.</t>
  </si>
  <si>
    <t>1975013 1 200902 1 002</t>
  </si>
  <si>
    <t>S.1 Teknologi Industri Pertanian/ S.2 Magister Manajemen</t>
  </si>
  <si>
    <t>Asesor Manajemen Mutu Industri Ahli Muda pada Dinas Koperasi, Usaha Kecil dan Menengah, Perindustrian dan Perdagangan</t>
  </si>
  <si>
    <t>ROKI RISMAYEDI, S.E.</t>
  </si>
  <si>
    <t>Kepala Bidang Perdagangan pada Dinas Koperasi, Usaha Kecil dan Menengah, Perindustrian dan Perdagangan</t>
  </si>
  <si>
    <t>M. SYAIFUDIN JUHRI, S.Pd.I., M.Pd.I.</t>
  </si>
  <si>
    <t>19780709 201101 1 002</t>
  </si>
  <si>
    <t>S.2 Ilmu Tarbiyah</t>
  </si>
  <si>
    <t>Analisis Perdagangan Ahli Muda pada Dinas Koperasi, Usaha Kecil dan Menengah, Perindustrian dan Perdagangan</t>
  </si>
  <si>
    <t>TONI SANJAYA, S.Sos .</t>
  </si>
  <si>
    <t>19770328 200801 1 006</t>
  </si>
  <si>
    <t>Penguji Mutu Barang Ahli Muda pada Dinas Koperasi, Usaha Kecil dan Menengah, Perindustrian dan Perdagangan</t>
  </si>
  <si>
    <t>NURAINI, SE</t>
  </si>
  <si>
    <t>19721231 200604 2 056</t>
  </si>
  <si>
    <t>Pengawas Perdagangan Ahli Muda pada Dinas Koperasi, Usaha Kecil dan Menengah, Perindustrian dan Perdagangan</t>
  </si>
  <si>
    <t>YULIS, S.E.</t>
  </si>
  <si>
    <t>19761027 199803 2 003</t>
  </si>
  <si>
    <t>Kepala Bidang Kemetrologian pada Dinas Koperasi, Usaha Kecil dan Menengah, Perindustrian dan Perdagangan</t>
  </si>
  <si>
    <t>ISMIYATI, S.E., M.M.</t>
  </si>
  <si>
    <t>19760628 200701 2 021</t>
  </si>
  <si>
    <t>Pengamat Tera Ahli Muda pada Dinas Koperasi, Usaha Kecil dan Menengah, Perindustrian dan Perdagangan</t>
  </si>
  <si>
    <t>VERA RIYANTI, S.E.</t>
  </si>
  <si>
    <t>19780122 201001 2 003</t>
  </si>
  <si>
    <t>Pengawas Kemetrologian Ahli Muda pada Dinas Koperasi, Usaha Kecil dan Menengah, Perindustrian dan Perdagangan</t>
  </si>
  <si>
    <t>RITA SUZANNA, S.E.</t>
  </si>
  <si>
    <t>19761026 200701 2 020</t>
  </si>
  <si>
    <t>Penata Tk. I (III/d) / 01-04-2021</t>
  </si>
  <si>
    <t>Penera Ahli Muda pada Dinas Koperasi, Usaha Kecil dan Menengah, Perindustrian dan Perdagangan</t>
  </si>
  <si>
    <t>SYAHRUL AUTHORI HASYIM S.T</t>
  </si>
  <si>
    <t>19840621 201301 1 001</t>
  </si>
  <si>
    <t>DPMPTSP</t>
  </si>
  <si>
    <t>18. DINAS PENANAMAN MODAL DAN PELAYANAN TERPADU SATU PINTU</t>
  </si>
  <si>
    <t>Kepala Dinas Penanaman Modal dan Pelayanan Terpadu Satu Pintu</t>
  </si>
  <si>
    <t>ERLAN DENI SAPUTRA, S.Sos., M.M.</t>
  </si>
  <si>
    <t>19750513 200312 1 006</t>
  </si>
  <si>
    <t>Sekretaris Dinas Penanaman Modal dan Pelayanan Terpadu Satu Pintu</t>
  </si>
  <si>
    <t>WAWAN HARYANTO, S.S.T.P., M.H.</t>
  </si>
  <si>
    <t>19810712 200112 1 004</t>
  </si>
  <si>
    <t>D.IV STPDN/ S.2 Magister Hukum</t>
  </si>
  <si>
    <t>Kepala Sub Bagian Umum dan Kepegawaian pada Sekretariat Dinas Penanaman Modal dan Pelayanan Terpadu Satu Pintu</t>
  </si>
  <si>
    <t>ELVAYANI, S.E., M.M.</t>
  </si>
  <si>
    <t>19751109 200701 2 023</t>
  </si>
  <si>
    <t>S.2 Manejemen</t>
  </si>
  <si>
    <t>05-12-2019</t>
  </si>
  <si>
    <t>Perencana Ahli Muda pada  Dinas Penanaman Modal dan Pelayanan Terpadu Satu Pintu</t>
  </si>
  <si>
    <t>Penata Kelola Penanaman Modal Ahli Madya pada Dinas Penanaman Modal dan Pelayanan Terpadu Satu Pintu (Koordinator)</t>
  </si>
  <si>
    <t>Penata Perizinan Ahli Muda pada Dinas Penanaman Modal dan Pelayanan Terpadu Satu Pintu</t>
  </si>
  <si>
    <t>WIJARYANTO, S.E.</t>
  </si>
  <si>
    <t>19770711 200701 1 008</t>
  </si>
  <si>
    <t>Penata Kelola Penanaman Modal Ahli Muda pada Dinas Penanaman Modal dan Pelayanan Terpadu Satu Pintu</t>
  </si>
  <si>
    <t>Penata Perizinan Madya pada Dinas Penanaman Modal dan Pelayanan Terpadu Satu Pintu (Koordinator)</t>
  </si>
  <si>
    <t>MIFTAHUL 'ULUM, S.P., M.M.</t>
  </si>
  <si>
    <t>19821212 200801 1 010</t>
  </si>
  <si>
    <t>S1. Pertanian/ S.2 Manejemen</t>
  </si>
  <si>
    <t>ENDANG WIJAYANINGSIH, SE.,M.M.</t>
  </si>
  <si>
    <t>19780725 201101 2 002</t>
  </si>
  <si>
    <t>RUDIYANSYAH, S.I.P.</t>
  </si>
  <si>
    <t>19781124 200902 1 002</t>
  </si>
  <si>
    <t>Analis Kebijakan Ahli Muda pada Dinas Penanaman Modal dan Pelayanan Terpadu Satu Pintu</t>
  </si>
  <si>
    <t>EVI HENDRA HENDRI, S.E., M.M.</t>
  </si>
  <si>
    <t>19720414 200604 1 011</t>
  </si>
  <si>
    <t>19-09-2023</t>
  </si>
  <si>
    <t>DISPAREKRAF</t>
  </si>
  <si>
    <t>19. DINAS PARIWISATA DAN EKONOMI KREATIF</t>
  </si>
  <si>
    <t>Kepala Dinas Pariwisata dan Ekonomi Kreatif</t>
  </si>
  <si>
    <t>Sekretaris Dinas Pariwisata dan Ekonomi Kreatif</t>
  </si>
  <si>
    <t>Analis Keuangan Pusat/Daerah Ahli Muda pada Dinas Pariwisata dan Ekonomi Kreatif</t>
  </si>
  <si>
    <t>EVAYANI, S.Sos.I</t>
  </si>
  <si>
    <t>19790302 201001 2 012</t>
  </si>
  <si>
    <t>Kepala Sub Bagian Umum dan Kepegawaian pada Sekretariat Dinas Pariwisata dan Ekonomi Kreatif</t>
  </si>
  <si>
    <t>NURSAMSIAH, S.E., M.M.</t>
  </si>
  <si>
    <t>19760615 199803 2 005</t>
  </si>
  <si>
    <t>Pembina (IV/a)/ 01-10-2024</t>
  </si>
  <si>
    <t>Perencana Ahli Muda pada Dinas Pariwisata dan Ekonomi Kreatif</t>
  </si>
  <si>
    <t xml:space="preserve">Kepala Bidang Pengembangan Pemasaran Pariwisata pada Dinas Pariwisata dan Ekonomi Kreatif </t>
  </si>
  <si>
    <t>SARIF HIDAYAT BANGSAWAN, S.STP.,M.Si</t>
  </si>
  <si>
    <t>Adyatama Kepariwisataan Ahli Muda pada Dinas Pariwisata dan Ekonomi Kreatif</t>
  </si>
  <si>
    <t>SAIPUL S, S.E.</t>
  </si>
  <si>
    <t>19791218 200701 1 005</t>
  </si>
  <si>
    <t xml:space="preserve">Kepala Bidang Pengembangan Destinasi Pariwisata pada Dinas Pariwisata dan Ekonomi Kreatif </t>
  </si>
  <si>
    <t>MAILIDARNI, S.Pd.Ing., M.M.</t>
  </si>
  <si>
    <t>ERNI SUSITA, S.E.</t>
  </si>
  <si>
    <t>19801214 200902 2 006</t>
  </si>
  <si>
    <t xml:space="preserve">Kepala Bidang Pengembangan Ekonomi Kreatif pada Dinas Pariwisata dan Ekonomi Kreatif </t>
  </si>
  <si>
    <t>ROHALYANA, S.E., M.M</t>
  </si>
  <si>
    <t>Adyatama Kepariwisataan dan Ekonomi Kreatif Ahli Muda pada Dinas Pariwisata dan Ekonomi Kreatif</t>
  </si>
  <si>
    <t>YUSNIDA, S.E.</t>
  </si>
  <si>
    <t>19810601 200801 2 018</t>
  </si>
  <si>
    <t>Penata Tk. I (III/d) / 01-04-2023</t>
  </si>
  <si>
    <t xml:space="preserve">Kepala Bidang Pengembangan Kelembagaan Kepariwisataan pada Dinas Pariwisata dan Ekonomi Kreatif </t>
  </si>
  <si>
    <t xml:space="preserve">Analis Kebijakan Ahli Muda pada Pendidikan dan Kebudayaan </t>
  </si>
  <si>
    <t>19801127 200902 2 004</t>
  </si>
  <si>
    <t>Penata Tk. I (III/d) / 01-10-2022</t>
  </si>
  <si>
    <t>PORA</t>
  </si>
  <si>
    <t>20. DINAS PEMUDA DAN OLAH RAGA</t>
  </si>
  <si>
    <t>Kepala Dinas Pemuda dan Olah Raga</t>
  </si>
  <si>
    <t>ZULFADLI, S.E., M.M.</t>
  </si>
  <si>
    <t>19720604 199203 1 006</t>
  </si>
  <si>
    <t>Pembina Utama Muda (IV/c) / 01-10-2017</t>
  </si>
  <si>
    <t>Sekretaris Dinas Pemuda dan Olah Raga</t>
  </si>
  <si>
    <t>Kepala Sub Bagian Umum dan Kepegawaian pada Sekretariat Dinas Pemuda dan Olah Raga</t>
  </si>
  <si>
    <t>ERZA GITTA SEMBIRING MELIALA, S.E., M.M.</t>
  </si>
  <si>
    <t>19820611 201001 2 025</t>
  </si>
  <si>
    <t>Perencana Ahli Muda pada Dinas Pemuda dan Olahraga</t>
  </si>
  <si>
    <t>DIDI WANTORO, S.E.</t>
  </si>
  <si>
    <t>19780802 200501 1 013</t>
  </si>
  <si>
    <t>Kepala Bidang Layanan Kepemudaan pada Dinas Pemuda dan Olah Raga</t>
  </si>
  <si>
    <t>AKHMAD ISNAINI, S.E.</t>
  </si>
  <si>
    <t>Analis Kebijakan Ahli Muda  pada Dinas Pemuda dan Olah Raga</t>
  </si>
  <si>
    <t>ISKANDAR, S.E.,M.M.</t>
  </si>
  <si>
    <t>19761208 200801 1 009</t>
  </si>
  <si>
    <t>TRI KESUMA WARDANA, S.E.</t>
  </si>
  <si>
    <t>19820419200902 1 006</t>
  </si>
  <si>
    <t>Penata Tk. I (III/d) / 01-04-2024</t>
  </si>
  <si>
    <t>Kepala Bidang Pembudayaan Olah Raga pada Dinas Pemuda dan Olah Raga</t>
  </si>
  <si>
    <t>ROYIHAN, S.E.</t>
  </si>
  <si>
    <t>19771009 200701 1 006</t>
  </si>
  <si>
    <t>M. SOLEH, S.Kom</t>
  </si>
  <si>
    <t>19671127 200604 1 004</t>
  </si>
  <si>
    <t>YUNIDAWATI, S.E.</t>
  </si>
  <si>
    <t>19791212 201001 2 006</t>
  </si>
  <si>
    <t>LYANA M. NUR, S.I.P.</t>
  </si>
  <si>
    <t>19820602 200902 2 007</t>
  </si>
  <si>
    <t xml:space="preserve">Kepala Bidang Peningkatan Prestasi Olah Raga pada Dinas Pemuda dan Olah Raga </t>
  </si>
  <si>
    <t>RISTIKA TRIANITA, S.STP.,M.Si.</t>
  </si>
  <si>
    <t>19820811 200112 2 002</t>
  </si>
  <si>
    <t>S.1 Sekolah Tinggi Ilmu Pemerintahan/S2. Magister Sains</t>
  </si>
  <si>
    <t>18-9-2023</t>
  </si>
  <si>
    <t>PRISTIATI, S.E.</t>
  </si>
  <si>
    <t>198301272010012005</t>
  </si>
  <si>
    <t>AHMAD HUMAIRI, S.Kom</t>
  </si>
  <si>
    <t>19740106 200701 1 013</t>
  </si>
  <si>
    <t>DKPTPH</t>
  </si>
  <si>
    <t>21. DINAS KETAHANAN PANGAN, TANAMAN PANGAN DAN HORTIKULTURA</t>
  </si>
  <si>
    <t>Kepala Dinas Ketahanan Pangan, Tanaman Pangan dan Hortikultura</t>
  </si>
  <si>
    <t>ALKAT ALAMSYAH, S.E., M.M.</t>
  </si>
  <si>
    <t>19730818 200804 1 002</t>
  </si>
  <si>
    <t>Sekretaris Dinas Ketahanan Pangan, Tanaman Pangan dan Hortikultura</t>
  </si>
  <si>
    <t>RACHMAT HIDAYAT, S.P.</t>
  </si>
  <si>
    <t>19740612 200003 1 002</t>
  </si>
  <si>
    <t>S-1 PERTANIAN</t>
  </si>
  <si>
    <t>Perencana Ahli Muda pada Dinas Ketahanan Pangan, Tanaman Pangan dan Hortikultura</t>
  </si>
  <si>
    <t>SAMSI ARIF HARTOTO, S.P.</t>
  </si>
  <si>
    <t>19701112 200604 1 003</t>
  </si>
  <si>
    <t>PIM IV 2018</t>
  </si>
  <si>
    <t>Kepala Sub Bagian Umum dan Kepegawaian pada Sekretariat Dinas Ketahanan Pangan, Tanaman Pangan dan Hortikultura</t>
  </si>
  <si>
    <t>FITRIANA PUSPITA SARI, S.Kom</t>
  </si>
  <si>
    <t>19860619 201502 2 001</t>
  </si>
  <si>
    <t>Penata Muda Tk.I (III/b) / 01-10-2024</t>
  </si>
  <si>
    <t xml:space="preserve">S-1 SISTEM INFORMASI </t>
  </si>
  <si>
    <t>Analis Keuangan Pusat/Daerah Ahli Muda pada Dinas Ketahanan Pangan, Tanaman Pangan dan Hortikultura</t>
  </si>
  <si>
    <t>SUMIASIH, S.Kom.</t>
  </si>
  <si>
    <t>19790909 200701 2 013</t>
  </si>
  <si>
    <t>Kepala Bidang Ketahanan Pangan pada Dinas Ketahanan Pangan, Tanaman Pangan dan Hortikultura</t>
  </si>
  <si>
    <t>DIAN HIDAYAT, S.P., M.M.</t>
  </si>
  <si>
    <t>19770314 200701 1 005</t>
  </si>
  <si>
    <t>Pembina (IV/a)  / 01-10-2021</t>
  </si>
  <si>
    <t>S.1 Pertanian/ S.2 Magister Manajemen</t>
  </si>
  <si>
    <t>Pengawas Mutu Hasil Pertanian Ahli Muda pada Dinas Ketahanan Pangan, Tanaman Pangan dan Hortikultura</t>
  </si>
  <si>
    <t>NOVIAR PRIHATINI, B.S.P</t>
  </si>
  <si>
    <t>19831110 201001 2 016</t>
  </si>
  <si>
    <t>Penata Tk.I  (III/d) / 01-10-2019</t>
  </si>
  <si>
    <t>S.1 Pertanian Hama dan Penyakit Tumbuhan</t>
  </si>
  <si>
    <t>Analis Pasar Hasil Pertanian Ahli Muda pada Dinas Ketahanan Pangan, Tanaman Pangan dan Hortikultura</t>
  </si>
  <si>
    <t>S. DHARMA KESUMA, S.P.,M.Si</t>
  </si>
  <si>
    <t>19780629 200501 1 008</t>
  </si>
  <si>
    <t>Kepala Bidang Hortikultura pada Dinas Ketahanan Pangan, Tanaman Pangan dan Hortikultura</t>
  </si>
  <si>
    <t>19811004 200804 1 004</t>
  </si>
  <si>
    <t>ABDURRAHIM, S.P.</t>
  </si>
  <si>
    <t>19770112 200604 1 009</t>
  </si>
  <si>
    <t>YIVISTA HANDAYANI, SP., M.Si</t>
  </si>
  <si>
    <t>19740806 200801 2 015</t>
  </si>
  <si>
    <t>Penata Tk. I (III/d) / 01-4-2020</t>
  </si>
  <si>
    <t>S2 Sains (Agronomi)</t>
  </si>
  <si>
    <t>Kepala Bidang Tanaman Pangan pada Dinas Ketahanan Pangan, Tanaman Pangan dan Hortikultura</t>
  </si>
  <si>
    <t>RISWANDA DJUNAIDI, SE., M.M.</t>
  </si>
  <si>
    <t>19750109 200312 1 003</t>
  </si>
  <si>
    <t>Pembina Utama Muda (IV/c) / 01-10-2020</t>
  </si>
  <si>
    <t>Pengawas Benih Tanaman Ahli Muda pada Dinas Ketahanan Pangan, Tanaman Pangan dan Hortikultura</t>
  </si>
  <si>
    <t>SIMANJUNTAK, S.P</t>
  </si>
  <si>
    <t>19810813 201001 1 011</t>
  </si>
  <si>
    <t>Penata Tk. I (III/d) / 01-4-2022</t>
  </si>
  <si>
    <t>Pengendali Organisme Pengganggu Tumbuhan Ahli Muda pada Dinas Ketahanan Pangan, Tanaman Pangan dan Hortikultura</t>
  </si>
  <si>
    <t>Kepala Bidang Penyuluhan Pertanian pada Dinas Ketahanan Pangan, Tanaman Pangan dan Hortikultura</t>
  </si>
  <si>
    <t>19780810 199803 1 005</t>
  </si>
  <si>
    <t xml:space="preserve">Analis Kebijakan Ahli Muda pada Dinas Ketahanan Pangan, Tanaman Pangan dan Hortikultura </t>
  </si>
  <si>
    <t>IDA KARPITASARI, S.P.</t>
  </si>
  <si>
    <t>19750421 200502 2 002</t>
  </si>
  <si>
    <t xml:space="preserve">Penata Tk.I (III/d) </t>
  </si>
  <si>
    <t>NOVAN SEPTADOLY, S.Hut., M.M.P.</t>
  </si>
  <si>
    <t>19780919 201101 1 002</t>
  </si>
  <si>
    <t>Pembina (IV/a)  / 01-10-2023</t>
  </si>
  <si>
    <t>S.1 Kehutanan/ S.2 Magister Perkebunan</t>
  </si>
  <si>
    <t>Kepala Bidang Prasarana dan Sarana Pertanian pada Dinas Ketahanan Pangan, Tanaman Pangan dan Hortikultura</t>
  </si>
  <si>
    <t>19720706 200604 1 013</t>
  </si>
  <si>
    <t>Analis Prasarana dan Sarana Pertanian Ahli Muda pada Dinas Ketahanan Pangan, Tanaman Pangan dan Hortikultura</t>
  </si>
  <si>
    <t xml:space="preserve"> SENEN, S.P,.S.Pd.</t>
  </si>
  <si>
    <t>Penata Tk. I (III/d) / 01-10-2021</t>
  </si>
  <si>
    <t>S.1 Pertanian/Pendidikan</t>
  </si>
  <si>
    <t>Pengawas Alat dan Mesin Pertanian Ahli Muda pada Dinas Ketahanan Pangan, Tanaman Pangan dan Hortikultura</t>
  </si>
  <si>
    <t>RUDI HERI PRASTIYO BUDI, S.P.</t>
  </si>
  <si>
    <t>198002192006041007</t>
  </si>
  <si>
    <t>Penata Tk. I (III/d) 01-10-2016</t>
  </si>
  <si>
    <t>S-1 Pertanian</t>
  </si>
  <si>
    <t>BUNAK</t>
  </si>
  <si>
    <t>22. DINAS PERKEBUNAN DAN PETERNAKAN</t>
  </si>
  <si>
    <t>Kepala Dinas Perkebunan dan Peternakan</t>
  </si>
  <si>
    <t>HENRI FATRA, S.T., M.M.</t>
  </si>
  <si>
    <t>19761119 201001 1 008</t>
  </si>
  <si>
    <t>Pembina (IV/a)  / 01-04-2022</t>
  </si>
  <si>
    <t>Sekretaris Dinas Perkebunan dan Peternakan</t>
  </si>
  <si>
    <t>drh. ARI PRIYANTO</t>
  </si>
  <si>
    <t>19760611 200804 1 001</t>
  </si>
  <si>
    <t>S.1 Dokter Hewan</t>
  </si>
  <si>
    <t>Perencana Ahli Muda pada Dinas Perkebunan dan Peternakan</t>
  </si>
  <si>
    <t>AGUS PURNOMO, A.Md.</t>
  </si>
  <si>
    <t>19790801 200604 1 025</t>
  </si>
  <si>
    <t>D.3 Akuntasi</t>
  </si>
  <si>
    <t>Kepala Sub Bagian Umum dan Kepegawaian pada Sekretariat Dinas Perkebunan Dan Peternakan</t>
  </si>
  <si>
    <t>KEMALA SARI, S.Kom.,M.M</t>
  </si>
  <si>
    <t>Analis Keuangan Pusat/Daerah Ahli Muda pada Dinas Perkebunan dan Peternakan</t>
  </si>
  <si>
    <t>DESIKA ANGGIASARI, S.Kom.,M.M.</t>
  </si>
  <si>
    <t>19811231 200701 2 029</t>
  </si>
  <si>
    <t>Kepala Bidang Produksi Perkebunan pada Dinas Perkebunan dan Peternakan</t>
  </si>
  <si>
    <t>WAWAN MUFTI SARJONO, S.Hut</t>
  </si>
  <si>
    <t>19770729 200501 1 005</t>
  </si>
  <si>
    <t>S.1 Kehutanan</t>
  </si>
  <si>
    <t>Penyuluh Pertanian Ahli Muda pada Dinas Perkebunan dan Peternakan</t>
  </si>
  <si>
    <t>SUKRISTININGRUM, A.Md.</t>
  </si>
  <si>
    <t>19781026 200701 2 011</t>
  </si>
  <si>
    <t>Penata (III/c)/ 01-04-2022</t>
  </si>
  <si>
    <t>D.3</t>
  </si>
  <si>
    <t>Pengawas Benih Tanaman Ahli Muda pada Dinas Perkebunan dan Peternakan</t>
  </si>
  <si>
    <t>MARIO A. PRADIPTA, S.Kom.</t>
  </si>
  <si>
    <t>19860721 201101 1 005</t>
  </si>
  <si>
    <t>Kepala Bidang Pengolahan dan Pemasaran Hasil Perkebunan pada Dinas Perkebunan dan Peternakan</t>
  </si>
  <si>
    <t>HERI MAHBI, S.Ag.</t>
  </si>
  <si>
    <t>19760501 200801 1 012</t>
  </si>
  <si>
    <t>Pembina (III/a) / 01-04-2024</t>
  </si>
  <si>
    <t>S.1 Agama Islam</t>
  </si>
  <si>
    <t>Pengawas Mutu Hasil Pertanian Ahli Muda pada Dinas Perkebunan dan Peternakan</t>
  </si>
  <si>
    <t>RICKY YUNANDA, S.H.,M.M.</t>
  </si>
  <si>
    <t>198806212011011001</t>
  </si>
  <si>
    <t>Analis Pasar Hasil Pertanian Ahli Muda pada Dinas Perkebunan dan Peternakan</t>
  </si>
  <si>
    <t>IWAN SETIAWAN AHYAN, S.Kom</t>
  </si>
  <si>
    <t>19821121 200902 1 004</t>
  </si>
  <si>
    <t>Pengawas Alat dan Mesin Pertanian Ahli Muda pada Dinas Perkebunan dan Peternakan</t>
  </si>
  <si>
    <t>DEMYATI, S.P., M.M.</t>
  </si>
  <si>
    <t>19730308 200604 1 007</t>
  </si>
  <si>
    <t>Penata (III/c) / 01-10-2018</t>
  </si>
  <si>
    <t>Kepala Bidang Produksi Peternakan pada Dinas Perkebunan dan Peternakan</t>
  </si>
  <si>
    <t>AMIRIL HASAN, S.IP</t>
  </si>
  <si>
    <t>19760315 200902 1 005</t>
  </si>
  <si>
    <t>Pengawas Mutu Pakan Ahli Muda pada Dinas Perkebunan dan Peternakan</t>
  </si>
  <si>
    <t>YAYAN FITRAYADI, S.Pt.</t>
  </si>
  <si>
    <t>19850617 201001 1 012</t>
  </si>
  <si>
    <t>S.1 Peternakan</t>
  </si>
  <si>
    <t>Pengawas Bibit Ternak Ahli Muda pada Dinas Perkebunan dan Peternakan</t>
  </si>
  <si>
    <t>AKHMAD SARMIN, A.Md.KL</t>
  </si>
  <si>
    <t>19730803 199403 1 004</t>
  </si>
  <si>
    <t>RIO ROBY YANTO,S.E.,M.M.</t>
  </si>
  <si>
    <t>19761130 201001 1 004</t>
  </si>
  <si>
    <t xml:space="preserve"> Penata (III/c)</t>
  </si>
  <si>
    <t>s.2 Magister Manajemen</t>
  </si>
  <si>
    <t>Kepala Bidang Kesehatan Hewan pada Dinas Perkebunan dan Peternakan</t>
  </si>
  <si>
    <t>ROBBI ZIDNI, S.St.Pi., M.M.</t>
  </si>
  <si>
    <t>19860124 200804 1 001</t>
  </si>
  <si>
    <t>Paramedik Veteriner Ahli Muda pada Dinas Perkebunan dan Peternakan</t>
  </si>
  <si>
    <t>KHAIRUL,SE</t>
  </si>
  <si>
    <t>19811121 200604 1 004</t>
  </si>
  <si>
    <t>Penata Muda Tk. I (III/b)</t>
  </si>
  <si>
    <t>S1 Ekonomi</t>
  </si>
  <si>
    <t>HAZAIRIN,SP</t>
  </si>
  <si>
    <t>19760715 200604 1 012</t>
  </si>
  <si>
    <t>Paramedik Karantina Hewan Ahli Muda pada Dinas Perkebunan dan Peternakan</t>
  </si>
  <si>
    <t>SUPRIYANTO, S.E.</t>
  </si>
  <si>
    <t>19780505 200801 1 016</t>
  </si>
  <si>
    <t>PERPUS</t>
  </si>
  <si>
    <t>23. DINAS PERPUSTAKAAN DAN KEARSIPAN DAERAH</t>
  </si>
  <si>
    <t>Kepala Dinas Perpustakaan dan Kearsipan Daerah</t>
  </si>
  <si>
    <t>Sekretaris Dinas Perpustakaan dan Kearsipan Daerah</t>
  </si>
  <si>
    <t>YADI MULYADI, S.T., M.M.</t>
  </si>
  <si>
    <t xml:space="preserve">Kepala Sub Bagian Umum dan Kepegawaian pada Sekretariat Dinas Perpustakaan dan Kearsipan Daerah </t>
  </si>
  <si>
    <t>SITI BAIZAH S.E</t>
  </si>
  <si>
    <t>19771028 200701 2 023</t>
  </si>
  <si>
    <t xml:space="preserve">Analis Keuangan Pusat/Daerah Ahli Muda pada Dinas Perpustakaan dan Kearsipan Daerah </t>
  </si>
  <si>
    <t>SAITI ZUMAR, SE</t>
  </si>
  <si>
    <t>19780506 200902 2 003</t>
  </si>
  <si>
    <t xml:space="preserve">Perencana Ahli Muda pada Dinas Perpustakaan dan Kearsipan Daerah </t>
  </si>
  <si>
    <t>BETHARIA JULIANTY, S.E.</t>
  </si>
  <si>
    <t>19830716 201001 2 015</t>
  </si>
  <si>
    <t xml:space="preserve">Kepala Bidang Perpustakaan pada Dinas Perpustakaan dan Kearsipan Daerah </t>
  </si>
  <si>
    <t>MUHAMMAD AMIN, S.H.</t>
  </si>
  <si>
    <t xml:space="preserve">Pustakawan Ahli Muda pada Dinas Perpustakaan dan Kearsipan Daerah </t>
  </si>
  <si>
    <t>CHAIRULLAH, ST</t>
  </si>
  <si>
    <t>19820103 201001 1 002</t>
  </si>
  <si>
    <t>ERMUNAIDI, S.E.</t>
  </si>
  <si>
    <t>19770213 200701 1 003</t>
  </si>
  <si>
    <t>Penata Muda Tk.I (III/b) /01-10-2018</t>
  </si>
  <si>
    <t xml:space="preserve">Kepala Bidang Kearsipan Dokumentasi pada Dinas Perpustakaan dan Kearsipan Daerah </t>
  </si>
  <si>
    <t xml:space="preserve">Arsiparis Ahli Muda pada Dinas Perpustakaan dan Kearsipan Daerah </t>
  </si>
  <si>
    <t xml:space="preserve">Kepala Bidang Pembinaan, Pengembangan Perpustakaan dan Arsip  pada Dinas Perpustakaan dan Kearsipan Daerah </t>
  </si>
  <si>
    <t>JOHAN WAHYUDI MS, S.I.Pem., S.T.,MT.</t>
  </si>
  <si>
    <t>19780731 200804 1 001</t>
  </si>
  <si>
    <t>S.2 Teknik Sipil</t>
  </si>
  <si>
    <t>Arsiparis Ahli Muda pada Dinas Perpustakaan dan Arsip Daerah</t>
  </si>
  <si>
    <t>HENGKI AMPERA S, S.E.</t>
  </si>
  <si>
    <t>19671017 198903 1 004</t>
  </si>
  <si>
    <t>Penata Tk.I (III/d) / 01-04-2011</t>
  </si>
  <si>
    <t>IWAN KURNIAWAN, S.E.</t>
  </si>
  <si>
    <t>19720306 199303 1 004</t>
  </si>
  <si>
    <t>PERIKANAN</t>
  </si>
  <si>
    <t>24. DINAS PERIKANAN</t>
  </si>
  <si>
    <t>Kepala Dinas Perikanan</t>
  </si>
  <si>
    <t>DARMA SETIAWAN, S.Kom., M.M.</t>
  </si>
  <si>
    <t>19770512 199803 1 004</t>
  </si>
  <si>
    <t>Sekretaris Dinas Perikanan</t>
  </si>
  <si>
    <t>Kepala Sub Bagian Perencanaan, Monitoring, Evaluasi, Pelaporan pada Sekretariat Dinas Perikanan</t>
  </si>
  <si>
    <t xml:space="preserve">DENY ROBIANSYAH, S.Sos </t>
  </si>
  <si>
    <t>19740524 200801 1 006</t>
  </si>
  <si>
    <t>S.1 Administrasi Negara</t>
  </si>
  <si>
    <t>Kepala Sub Bagian Umum dan Kepegawaian pada Sekretariat Dinas Perikanan</t>
  </si>
  <si>
    <t>NETTI PARIDA, S.E.</t>
  </si>
  <si>
    <t>Analis Keuangan Pusat/Daerah Ahli Muda pada Dinas Perikanan</t>
  </si>
  <si>
    <t>MONA ARPA, S.E., MM</t>
  </si>
  <si>
    <t>19830508 201001 2 007</t>
  </si>
  <si>
    <t>Penata (III/c) /01-10-2020</t>
  </si>
  <si>
    <t>Kepala Bidang Perikanan Tangkap pada Dinas Perikanan</t>
  </si>
  <si>
    <t>Pengelola Produksi Perikanan Tangkap Ahli Muda pada Dinas Perikanan</t>
  </si>
  <si>
    <t>BENNY CIPTAWAN, S.P.</t>
  </si>
  <si>
    <t>19760113 201001 1 007</t>
  </si>
  <si>
    <t>S.1 Budidaya Perkebunan</t>
  </si>
  <si>
    <t>Pengawas Perikanan Ahli Muda pada Dinas Perikanan</t>
  </si>
  <si>
    <t>A'AN JUNAIDI, S.Pi.,M.M.</t>
  </si>
  <si>
    <t>19830127 201001 1 011</t>
  </si>
  <si>
    <t>S.1 Perikanan/ S.2 Magister Manajemen</t>
  </si>
  <si>
    <t>Kepala Bidang Perikanan Budidaya pada Dinas Perikanan</t>
  </si>
  <si>
    <t>CAROLIN YUNITA ARYATI, S.Pi.,M.M.</t>
  </si>
  <si>
    <t>19780608 200212 2 003</t>
  </si>
  <si>
    <t>Analis Akuakultur Ahli Muda pada Dinas Perikanan</t>
  </si>
  <si>
    <t>EFENDIE AS, S.E.</t>
  </si>
  <si>
    <t>19690207 201001 1 005</t>
  </si>
  <si>
    <t>IDAMAWATI, S.E.</t>
  </si>
  <si>
    <t>19780914 200804 2 001</t>
  </si>
  <si>
    <t>Kepala Bidang Pengolahan dan Pemasaran Hasil Perikanan pada Dinas Perikanan</t>
  </si>
  <si>
    <t>YENI MARLINA, S.E., M.M.</t>
  </si>
  <si>
    <t>19760413 200701 2 008</t>
  </si>
  <si>
    <t>Pembina (IVI/a) / 01-10-2021</t>
  </si>
  <si>
    <t>Pembina Mutu Kelautan dan Perikanan Ahli Muda pada Dinas Perikanan</t>
  </si>
  <si>
    <t>Analis Hasil Pasar Perikanan Ahli Muda pada Dinas Perikanan</t>
  </si>
  <si>
    <t>DIASTA RIAWATI, S.E., M.M.</t>
  </si>
  <si>
    <t>19780807 200701 2 024</t>
  </si>
  <si>
    <t>Kepala Bidang Pengawasan Perikanan pada Dinas Perikanan</t>
  </si>
  <si>
    <t>BAMBANG PROBO SAMPURNO, S.STP., M.Si</t>
  </si>
  <si>
    <t>19810903 200112 1 003</t>
  </si>
  <si>
    <t>S.2 Magister Sains</t>
  </si>
  <si>
    <t>BAPERIDA</t>
  </si>
  <si>
    <t>25. BADAN PERENCANAAN PEMBANGUNAN, RISET DAN INOVASI DAERAH</t>
  </si>
  <si>
    <t>Kepala Badan Perencanaan Pembangunan Riset dan Inovasi Daerah</t>
  </si>
  <si>
    <t>DONI SENGAJI BERISANG, S.T.,M.M.</t>
  </si>
  <si>
    <t>19780527 200212 1 004</t>
  </si>
  <si>
    <t>Memenuhi Syarat</t>
  </si>
  <si>
    <t>Sekretaris Badan Perencanaan Pembangunan Riset dan Inovasi Daerah</t>
  </si>
  <si>
    <t>FERI SEPTIAWAN, S.E., M.M.</t>
  </si>
  <si>
    <t>19800904 200701 1 012</t>
  </si>
  <si>
    <t>Kepala Sub Bagian Umum dan kepegawaian pada Sekretariat Badan Perencanaan Pembangunan Riset dan Inovasi Daerah</t>
  </si>
  <si>
    <t>RIZA RUHADI, S.IP.</t>
  </si>
  <si>
    <t>19790519 201212 1 001</t>
  </si>
  <si>
    <t>Analis Keuangan Pusat/Daerah Ahli Muda pada  Badan Perencanaan Pembangunan Riset dan Inovasi Daerah</t>
  </si>
  <si>
    <t>YULYANI,S.E.,M.M</t>
  </si>
  <si>
    <t>19780722 200701 2 012</t>
  </si>
  <si>
    <t>Kepala Sub Bagian Program pada Sekretariat Badan Perencanaan Pembangunan Riset dan Inovasi Daerah</t>
  </si>
  <si>
    <t>NAFI HIDAYAH, S.E.</t>
  </si>
  <si>
    <t>19840213 200604 1 003</t>
  </si>
  <si>
    <t>Kepala Bidang Perencanaan Perekonomian pada  Badan Perencanaan Pembangunan Riset dan Inovasi Daerah</t>
  </si>
  <si>
    <t>SUPARMONO, S.Kom., M.M.</t>
  </si>
  <si>
    <t>Perencana Ahli Muda pada  Badan Perencanaan Pembangunan Riset dan Inovasi Daerah</t>
  </si>
  <si>
    <t>ABDUL ROHMAN S.IP</t>
  </si>
  <si>
    <t>19790224 200801 1 010</t>
  </si>
  <si>
    <t>ADHITYA RAMA DAEFI, S.E.</t>
  </si>
  <si>
    <t>LELA HAYATI, S.E.</t>
  </si>
  <si>
    <t>19740918 200701 2 011</t>
  </si>
  <si>
    <t>Penata (III/c) / 01-04-2018</t>
  </si>
  <si>
    <t>Kepala Bidang Perencanaan Pemerintahan dan Pembangunan Manusia pada Badan Perencanaan Pembangunan Riset dan Inovasi Daerah</t>
  </si>
  <si>
    <t>DAVID ERWIN GUNAWAN, S.K.M.</t>
  </si>
  <si>
    <t>19840511 200604 1 006</t>
  </si>
  <si>
    <t>Pembina (IV/a / 01-02-2024</t>
  </si>
  <si>
    <t>29-12-2022</t>
  </si>
  <si>
    <t>PAMELA SISKA, S.E., M.M.</t>
  </si>
  <si>
    <t>19820424 200604 2 010</t>
  </si>
  <si>
    <t>S.1 Ilmu Ekonomi/ S.2 Magister Manajemen</t>
  </si>
  <si>
    <t>NOVRI ILMIAWAN, S.T.P., M.Si.</t>
  </si>
  <si>
    <t>19841130 201001 1 017</t>
  </si>
  <si>
    <t>Penata Tk.I (III/d) 01-04-2021</t>
  </si>
  <si>
    <t>S.1 Teknik Agro Industri/ S-2 Magister Sains</t>
  </si>
  <si>
    <t>YUDI HERIAWAN, S.E.</t>
  </si>
  <si>
    <t>19801025 200804 1 002</t>
  </si>
  <si>
    <t>Kepala Bidang Perencanaan Makro, Pengendalian dan Evaluasi Pembangunan Daerah pada Badan Perencanaan Pembangunan Riset dan Inovasi Daerah</t>
  </si>
  <si>
    <t>UZAIRI UHIDA, S.Pt.,M.M.</t>
  </si>
  <si>
    <t>19790407 200804 1 001</t>
  </si>
  <si>
    <t>S.1 Peternakan/ S.2 Magister Manajemen</t>
  </si>
  <si>
    <t>02-01-2023</t>
  </si>
  <si>
    <t>19800101 200801 1 032</t>
  </si>
  <si>
    <t>JARWANTO, S.E.</t>
  </si>
  <si>
    <t>19790608 200701 1 009</t>
  </si>
  <si>
    <t>Kepala Bidang Perencanaan Infrastruktur dan Kewilayahan pada Badan Perencanaan Pembangunan Riset dan Inovasi Daerah</t>
  </si>
  <si>
    <t>DWI NOPIYANTO, S.T.</t>
  </si>
  <si>
    <t>YUSUF AHMAD, S.Kom., M.M.</t>
  </si>
  <si>
    <t>19840628 201101 1 003</t>
  </si>
  <si>
    <t>FERI RUDIYANTO, S.E.</t>
  </si>
  <si>
    <t>19750117 200903 1 002</t>
  </si>
  <si>
    <t>LUTFI SOBRI, S.Pi., M.Si.</t>
  </si>
  <si>
    <t>19851030 201101 1 002</t>
  </si>
  <si>
    <t>S.1 Perikanan / S-2 Magister Sains</t>
  </si>
  <si>
    <t>Kepala Bidang Riset dan Inovasi Daerah pada Badan Perencanaan Pembangunan Riset dan Inovasi Daerah</t>
  </si>
  <si>
    <t>19741111 199902 1 001</t>
  </si>
  <si>
    <t>Analis Data Ilmiah Ahli Muda pada Badan Perencanaan Pembangunan Riset dan Inovasi Daerah</t>
  </si>
  <si>
    <t>IVAN RINALDO HARI RUSMANTO, S.Kom., M.M.</t>
  </si>
  <si>
    <t>19870304 201101 1 003</t>
  </si>
  <si>
    <t>Peneliti Ahli Muda pada Badan Perencanaan Pembangunan Riset dan Inovasi Daerah</t>
  </si>
  <si>
    <t>ANDREAN NUR PRATAMA, S.IP,,M.M.</t>
  </si>
  <si>
    <t>19891201 201502 1 001</t>
  </si>
  <si>
    <t xml:space="preserve">Penata (III/c)/01-04-2022 </t>
  </si>
  <si>
    <t>Analis Pemanfaatan Iptek Ahli Muda pada Badan Perencanaan Pembangunan Riset dan Inovasi Daerah</t>
  </si>
  <si>
    <t>RIO APRIANSYAH, SE</t>
  </si>
  <si>
    <t>19860422 2012 1 003</t>
  </si>
  <si>
    <t>BKAD</t>
  </si>
  <si>
    <t>26. BADAN KEUANGAN DAN ASET DAERAH</t>
  </si>
  <si>
    <t>Kepala Badan Keuangan dan Aset Daerah</t>
  </si>
  <si>
    <t>Sekretaris Badan Keuangan dan Aset Daerah</t>
  </si>
  <si>
    <t>AFRIDA SUSANTI, S.E.,M.M.</t>
  </si>
  <si>
    <t>19730421 200701 2 020</t>
  </si>
  <si>
    <t>Kepala Sub Bagian Umum dan Kepegawaian pada Sekretariat Badan Keuangan dan Aset Daerah</t>
  </si>
  <si>
    <t>ELIAWATI, S.E.</t>
  </si>
  <si>
    <t>19800803 200701 2007</t>
  </si>
  <si>
    <t>Pembina (IV/a) / 01-08-2024</t>
  </si>
  <si>
    <t>Perencana Ahli Muda pada Badan Keuangan dan Aset Daerah</t>
  </si>
  <si>
    <t>NOVITA OLIVIA, S.P., M.M.</t>
  </si>
  <si>
    <t>19761029 200701 2 008</t>
  </si>
  <si>
    <t>Analis Keuangan Pusat dan Daerah Ahli Muda pada Badan Keuangan dan Aset Daerah</t>
  </si>
  <si>
    <t>SRI NUNUT OKTAVIANTI, S.E., M.M.</t>
  </si>
  <si>
    <t>19731213 200604 2 007</t>
  </si>
  <si>
    <t>Kepala Bidang Anggaran pada Badan Keuangan dan Aset Daerah</t>
  </si>
  <si>
    <t>WELI YANTIKA, S.E., M.M.</t>
  </si>
  <si>
    <t>19790704 200902 2 005</t>
  </si>
  <si>
    <t>Kepala Sub Bidang Koordinasi Anggaran pada Bidang Anggaran pada Badan Pengelola  Keuangan Daerah</t>
  </si>
  <si>
    <t>JONI FATRIANSYAH, S.E., M.M.</t>
  </si>
  <si>
    <t>19850601 200804 1 002</t>
  </si>
  <si>
    <t>Kepala Sub Bidang Penyusunan Anggaran pada Bidang Anggaran pada Badan Keuangan dan Aset Daerah</t>
  </si>
  <si>
    <t>FERDIANSAH, S.E., M.M.</t>
  </si>
  <si>
    <t>19831024 200902 1 003</t>
  </si>
  <si>
    <t>Kepala Bidang Perbendaharaan pada Badan Keuangan dan Aset Daerah</t>
  </si>
  <si>
    <t>Kepala Sub Bidang Pengelolaan Kas Daerah pada Bidang Perbendaharaan pada Badan Keuangan dan Aset Daerah</t>
  </si>
  <si>
    <t>HENRY, S.I.P.</t>
  </si>
  <si>
    <t>19711023 200604 1 006</t>
  </si>
  <si>
    <t>S.I Ilmu Pemerintahan</t>
  </si>
  <si>
    <t>Kepala Sub Bidang Belanja Daerah pada Bidang Perbendaharaan pada Badan Keuangan dan Aset Daerah</t>
  </si>
  <si>
    <t>MAS EKO FEBRUANTO, S.E.</t>
  </si>
  <si>
    <t>ISNAINI, S.E.</t>
  </si>
  <si>
    <t>19820208 200501 2 009</t>
  </si>
  <si>
    <t>Penata Tk. I (III/d) / 01-04-2017</t>
  </si>
  <si>
    <t>Kepala Bidang Barang Milik Daerah pada Badan Keuangan dan Aset Daerah</t>
  </si>
  <si>
    <t>ANDREAN NUR PRATAMA, S.IP., M.M.</t>
  </si>
  <si>
    <t xml:space="preserve">Penata Muda Tk.I (III/c) / 01-04-2022 </t>
  </si>
  <si>
    <t>Kepala Sub Bidang Penatausahaan dan Pemindahtanganan Barang Milik Daerah pada Bidang Barang Milik Daerah pada Badan Keuangan dan Aset Daerah</t>
  </si>
  <si>
    <t>ERLINA PERMATASARI, S.E.</t>
  </si>
  <si>
    <t>Kepala Sub Bidang Pemanfaatan, Pengawasan dan Pengendalian Barang Milik Daerah pada Bidang Milik Daerah pada Badan Keuangan dan Aset Daerah</t>
  </si>
  <si>
    <t>BAMBANG IRAWAN, S.E.,M.M</t>
  </si>
  <si>
    <t>19800719 200804 1 001</t>
  </si>
  <si>
    <t>MAZDALENA, S.E., M.M.</t>
  </si>
  <si>
    <t>19800929 200801 2 016</t>
  </si>
  <si>
    <t>Kepala Bidang Akuntansi dan Pelaporan pada Badan Keuangan dan Aset Daerah</t>
  </si>
  <si>
    <t>Dr. YOPITA, S.E.I., M.M.</t>
  </si>
  <si>
    <t>Kepala Sub Bidang Akuntansi Pendapatan pada Bidang Akuntansi dan Pelaporan pada Badan Keuangan dan Aset Daerah</t>
  </si>
  <si>
    <t>AGUS ARI ZONTA, S.Kom</t>
  </si>
  <si>
    <t>Kepala Sub Bidang Akuntansi Belanja pada Bidang Akuntansi dan Pelaporan pada Badan Keuangan dan Aset Daerah</t>
  </si>
  <si>
    <t>19820710 201502 2 001</t>
  </si>
  <si>
    <t>NOVIARIA, S.Kom., M.M.</t>
  </si>
  <si>
    <t>19820314 201001 2 016</t>
  </si>
  <si>
    <t>BPD</t>
  </si>
  <si>
    <t>27. BADAN PENDAPATAN DAERAH</t>
  </si>
  <si>
    <t>Kepala Badan Pendapatan Daerah</t>
  </si>
  <si>
    <t>Sekretaris Badan Pendapatan Daerah</t>
  </si>
  <si>
    <t>Kepala Sub Bagian Umum dan Kepegawaian pada Sekretariat Badan Pendapatan Daerah</t>
  </si>
  <si>
    <t>Perencana Ahli Muda pada Badan Pendapatan Daerah</t>
  </si>
  <si>
    <t>Analis Keuangan Pusat dan Daerah Ahli Muda pada Badan Pendapatan Daerah</t>
  </si>
  <si>
    <t>Kepala Bidang Pelayanan, Pendataan dan Penetapan Pajak pada Badan Pendapatan Daerah</t>
  </si>
  <si>
    <t>MARIO EKA BAWEUS, S.P., M.M.</t>
  </si>
  <si>
    <t xml:space="preserve">Kepala Sub Bidang Pelayanan, Pendataan dan Penetapan Pajak pada Bidang Pelayanan, Pendataan dan Penetapan Pajak pada Badan Pendapatan Daerah </t>
  </si>
  <si>
    <t>Penata Tk. I (III/d) / 01-08-2024</t>
  </si>
  <si>
    <t>S.1 Ekonomi Manajemen</t>
  </si>
  <si>
    <t>30-12-2020</t>
  </si>
  <si>
    <t>Kepala Sub Bidang Penetapan Pajak Daerah pada Bidang Pelayanan, Pendataan dan Penetapan Pajak pada Badan Pendapatan Daerah</t>
  </si>
  <si>
    <t>ALVINDRA, S.IP., M.IP.</t>
  </si>
  <si>
    <t>19900821 201502 1 002</t>
  </si>
  <si>
    <t>S.2 Magister Manajemen Ilmu Pemerintahan</t>
  </si>
  <si>
    <t>Kepala Bidang Penerimaan Pendapatan Pajak Daerah pada Badan Pendapatan Daerah</t>
  </si>
  <si>
    <t>RIA VERANIDA, S.E.,M.M</t>
  </si>
  <si>
    <t>Kepala Sub Bidang Penerimaan Pajak Daerah pada Bidang Penerimaan Pendapatan Pajak Daerah pada Badan Pendapatan Daerah</t>
  </si>
  <si>
    <t>DESSI MAULIANI, S.E., M.M.</t>
  </si>
  <si>
    <t>Kepala Sub Bidang Penerimaan Non Pajak Daerah pada Bidang Penerimaan Pendapatan Pajak Daerah pada Badan Pendapatan Daerah</t>
  </si>
  <si>
    <t>RIKA HERDIYANTO, S.E., M.M.</t>
  </si>
  <si>
    <t>19830916 200804 1 001</t>
  </si>
  <si>
    <t>Kepala Bidang Pengelolaan PBB-P2, BPHTB dan Opsen Pajak pada Badan Pendapatan Daerah</t>
  </si>
  <si>
    <t>JOHN HENDRIK, S.Kom., M.M.</t>
  </si>
  <si>
    <t>19770129 201001 1 009</t>
  </si>
  <si>
    <t xml:space="preserve">Kepala Sub Bidang Pengelolaan PBB-P2, BPHTB pada  Bidang Pengelolaan PBB-P2, BPHTB dan Opsen Pajak pada Badan Pendapatan Daerah </t>
  </si>
  <si>
    <t>19841205 200604 2 005</t>
  </si>
  <si>
    <t xml:space="preserve">Kepala Sub Bidang Pengelolaan Opsen Pajak pada  Bidang Pengelolaan PBB-P2, BPHTB dan Opsen Pajak pada Badan Pendapatan Daerah </t>
  </si>
  <si>
    <t>RAHMAD KURNIAWAN, S.A.N., M.M.</t>
  </si>
  <si>
    <t>19800601 201101 1 005</t>
  </si>
  <si>
    <t xml:space="preserve">S.2 Magister Manajemen </t>
  </si>
  <si>
    <t>05-06-2023</t>
  </si>
  <si>
    <t>Kepala Bidang Pelaporan dan Pengawasan Pajak Daerah pada Badan Pendapatan Daerah</t>
  </si>
  <si>
    <t>RIA SUNDARI, S.E., M.M.</t>
  </si>
  <si>
    <t>19750127 200701 2 009</t>
  </si>
  <si>
    <t>Kepala Sub Bidang Pembukuan dan Pelaporan Pajak Daerah pada Bidang Pelaporan dan Pengawasan Pajak Daerah pada Badan Pendapatan Daerah</t>
  </si>
  <si>
    <t>19830220 201001 2 021</t>
  </si>
  <si>
    <t>Kepala Sub Bidang Pengawasan dan Pembinaan Pajak Daerah pada Bidang Pelaporan dan Pengawasan Pajak Daerah pada Badan Pendapatan Daerah</t>
  </si>
  <si>
    <t>19771105 200701 1 004</t>
  </si>
  <si>
    <t>Penata Tk. I (III/d)</t>
  </si>
  <si>
    <t>BKPSDM</t>
  </si>
  <si>
    <t>28. BADAN KEPEGAWAIAN DAN PENGEMBANGAN SUMBER DAYA MANUSIA</t>
  </si>
  <si>
    <t>Kepala Badan Kepegawaian dan Pengembangan Sumber Daya Manusia</t>
  </si>
  <si>
    <t>Optimal</t>
  </si>
  <si>
    <t>Dipertahankan/ Mutasi Perluasan Jabatan</t>
  </si>
  <si>
    <t>Sekretaris Badan Kepegawaian dan Pengembangan Sumber Daya Manusia</t>
  </si>
  <si>
    <t>19831217 201001 1 008</t>
  </si>
  <si>
    <t>S.2 Magister Teknik Informatika</t>
  </si>
  <si>
    <t>Kepala Sub Bagian Umum dan Kepegawaian pada Sekretariat Badan Kepegawaian dan Pengembangan Sumber Daya Manusia</t>
  </si>
  <si>
    <t>ESTI PURWANINGSIH, S.Kom</t>
  </si>
  <si>
    <t>19851109 201502 2 002</t>
  </si>
  <si>
    <t>Penata Muda Tk.I (III/b) /01-04-2022</t>
  </si>
  <si>
    <t>Kepala Sub Bagian Perencanaan, Keuangan dan Pelaporan pada Sekretariat Badan Kepegawaian dan Pengembangan Sumber Daya Manusia</t>
  </si>
  <si>
    <t>HERIYONO, SE</t>
  </si>
  <si>
    <t>19750627 200906 1 003</t>
  </si>
  <si>
    <t>Kepala Bidang Formasi dan Mutasi pada Badan Kepegawaian dan Pengembangan Sumber Daya Manusia</t>
  </si>
  <si>
    <t>PRAYITNO, S.E., M.M.</t>
  </si>
  <si>
    <t>19791010 200501 1 015</t>
  </si>
  <si>
    <t>Analis Sumber Daya Manusia Aparatur  Ahli Muda pada Badan Kepegawaian dan Pengembangan Sumber Daya Manusia</t>
  </si>
  <si>
    <t>TOTOK SAPUTRA, S.Kom</t>
  </si>
  <si>
    <t>'19920625 201502 1 002</t>
  </si>
  <si>
    <t>UNGGUL YUNANTO,S E.</t>
  </si>
  <si>
    <t>19860618 201101 1 004</t>
  </si>
  <si>
    <t>Analis Sumber Daya Manusia Aparatur Ahli Muda pada Badan Kepegawaian dan Pengembangan Sumber Daya Manusia</t>
  </si>
  <si>
    <t>ARIF RAHMAN HAKIM, S.E., M.M.</t>
  </si>
  <si>
    <t>19810720 201001 1 019</t>
  </si>
  <si>
    <t>Kepala Bidang Pengembangan Aparatur Sipil Negara pada Badan Kepegawaian dan Pengembangan Sumber Daya Manusia</t>
  </si>
  <si>
    <t>EDWIN SYAH, S.E.,M.M.</t>
  </si>
  <si>
    <t>19790307 200212 1 005</t>
  </si>
  <si>
    <t>PIM IV 2015
PKA 2020</t>
  </si>
  <si>
    <t>DIAN SOLIHAT, S.E., M.M.</t>
  </si>
  <si>
    <t>19780818 200902 2 002</t>
  </si>
  <si>
    <t xml:space="preserve">PIM IV </t>
  </si>
  <si>
    <t>Kepala Bidang Pembinaan dan Pengelolaan Data Pegawai pada Badan Kepegawaian dan Pengembangan Sumber Daya Manusia</t>
  </si>
  <si>
    <t>MUKTI ANTONNY, S.Si., M.M.</t>
  </si>
  <si>
    <t>TANZIL AZIS, S.Sos., M.M.</t>
  </si>
  <si>
    <t>19791214 201001 1 022</t>
  </si>
  <si>
    <t>ISTANTI PUTRI YULIASTUTI, S.Kom</t>
  </si>
  <si>
    <t>19890702 201502 2 002</t>
  </si>
  <si>
    <t>Arsiparis Ahli Muda pada Badan Kepegawaian dan Pengembangan Sumber Daya Manusia</t>
  </si>
  <si>
    <t>NOVRI DASA PUTRA, SE</t>
  </si>
  <si>
    <t>BPBD</t>
  </si>
  <si>
    <t>29. BADAN PENANGGULANGAN BENCANA DAERAH</t>
  </si>
  <si>
    <t>IRVAN WAHYUDI, S.T., M.M.</t>
  </si>
  <si>
    <t>Sekretaris Badan Penanggulangan Bencana Daerah</t>
  </si>
  <si>
    <t>IWAN JUNIANTO, S.T, M.Eng.</t>
  </si>
  <si>
    <t>19780630 200501 1 005</t>
  </si>
  <si>
    <t>S.2 Magister Enggenering</t>
  </si>
  <si>
    <t>Kepala Sub Bagian Umum dan Keuangan pada Sekretariat Badan Penanggulangan Bencana Daerah</t>
  </si>
  <si>
    <t>LAMSIR DANI, S.E.</t>
  </si>
  <si>
    <t>19720804 201001 1 005</t>
  </si>
  <si>
    <t>Perencana Ahli Muda pada Badan Penanggulangan Bencana Daerah</t>
  </si>
  <si>
    <t>LARASATI, A.Md</t>
  </si>
  <si>
    <t>19801023 200604 2 010</t>
  </si>
  <si>
    <t>D.III</t>
  </si>
  <si>
    <t>Kepala Bidang Pencegahan dan Kesiapsiagaan pada Badan Penanggulangan Bencana Daerah</t>
  </si>
  <si>
    <t>HENDARMAN WAHID, S.Kom</t>
  </si>
  <si>
    <t>19730621 200701 1 004</t>
  </si>
  <si>
    <t>S.1 Komunikasi</t>
  </si>
  <si>
    <t>Penata Penanggulangan Bencana Ahli Muda pada Badan Penanggulangan Bencana Daerah</t>
  </si>
  <si>
    <t>AZHAR, S.Kom</t>
  </si>
  <si>
    <t>19771027 200701 1 015</t>
  </si>
  <si>
    <t>Analis Kebencanaan Ahli Muda pada Badan Penanggulangan Bencana Daerah</t>
  </si>
  <si>
    <t>Kepala Bidang Rehabilitasi dan Rekonstruksi pada Badan Penanggulangan Bencana Daerah</t>
  </si>
  <si>
    <t>ANHAR ASIR,S.E.</t>
  </si>
  <si>
    <t>197405032010011003</t>
  </si>
  <si>
    <t>Kepala Bidang Kedaruratan dan Logistik pada Badan Penanggulangan Bencana Daerah</t>
  </si>
  <si>
    <t>CAHYO DWI NUGROHO, S.E.</t>
  </si>
  <si>
    <t>19800727 200701 1 010</t>
  </si>
  <si>
    <t>S-1 Ekonomi</t>
  </si>
  <si>
    <t>BUDIMAN, S.Kom</t>
  </si>
  <si>
    <t>19860426201101 1 003</t>
  </si>
  <si>
    <t>BKBP</t>
  </si>
  <si>
    <t>30. BADAN KESATUAN BANGSA DAN POLITIK</t>
  </si>
  <si>
    <t>Kepala Badan Kesatuan Bangsa dan Politik</t>
  </si>
  <si>
    <t>BENI IRAWAN, S.E., M.M.</t>
  </si>
  <si>
    <t>19720618 200312 1 004</t>
  </si>
  <si>
    <t>Sekretaris Badan Kesatuan Bangsa dan Politik</t>
  </si>
  <si>
    <t>Drs. SUYANTO, M.M.</t>
  </si>
  <si>
    <t>Perencana Ahli Muda pada Badan Kesatuan Bangsa dan Politik</t>
  </si>
  <si>
    <t xml:space="preserve">Kepala Sub Bagian Umum dan Kepegawaian ada Sekretariat Badan Kesatuan Bangsa dan Politik </t>
  </si>
  <si>
    <t>IVANI KHAIRUNISYA, S.E.,M.M.</t>
  </si>
  <si>
    <t>19820303 201001 2 018</t>
  </si>
  <si>
    <t>Kepala Bidang Ideologi, Wawasan Kebangsaan dan Ketahanan Ekonomi, Sosial Budaya, Agama pada Badan Kesatuan Bangsa dan Politik</t>
  </si>
  <si>
    <t>PIM IV 2019</t>
  </si>
  <si>
    <t>Analis Kebijakan Ahli Muda pada Badan Kesatuan Bangsa dan Politik</t>
  </si>
  <si>
    <t>YUNITA AFRIANTI, S.IP,M.M.</t>
  </si>
  <si>
    <t>19760630 200902 2 002</t>
  </si>
  <si>
    <t>ANTONI HASAN, S.IP.</t>
  </si>
  <si>
    <t>19790406 201101 1 003</t>
  </si>
  <si>
    <t xml:space="preserve">Kepala Bidang Politik Dalam Negeri dan Organisasi Kemasyarakatan pada Badan Kesatuan Bangsa dan Politik </t>
  </si>
  <si>
    <t>RISNAH, S.I.P.,M.M.</t>
  </si>
  <si>
    <t>19741208 200701 2 006</t>
  </si>
  <si>
    <t>LILI ARTHINI, S.E.,M.M.</t>
  </si>
  <si>
    <t>19810731 201101 2 002</t>
  </si>
  <si>
    <t>ANI RIYANTI, S.E.</t>
  </si>
  <si>
    <t>19770804 201001 2 005</t>
  </si>
  <si>
    <t xml:space="preserve">Kepala Bidang Kewaspadaan Nasional dan Penanganan Konflik pada Badan Kesatuan Bangsa dan Politik </t>
  </si>
  <si>
    <t>SUHERLI, S.T., M.M.</t>
  </si>
  <si>
    <t>19770724 200902 1 002</t>
  </si>
  <si>
    <t>RSUD</t>
  </si>
  <si>
    <t>31. RUMAH SAKIT UMUM DAERAH BATIN MANGUNANG</t>
  </si>
  <si>
    <t>Direktur Rumah Sakit Umum Daerah Batin Mangunang</t>
  </si>
  <si>
    <t>dr. THERESIA HUTABARAT</t>
  </si>
  <si>
    <t>19800223 200902 2 003</t>
  </si>
  <si>
    <t>S.1 Dokter Umum</t>
  </si>
  <si>
    <t>Kepala Bagian Tata Usaha pada Rumah Sakit Umum Daerah Batin Mangunang</t>
  </si>
  <si>
    <t>HENDRA EKA SAPUTRA, S.E., M.M.</t>
  </si>
  <si>
    <t>19770602 200701 1 009</t>
  </si>
  <si>
    <t>Kepala Sub Bagian Kepegawaian dan Pengembangan SDM pada Bagian Tata Usaha pada Rumah Sakit Umum Daerah Batin Mangunang</t>
  </si>
  <si>
    <t>25-08-2020</t>
  </si>
  <si>
    <t>Kepala Sub Bagian Humas dan Info Kesehatan pada Bagian Tata Usaha pada Rumah Sakit Umum Daerah Batin Mangunang</t>
  </si>
  <si>
    <t>ZULYANA YUSDA, A.Md.Kep.</t>
  </si>
  <si>
    <t>19781006 200804 2 001</t>
  </si>
  <si>
    <t>Kepala Sub Bagian Umum dan Rumah Tangga  pada Bagian Tata Usaha pada Rumah Sakit Umum Daerah Batin Mangunang</t>
  </si>
  <si>
    <t>MAYA SOFYA, S.ST., M.M.</t>
  </si>
  <si>
    <t>19721008 199202 2 001</t>
  </si>
  <si>
    <t>Kepala Bidang Perencanaan dan Keuangan pada pada Rumah Sakit Umum Daerah Batin Mangunang</t>
  </si>
  <si>
    <t>Kepala Seksi Perencanaan, Penganggaran dan Pengembangan pada Bidang Perencanaan dan Keuangan pada Rumah Sakit Umum Daerah Batin Mangunang</t>
  </si>
  <si>
    <t>ANNE RESKA NOVALIANTY, S.Si</t>
  </si>
  <si>
    <t>19831105 200604 2 017</t>
  </si>
  <si>
    <t xml:space="preserve">Penata Muda Tk.I (III/b) / </t>
  </si>
  <si>
    <t>Kepala Seksi Keuangan pada Bidang Perencanaan dan Keuangan pada Rumah Sakit Umum Daerah Batin Mangunang</t>
  </si>
  <si>
    <t>RIASTI FEBTALIDA, S.E.</t>
  </si>
  <si>
    <t>19830222 201502 2 001</t>
  </si>
  <si>
    <t>Kepala Bidang Penunjang dan Sarana Prasarana pada Rumah Sakit Umum Daerah Batin Mangunang</t>
  </si>
  <si>
    <t>DESI SUSANTI, S.TR.,Keb</t>
  </si>
  <si>
    <t>19761227 201406 2 004</t>
  </si>
  <si>
    <t>Penata (III/c) / 01-10-2024</t>
  </si>
  <si>
    <t>D-IV Kebidanan</t>
  </si>
  <si>
    <t>Kepala Seksi Pelayanan Penunjang dan Rekam Medis pada Bidang Penunjang dan Sarana Prasarana pada Rumah Sakit Umum Daerah Batin Mangunang</t>
  </si>
  <si>
    <t>ESTERLINA GINTING, S.Tr.Keb</t>
  </si>
  <si>
    <t>19840723 200604 2 004</t>
  </si>
  <si>
    <t>Kepala Seksi Sarana Prasarana dan Akreditasi pada Bidang Penunjang dan Sarana Prasarana pada Rumah Sakit Umum Daerah Batin Mangunang</t>
  </si>
  <si>
    <t>Ns.ZAIDAYATI, S.Kep</t>
  </si>
  <si>
    <t>19841204 201101 2 006</t>
  </si>
  <si>
    <t>Penata Tk.I (III/d) /01-04-2023</t>
  </si>
  <si>
    <t>S1. Keperawatan</t>
  </si>
  <si>
    <t>Kepala Bidang Pelayanan pada Rumah Sakit Umum Daerah Batin Mangunang</t>
  </si>
  <si>
    <t>dr. PANJI INDRA PURNAMA</t>
  </si>
  <si>
    <t>19900808 201903 1 001</t>
  </si>
  <si>
    <t>Penata Tk.I (III/d) / 01-06-2025</t>
  </si>
  <si>
    <t>S.2 Dokter Umum</t>
  </si>
  <si>
    <t>Kepala Seksi Pelayanan Medis pada Bidang Pelayanan pada Rumah Sakit Umum Daerah Batin Mangunang</t>
  </si>
  <si>
    <t>NS.ISDA AGNESIA, S.Kep</t>
  </si>
  <si>
    <t>19820809 201001 2 011</t>
  </si>
  <si>
    <t>Penata Tk.I (III/d) /01-04-2021</t>
  </si>
  <si>
    <t>Profesi Perawat</t>
  </si>
  <si>
    <t>Kepala Seksi Pelayanan Keperawatan pada Bidang Pelayanan pada Rumah Sakit Umum Daerah Batin Mangunang</t>
  </si>
  <si>
    <t>S.1 Kebidanan</t>
  </si>
  <si>
    <t>WNSB</t>
  </si>
  <si>
    <t>1. KECAMATAN WONOSOBO</t>
  </si>
  <si>
    <t>Camat Wonosobo</t>
  </si>
  <si>
    <t>Pembina Tk.I (IV/b) / 01-10-2019</t>
  </si>
  <si>
    <t>08-06-2018</t>
  </si>
  <si>
    <t>Sekretaris  Kecamatan Wonosobo</t>
  </si>
  <si>
    <t>AGUS SALIM, S.E.</t>
  </si>
  <si>
    <t>19820819 200312 1 003</t>
  </si>
  <si>
    <t>Kepala Sub Bagian Perencanaan dan Evaluasi pada Sekretariat Kecamatan Wonosobo</t>
  </si>
  <si>
    <t>SADI IRAWAN, S.I.P.</t>
  </si>
  <si>
    <t>19780211 200902 1 002</t>
  </si>
  <si>
    <t>01-02-2017</t>
  </si>
  <si>
    <t>4B</t>
  </si>
  <si>
    <t>Kepala Sub Bagian Umum dan Keuangan pada Sekretariat Kecamatan Wonosobo</t>
  </si>
  <si>
    <t>TEJO KARTIKO, S.IP</t>
  </si>
  <si>
    <t>19710418 200701 1 021</t>
  </si>
  <si>
    <t xml:space="preserve">Penata Muda Tk.I (III/b) / 01-10-2020 </t>
  </si>
  <si>
    <t>07-10-2021</t>
  </si>
  <si>
    <t>Kepala Seksi Pemerintahan pada Kecamatan Wonosobo</t>
  </si>
  <si>
    <t>HARWIN SHOFYAN, S.I.P.</t>
  </si>
  <si>
    <t>19781203 200902 1 005</t>
  </si>
  <si>
    <t>Kepala Seksi Pembangunan pada Kecamatan Wonosobo</t>
  </si>
  <si>
    <t>MIYOTO, S.IP.</t>
  </si>
  <si>
    <t>19681218 200701 1 013</t>
  </si>
  <si>
    <t>Penata Muda Tk.I (III/b) / 01-10-2020</t>
  </si>
  <si>
    <t>Kepala Seksi Ketentraman dan Ketertiban pada Kecamatan Wonosobo</t>
  </si>
  <si>
    <t>RIDWAN, S.Ag</t>
  </si>
  <si>
    <t>19750316 200902 1 001</t>
  </si>
  <si>
    <t>S.1 Dakwah Islam</t>
  </si>
  <si>
    <t>11-08-2017</t>
  </si>
  <si>
    <t>Kepala Seksi Pendapatan pada Kecamatan Wonosobo</t>
  </si>
  <si>
    <t>MAT HENDRI, SE</t>
  </si>
  <si>
    <t>19810707200902 1 002</t>
  </si>
  <si>
    <t>Kepala Seksi Kesejahteraan Masyarakat pada Kecamatan Wonosobo</t>
  </si>
  <si>
    <t>SUMIYATI,S.IP</t>
  </si>
  <si>
    <t>19720820 200902 2 001</t>
  </si>
  <si>
    <t>KOTA AGUNG</t>
  </si>
  <si>
    <t>2. KECAMATAN KOTA AGUNG</t>
  </si>
  <si>
    <t>Camat Kota Agung</t>
  </si>
  <si>
    <t>ADI PUTRA, S.E</t>
  </si>
  <si>
    <t>19830817 201001 1 008</t>
  </si>
  <si>
    <t>Penata Tk.I (III/d) / 01-10-23</t>
  </si>
  <si>
    <t>Kepala Sub Bagian Perencanaan dan Evaluasi pada Sekretariat Kecamatan Kota Agung</t>
  </si>
  <si>
    <t>DARWIS</t>
  </si>
  <si>
    <t>19720420 199303 1 002</t>
  </si>
  <si>
    <t>SMA</t>
  </si>
  <si>
    <t>Kepala Sub Bagian Umum dan Keuangan pada Sekretariat Kecamatan Kota Agung</t>
  </si>
  <si>
    <t>ENDANG SUPRIWINARSIH, S.Sos.</t>
  </si>
  <si>
    <t>19760804 200212 2 006</t>
  </si>
  <si>
    <t>Kepala Seksi Pemerintahan pada Kecamatan Kota Agung</t>
  </si>
  <si>
    <t>19930502 201609 1 001</t>
  </si>
  <si>
    <t>Kepala Seksi Pembangunan pada Kecamatan Kota Agung</t>
  </si>
  <si>
    <t>ZULKARNAIN, S.I.P.</t>
  </si>
  <si>
    <t>19681211 200902 1 002</t>
  </si>
  <si>
    <t>Kepala Seksi Ketentraman dan Ketertiban pada Kecamatan Kota Agung</t>
  </si>
  <si>
    <t>ANSHORI, S.E.</t>
  </si>
  <si>
    <t>19800708 201001 1 003</t>
  </si>
  <si>
    <t>Kepala Seksi Pendapatan pada Kecamatan Kota Agung</t>
  </si>
  <si>
    <t>NOVA AZRIANTI, S.E.,M.M.</t>
  </si>
  <si>
    <t>19791118 200801 2 012</t>
  </si>
  <si>
    <t>Kepala Seksi Kesejahteraan Masyarakat pada Kecamatan Kota Agung</t>
  </si>
  <si>
    <t>HERMANSYAH, S.I.P.</t>
  </si>
  <si>
    <t>19760404 200902 1 007</t>
  </si>
  <si>
    <t>TLPD</t>
  </si>
  <si>
    <t>3. KECAMATAN TALANG PADANG</t>
  </si>
  <si>
    <t>Camat Talang Padang</t>
  </si>
  <si>
    <t>JHONI IRZAL, S.Sos</t>
  </si>
  <si>
    <t>Sekretaris Kecamatan Talang Padang</t>
  </si>
  <si>
    <t>UBAIDILLAH, S.E.</t>
  </si>
  <si>
    <t>19820505 201001 1 050</t>
  </si>
  <si>
    <t>Kepala Sub Bagian Perencanaan dan Evaluasi pada Sekretariat Kecamatan Talang Padang</t>
  </si>
  <si>
    <t>SINARYATI, S.E.</t>
  </si>
  <si>
    <t>19750923 200701 2 009</t>
  </si>
  <si>
    <t>Kepala Sub Bagian Umum dan Keuangan pada Sekretariat Kecamatan Talang Padang</t>
  </si>
  <si>
    <t>YULI FITRI, S.E.</t>
  </si>
  <si>
    <t>19830711 200712 2 001</t>
  </si>
  <si>
    <t>Kepala Seksi Pemerintahan pada Kecamatan Talang Padang</t>
  </si>
  <si>
    <t>S.1 Pendidikan</t>
  </si>
  <si>
    <t>Kepala Seksi Pembangunan pada Kecamatan Talang Padang</t>
  </si>
  <si>
    <t>HAFIZUN ZIKRI, S.E.</t>
  </si>
  <si>
    <t>Kepala Seksi Ketentraman dan Ketertiban pada Kecamatan Talang Padang</t>
  </si>
  <si>
    <t>HENILIA PANAGARA, S.E.</t>
  </si>
  <si>
    <t>19800730 200902 2 001</t>
  </si>
  <si>
    <t>Kepala Seksi Pendapatan pada Kecamatan Talang Padang</t>
  </si>
  <si>
    <t>MUHARDIAN, S.E.</t>
  </si>
  <si>
    <t>19740213 200906 1 001</t>
  </si>
  <si>
    <t>Penata Muda Tk.I (III/b) / 01-10-2021</t>
  </si>
  <si>
    <t>Kepala Seksi Kesejahteraan Masyarakat pada Kecamatan Talang Padang</t>
  </si>
  <si>
    <t>YUNIDA WATI, S.Pd</t>
  </si>
  <si>
    <t>19710412 200906 2 001</t>
  </si>
  <si>
    <t>PULPA</t>
  </si>
  <si>
    <t>4. KECAMATAN PULAU PANGGUNG</t>
  </si>
  <si>
    <t>Camat Pulau Panggung</t>
  </si>
  <si>
    <t>Sekretaris Kecamatan Pulau Panggung</t>
  </si>
  <si>
    <t>SINGGIH SUSILO, S.IP.</t>
  </si>
  <si>
    <t>19811012 200902 1 006</t>
  </si>
  <si>
    <t>Kepala Sub Bagian Perencanaan dan Evaluasi pada Sekretariat Kecamatan Pulau Panggung</t>
  </si>
  <si>
    <t>HARTAWAN, S.Kom</t>
  </si>
  <si>
    <t>19771119 201001 1 002</t>
  </si>
  <si>
    <t>Penata Muda Tk.I (III/b)/01-10-2020</t>
  </si>
  <si>
    <t>Kepala Sub Bagian Umum dan Keuangan pada Sekretariat Kecamatan Pulau Panggung</t>
  </si>
  <si>
    <t>CIKMAH S.ST, M.M.</t>
  </si>
  <si>
    <t>19730716 199202 2 001</t>
  </si>
  <si>
    <t>Kepala Seksi Pemerintahan pada Kecamatan Pulau Panggung</t>
  </si>
  <si>
    <t>RIZA MAULANA, S.I.P.</t>
  </si>
  <si>
    <t>19800708 200604 1 008</t>
  </si>
  <si>
    <t>02-05-2025</t>
  </si>
  <si>
    <t>Kepala Seksi Pembangunan pada Kecamatan Pulau Panggung</t>
  </si>
  <si>
    <t>Penata Tk.I (III/d) / 01-04-2018</t>
  </si>
  <si>
    <t>Kepala Seksi Ketentraman dan Ketertiban pada Kecamatan Pulau Panggung</t>
  </si>
  <si>
    <t>EPI SATRI, S.P.</t>
  </si>
  <si>
    <t>19720922 200906 2 001</t>
  </si>
  <si>
    <t>S-1 Perkebunan</t>
  </si>
  <si>
    <t>Kepala Seksi Pendapatan pada Kecamatan Pulau Panggung</t>
  </si>
  <si>
    <t>HERWADI, S.Kom</t>
  </si>
  <si>
    <t>19710703 200906 1 005</t>
  </si>
  <si>
    <t>Penata (III/c)/ 01-04-2023</t>
  </si>
  <si>
    <t>Kepala Seksi Kesejahteraan Masyarakat pada Kecamatan Pulau Panggung</t>
  </si>
  <si>
    <t>NURUL FAHMI, S.E.</t>
  </si>
  <si>
    <t>19781228 200701 1 006</t>
  </si>
  <si>
    <t>PUGUNG</t>
  </si>
  <si>
    <t>5. KECAMATAN PUGUNG</t>
  </si>
  <si>
    <t>Camat Pugung</t>
  </si>
  <si>
    <t>Sekretaris Kecamatan Pugung</t>
  </si>
  <si>
    <t>ZULKARNAIN, S.E.</t>
  </si>
  <si>
    <t>19690708 199402 1 003</t>
  </si>
  <si>
    <t>Kepala Sub Bagian Perencanaan dan Evaluasi pada Sekretariat Kecamatan Pugung</t>
  </si>
  <si>
    <t>IRWAN, S.E.</t>
  </si>
  <si>
    <t>19720701 200701 1 026</t>
  </si>
  <si>
    <t>Penata Muda Tk.I (III/b) / 01-04-2022</t>
  </si>
  <si>
    <t>Kepala Sub Bagian Umum dan Keuangan pada Sekretariat Kecamatan Pugung</t>
  </si>
  <si>
    <t>HENDRA, S.E.</t>
  </si>
  <si>
    <t>19780818 200501 1 008</t>
  </si>
  <si>
    <t>Kepala Seksi Pemerintahan pada Kecamatan Pugung</t>
  </si>
  <si>
    <t>EKA KURNIAWAN, S.E.</t>
  </si>
  <si>
    <t>19720101 199803 1 012</t>
  </si>
  <si>
    <t>Kepala Seksi Pembangunan pada Kecamatan Pugung</t>
  </si>
  <si>
    <t>PIRDA SANTI, S.Kom., M.M.</t>
  </si>
  <si>
    <t>19770721 201001 2 002</t>
  </si>
  <si>
    <t>Kepala Seksi Ketentraman dan Ketertiban pada Kecamatan Pugung</t>
  </si>
  <si>
    <t>YUTRI DEWI, S.E., M.M.</t>
  </si>
  <si>
    <t>19820418 200902 2 005</t>
  </si>
  <si>
    <t>Kepala Seksi Pendapatan pada Kecamatan Pugung</t>
  </si>
  <si>
    <t>RUSNILA, S.E.,M.M.</t>
  </si>
  <si>
    <t>19770710 200701 2 011</t>
  </si>
  <si>
    <t>Kepala Seksi Kesejahteraan Masyarakat pada Kecamatan Pugung</t>
  </si>
  <si>
    <t>YURIDA, S.E.</t>
  </si>
  <si>
    <t>19751009 201001 2 003</t>
  </si>
  <si>
    <t>C.BALAK</t>
  </si>
  <si>
    <t>6. KECAMATAN CUKUH BALAK</t>
  </si>
  <si>
    <t>Camat Cukuh Balak</t>
  </si>
  <si>
    <t>Sekretaris Kecamatan Cukuh Balak</t>
  </si>
  <si>
    <t>AGUSLAN, S.Sos</t>
  </si>
  <si>
    <t>19740821 200701 1 005</t>
  </si>
  <si>
    <t>Kepala Sub Bagian Perencanaan dan Evaluasi pada Sekretariat Kecamatan Cukuh Balak</t>
  </si>
  <si>
    <t>HUZAIRI, S.E.</t>
  </si>
  <si>
    <t>19750601 201001 1 003</t>
  </si>
  <si>
    <t>Kepala Sub Bagian Umum dan Keuangan pada Sekretariat Kecamatan Cukuh Balak</t>
  </si>
  <si>
    <t>MAFTUH, S.E.</t>
  </si>
  <si>
    <t>19701008 201406 1 001</t>
  </si>
  <si>
    <t>Kepala Seksi Pemerintahan pada Kecamatan Cukuh Balak</t>
  </si>
  <si>
    <t>MUNHAYAT, S.E.</t>
  </si>
  <si>
    <t>19671206 198903 1 007</t>
  </si>
  <si>
    <t>Penata Tk.I (III/d) / 01-04-2014</t>
  </si>
  <si>
    <t>Kepala Seksi Pembangunan pada Kecamatan Cukuh Balak</t>
  </si>
  <si>
    <t>Kepala Seksi Ketentraman dan Ketertiban pada Kecamatan Cukuh Balak</t>
  </si>
  <si>
    <t>ROBBIYAN TAUFIK, S.T.</t>
  </si>
  <si>
    <t>19810419 200701 1 002</t>
  </si>
  <si>
    <t>S.1 Teknik Sipil</t>
  </si>
  <si>
    <t>Kepala Seksi Pendapatan pada Kecamatan Cukuh Balak</t>
  </si>
  <si>
    <t>BANDARSYAH, S.T.</t>
  </si>
  <si>
    <t>19790603 200902 1 005</t>
  </si>
  <si>
    <t>Kepala Seksi Kesejahteraan Masyarakat pada Kecamatan Cukuh Balak</t>
  </si>
  <si>
    <t>HERMAN, S.E.</t>
  </si>
  <si>
    <t>19850526 2010 1 017</t>
  </si>
  <si>
    <t>SEMAKA</t>
  </si>
  <si>
    <t>7. KECAMATAN SEMAKA</t>
  </si>
  <si>
    <t>Camat Semaka</t>
  </si>
  <si>
    <t>19820628 200804 1 001</t>
  </si>
  <si>
    <t>Pembina  (IV/a) /01-04-2019</t>
  </si>
  <si>
    <t>S.1 pendidikan Islam</t>
  </si>
  <si>
    <t>Sekretaris Kecamatan Semaka</t>
  </si>
  <si>
    <t>HELPIN RIANDA, S.E.,M.M.</t>
  </si>
  <si>
    <t>Kepala Sub Bagian Perencanaan dan Evaluasi pada Sekretariat Kecamatan Semaka</t>
  </si>
  <si>
    <t>EDI WINARTO, S.K.M., M.M.</t>
  </si>
  <si>
    <t>19710517199201 1 003</t>
  </si>
  <si>
    <t>Pembina  (IV/a) / 01-04-2017</t>
  </si>
  <si>
    <t>S.1 Kesehatan Masyarakat/S.2 Magister Manajemen</t>
  </si>
  <si>
    <t>Kepala Sub Bagian Umum dan Keuangan pada Sekretariat Kecamatan Semaka</t>
  </si>
  <si>
    <t>ANWAR, S.E.</t>
  </si>
  <si>
    <t>19760926 201001 1 005</t>
  </si>
  <si>
    <t>08-04-2021</t>
  </si>
  <si>
    <t xml:space="preserve">Kepala Seksi Pemerintahan pada Kecamatan Semaka </t>
  </si>
  <si>
    <t>NUNIK WALIASIH, S.Kom.</t>
  </si>
  <si>
    <t>19770806 200801 2 011</t>
  </si>
  <si>
    <t xml:space="preserve">Kepala Seksi Pembangunan pada Kecamatan Semaka </t>
  </si>
  <si>
    <t>SUBOWO, S.IP</t>
  </si>
  <si>
    <t>19721012 200906 1 003</t>
  </si>
  <si>
    <t xml:space="preserve">Kepala Seksi Ketentraman dan Ketertiban pada Kecamatan Semaka </t>
  </si>
  <si>
    <t>Pembina (IV/a) / 01-10-2009</t>
  </si>
  <si>
    <t xml:space="preserve">Kepala Seksi Pendapatan pada Kecamatan Semaka </t>
  </si>
  <si>
    <t>HASAN BASRI, S.E.</t>
  </si>
  <si>
    <t>19720101 200906 1 005</t>
  </si>
  <si>
    <t xml:space="preserve">Kepala Seksi Kesejahteraan Masyarakat pada Kecamatan Semaka </t>
  </si>
  <si>
    <t>RITA KURNIA SARI, S.Kom</t>
  </si>
  <si>
    <t>19800309 201001 2 016</t>
  </si>
  <si>
    <t>P.SAWA</t>
  </si>
  <si>
    <t>8. KECAMATAN PEMATANG SAWA</t>
  </si>
  <si>
    <t>Camat Pematang Sawa</t>
  </si>
  <si>
    <t>Sekretaris Kecamatan Pematang Sawa</t>
  </si>
  <si>
    <t>ADRIANSYAH, S.I.P</t>
  </si>
  <si>
    <t>19820512 201001 1 007</t>
  </si>
  <si>
    <t xml:space="preserve">Pembina.(IV/a) </t>
  </si>
  <si>
    <t>02-08-2023</t>
  </si>
  <si>
    <t>Kepala Sub Bagian Perencanaan dan Evaluasi pada Sekretariat Kecamatan Pematang Sawa</t>
  </si>
  <si>
    <t>WIDOYO, S.Sos</t>
  </si>
  <si>
    <t>19840513 201212 1 003</t>
  </si>
  <si>
    <t>Penata Muda (III/a)</t>
  </si>
  <si>
    <t>Kepala Sub Bagian Umum dan Keuangan pada Sekretariat Kecamatan Pematang Sawa</t>
  </si>
  <si>
    <t xml:space="preserve">Penata (III/c) / 01-10-2023 </t>
  </si>
  <si>
    <t>Kepala Seksi Pemerintahan pada Kecamatan Pematang Sawa</t>
  </si>
  <si>
    <t>MARJUNI, S.E., M.M.</t>
  </si>
  <si>
    <t>19770928 200701 1 013</t>
  </si>
  <si>
    <t>Pembina.(IV/a) / 01-10-2021</t>
  </si>
  <si>
    <t>S-2 Magister Manajemen</t>
  </si>
  <si>
    <t>Kepala Seksi Pembangunan pada Kecamatan Pematang Sawa</t>
  </si>
  <si>
    <t>AMRIZAL, S. Kom</t>
  </si>
  <si>
    <t>19750416 201001 1 006</t>
  </si>
  <si>
    <t>Kepala Seksi Ketentraman dan Ketertiban pada Kecamatan Pematang Sawa</t>
  </si>
  <si>
    <t>HUZRI, S.E.</t>
  </si>
  <si>
    <t>19750414 200801 1 013</t>
  </si>
  <si>
    <t>Kepala Seksi Pendapatan pada Kecamatan Pematang Sawa</t>
  </si>
  <si>
    <t>MURADI, SE</t>
  </si>
  <si>
    <t>19730506 200701 1 031</t>
  </si>
  <si>
    <t>Kepala Seksi Kesejahteraan Masyarakat pada Kecamatan Pematang Sawa</t>
  </si>
  <si>
    <t>AFENDI, S.I.P.</t>
  </si>
  <si>
    <t>19790819 200902 1 005</t>
  </si>
  <si>
    <t>UBL</t>
  </si>
  <si>
    <t>9. KECAMATAN ULU BELU</t>
  </si>
  <si>
    <t>Camat Ulu Belu</t>
  </si>
  <si>
    <t>Sekretaris Kecamatan Ulu belu</t>
  </si>
  <si>
    <t>PRIA SAPRUDI, S.E.</t>
  </si>
  <si>
    <t>19810909 201001 1 016</t>
  </si>
  <si>
    <t>Penata Tk.I (III/d) /01-10-2021</t>
  </si>
  <si>
    <t>Kepala Sub Bagian Perencanaan dan Evaluasi pada Sekretariat Kecamatan Ulu Belu</t>
  </si>
  <si>
    <t>SULIYO, S.E.</t>
  </si>
  <si>
    <t>19770407 201001 1 014</t>
  </si>
  <si>
    <t>Penata Muda Tk.I (III/b) / 01-04-2021</t>
  </si>
  <si>
    <t>Kepala Sub Bagian Umum dan Keuangan pada Sekretariat Kecamatan Ulu Belu</t>
  </si>
  <si>
    <t>ENIE YUSNITA LINDA, S.E.</t>
  </si>
  <si>
    <t>19700207 199009 2 001</t>
  </si>
  <si>
    <t>Kepala Seksi Pemerintahan pada Kecamatan Ulu Belu</t>
  </si>
  <si>
    <t>ZAINAL ABIDIN, S.Kom</t>
  </si>
  <si>
    <t>19850104 201001 1 011</t>
  </si>
  <si>
    <t>Kepala Seksi Pembangunan pada Kecamatan Ulu Belu</t>
  </si>
  <si>
    <t>FRESLY BISTOK SIMANJUNTAK, S.E.</t>
  </si>
  <si>
    <t>Kepala Seksi Ketentraman dan Ketertiban pada Kecamatan Ulu Belu</t>
  </si>
  <si>
    <t>Kepala Seksi Pendapatan pada Kecamatan Ulu Belu</t>
  </si>
  <si>
    <t>HERMANSYAH, S.E.</t>
  </si>
  <si>
    <t>19820606 200902 1 007</t>
  </si>
  <si>
    <t>Kepala Seksi Kesejahteraan Masyarakat pada Kecamatan Ulu Belu</t>
  </si>
  <si>
    <t>MUIRUL HUDA, S.Kom</t>
  </si>
  <si>
    <t>19780627 200701 1 008</t>
  </si>
  <si>
    <t>SUMBEREJO</t>
  </si>
  <si>
    <t>10. KECAMATAN SUMBEREJO</t>
  </si>
  <si>
    <t>Camat Sumberejo</t>
  </si>
  <si>
    <t>Sekretaris Kecamatan Sumberejo</t>
  </si>
  <si>
    <t>BUDI WAHYUDIN, S.E.</t>
  </si>
  <si>
    <t>19730412 200604 1 022</t>
  </si>
  <si>
    <t>Kepala Sub Bagian Perencanaan dan Evaluasi pada Sekretariat Kecamatan Sumberejo</t>
  </si>
  <si>
    <t>FITRIA JAFRENI, S.E.</t>
  </si>
  <si>
    <t>Kepala Sub Bagian Umum dan Keuangan pada Sekretariat Kecamatan Sumberejo</t>
  </si>
  <si>
    <t>Kepala Seksi Pemerintahan pada Kecamatan Sumberejo</t>
  </si>
  <si>
    <t>KUSNUN, S.Kom</t>
  </si>
  <si>
    <t>19710210 200906 1 003</t>
  </si>
  <si>
    <t>Kepala Seksi Pembangunan pada Kecamatan Sumberejo</t>
  </si>
  <si>
    <t>AMINI, S.H.</t>
  </si>
  <si>
    <t>19690212 200312 2 003</t>
  </si>
  <si>
    <t>Penata Tk.I (III/d) / 01-10-2013</t>
  </si>
  <si>
    <t>Kepala Seksi Ketentraman dan Ketertiban pada Kecamatan Sumberejo</t>
  </si>
  <si>
    <t>SRI ANDOKO, S.Pd.</t>
  </si>
  <si>
    <t>19680912 199702 1 002</t>
  </si>
  <si>
    <t>Pembina (IV/a) / 01-04-2008</t>
  </si>
  <si>
    <t>Kepala Seksi Pendapatan pada Kecamatan Sumberejo</t>
  </si>
  <si>
    <t>Kepala Seksi Kesejahteraan Masyarakat pada Kecamatan Sumberejo</t>
  </si>
  <si>
    <t>KLMBYN</t>
  </si>
  <si>
    <t>11. KECAMATAN KELUMBAYAN</t>
  </si>
  <si>
    <t xml:space="preserve">Camat Kelumbayan </t>
  </si>
  <si>
    <t>ALI IMRON, S.H.,M.M.</t>
  </si>
  <si>
    <t>Sekretaris Kecamatan Kelumbayan</t>
  </si>
  <si>
    <t>ZOLDIMANTO, S.I.P</t>
  </si>
  <si>
    <t xml:space="preserve">Kepala Sub Bagian Perencanaan dan Evaluasi pada Sekretariat Kecamatan Kelumbayan </t>
  </si>
  <si>
    <t>SOPIYAN HADI, S.E.</t>
  </si>
  <si>
    <t>19791212 200701 1 026</t>
  </si>
  <si>
    <t xml:space="preserve">Kepala Sub Bagian Umum dan Keuangan pada Sekretariat Kecamatan Kelumbayan </t>
  </si>
  <si>
    <t>AMRIDI, S.I.Kom</t>
  </si>
  <si>
    <t>19781013 201001 1 017</t>
  </si>
  <si>
    <t>Penata Muda (III/a) / 01-10-2022</t>
  </si>
  <si>
    <t>S.1 Informatika</t>
  </si>
  <si>
    <t xml:space="preserve">Kepala Seksi Pemerintahan pada Kecamatan Kelumbayan </t>
  </si>
  <si>
    <t>BAZARI, S.E.</t>
  </si>
  <si>
    <t>19780816 200701 1 023</t>
  </si>
  <si>
    <t xml:space="preserve">Kepala Seksi Pembangunan pada Kecamatan Kelumbayan </t>
  </si>
  <si>
    <t>YULIADI, S.E.</t>
  </si>
  <si>
    <t>19760723 200701 1 025</t>
  </si>
  <si>
    <t xml:space="preserve">Kepala Seksi Ketentraman dan Ketertiban pada Kecamatan Kelumbayan </t>
  </si>
  <si>
    <t>M. NUR ARIFIN, S.I.P.</t>
  </si>
  <si>
    <t>19811017 200902 1 007</t>
  </si>
  <si>
    <t xml:space="preserve">Kepala Seksi Pendapatan pada Kecamatan Kelumbayan </t>
  </si>
  <si>
    <t>HARY SURYANSYAH, S.E.</t>
  </si>
  <si>
    <t>19770627 201001 1 018</t>
  </si>
  <si>
    <t xml:space="preserve">Kepala Seksi Kesejahteraan Masyarakat pada Kecamatan Kelumbayan </t>
  </si>
  <si>
    <t>AGUNG SIGIT SUWARSONO, S.E.</t>
  </si>
  <si>
    <t>19820606 200902 1 008</t>
  </si>
  <si>
    <t>GISTING</t>
  </si>
  <si>
    <t>12. KECAMATAN GISTING</t>
  </si>
  <si>
    <t>Camat Gisting</t>
  </si>
  <si>
    <t>Sekretaris Kecamatan Gisting</t>
  </si>
  <si>
    <t>SAFROL LATIF, S.Kom</t>
  </si>
  <si>
    <t>19720103 200906 1 003</t>
  </si>
  <si>
    <t>Kepala Sub Bagian Perencanaan dan Evaluasi pada Sekretariat Kecamatan Gisting</t>
  </si>
  <si>
    <t>S.2 Magister Pendidikan Islam</t>
  </si>
  <si>
    <t>Kepala Sub Bagian Umum dan Keuangan  pada Sekretariat Kecamatan Gisting</t>
  </si>
  <si>
    <t>PURWI LESTARI, S.Kom.</t>
  </si>
  <si>
    <t>19800128 201001 2 001</t>
  </si>
  <si>
    <t>Kepala Seksi Pemerintahan pada Kecamatan Gisting</t>
  </si>
  <si>
    <t>MEDIANSYAH, S.E.</t>
  </si>
  <si>
    <t>19770520 200701 1 007</t>
  </si>
  <si>
    <t>Kepala Seksi Pembangunan pada Kecamatan Gisting</t>
  </si>
  <si>
    <t>Kepala Seksi Ketentraman dan Ketertiban pada Kecamatan Gisting</t>
  </si>
  <si>
    <t>TRI MULATSIH S.ST.</t>
  </si>
  <si>
    <t>19760627 2007012 018</t>
  </si>
  <si>
    <t>Kepala Seksi Pendapatan pada Kecamatan Gisting</t>
  </si>
  <si>
    <t>RINA SOFIANA S.E.,M.M</t>
  </si>
  <si>
    <t>19820422 200501 2 006</t>
  </si>
  <si>
    <t>Kepala Seksi Kesejahteraan Masyarakat pada Kecamatan Gisting</t>
  </si>
  <si>
    <t>KOTIM</t>
  </si>
  <si>
    <t>13. KECAMATAN KOTA AGUNG TIMUR</t>
  </si>
  <si>
    <t>Camat Kota Agung Timur</t>
  </si>
  <si>
    <t>Sekretaris Kecamatan Kota Agung Timur</t>
  </si>
  <si>
    <t>EFENDI, S.T.</t>
  </si>
  <si>
    <t>19780824 200701 1 015</t>
  </si>
  <si>
    <t>Kepala Sub Bagian Perencanaan dan Evaluasi pada Sekretariat Kecamatan Kota Agung Timur</t>
  </si>
  <si>
    <t>NOPI INDRASARI, S.E.</t>
  </si>
  <si>
    <t>19831112 200501 2 003</t>
  </si>
  <si>
    <t>Kepala Sub Bagian Umum dan Keuangan pada Sekretariat Kecamatan Kota Agung Timur</t>
  </si>
  <si>
    <t>SAPTA MONALIZA, S.E.</t>
  </si>
  <si>
    <t>Kepala Seksi Pemerintahan pada Kecamatan Kota Agung Timur</t>
  </si>
  <si>
    <t>KHUFRON, S.IP.</t>
  </si>
  <si>
    <t>19780716 200902 1 004</t>
  </si>
  <si>
    <t>Kepala Seksi Pembangunan pada Kecamatan Kota Agung Timur</t>
  </si>
  <si>
    <t>ADRI, S.E.</t>
  </si>
  <si>
    <t>19750625 200701 1 003</t>
  </si>
  <si>
    <t>Kepala Seksi Ketentraman dan Ketertiban pada Kecamatan Kota Agung Timur</t>
  </si>
  <si>
    <t>ZAINAL YULIANTO, S.E.</t>
  </si>
  <si>
    <t>Kepala Seksi Pendapatan pada Kecamatan Kota Agung Timur</t>
  </si>
  <si>
    <t>RICKO PURBA, S.E.</t>
  </si>
  <si>
    <t>19850704 201001 1 027</t>
  </si>
  <si>
    <t>Kepala Seksi Kesejahteraan Masyarakat pada Kecamatan Kota Agung Timur</t>
  </si>
  <si>
    <t>FATHUL BARI, S.T.</t>
  </si>
  <si>
    <t>19760721 200902 1 002</t>
  </si>
  <si>
    <t>KOBAR</t>
  </si>
  <si>
    <t>14. KECAMATAN KOTA AGUNG BARAT</t>
  </si>
  <si>
    <t>Camat Kota Agung Barat</t>
  </si>
  <si>
    <t>Sekretaris Kecamatan Kota Agung Barat</t>
  </si>
  <si>
    <t>SUJONO, S.E.</t>
  </si>
  <si>
    <t>Kepala Sub Bagian Perencanaan dan Evaluasi pada Sekretariat Kecamatan Kota Agung Barat</t>
  </si>
  <si>
    <t>Ns. RATNA SUSILOWATI, S.Kep</t>
  </si>
  <si>
    <t>19850108 200902 2 001</t>
  </si>
  <si>
    <t>Kepala Sub Bagian Umum dan Keuangan pada Sekretariat Kecamatan Kota Agung Barat</t>
  </si>
  <si>
    <t>MARYANI, S.Sos</t>
  </si>
  <si>
    <t>19790512 201406 2 003</t>
  </si>
  <si>
    <t>Kepala Seksi Pemerintahan pada Kecamatan Kota Agung Barat</t>
  </si>
  <si>
    <t>SOPYAN, S.I.P.</t>
  </si>
  <si>
    <t>19770214 200902 1 005</t>
  </si>
  <si>
    <t>Kepala Seksi Pembangunan pada Kecamatan Kota Agung Barat</t>
  </si>
  <si>
    <t>PAUZI, S.E.</t>
  </si>
  <si>
    <t>19690615 200701 1 041</t>
  </si>
  <si>
    <t>Kepala Seksi  Keamanan dan Ketertiban pada Kecamatan Kota Agung Barat</t>
  </si>
  <si>
    <t>NOPIANSYAH, S.E.</t>
  </si>
  <si>
    <t>19751113 200801 1 008</t>
  </si>
  <si>
    <t>PenataI Tk.I (III/d) / 01-04-2024</t>
  </si>
  <si>
    <t>Kepala Seksi Pendapatan pada Kecamatan Kota Agung Barat</t>
  </si>
  <si>
    <t>EDIYANSAH, S.E.</t>
  </si>
  <si>
    <t>19750821 200801 1 007</t>
  </si>
  <si>
    <t>Kepala Seksi  Kesejahteraan Masyarakat pada Kecamatan Kota Agung Barat</t>
  </si>
  <si>
    <t>FIRDAYANTI, S.E.</t>
  </si>
  <si>
    <t>19780202 200701 2 026</t>
  </si>
  <si>
    <t>LIMAU</t>
  </si>
  <si>
    <t>15. KECAMATAN LIMAU</t>
  </si>
  <si>
    <t xml:space="preserve">Camat Limau </t>
  </si>
  <si>
    <t>Sekretaris Kecamatan Limau</t>
  </si>
  <si>
    <t>SUNARDI, S.Pd.</t>
  </si>
  <si>
    <t>19690405 199802 1 002</t>
  </si>
  <si>
    <t>Pembina (IV/a) / 01-10-2007</t>
  </si>
  <si>
    <t>Kepala Sub Bagian Perencanaan dan Evaluasi pada Sekretariat Kecamatan Limau</t>
  </si>
  <si>
    <t>19811110 200901 1 008</t>
  </si>
  <si>
    <t>Kepala Sub Bagian Umum dan Keuangan pada Sekretariat Kecamatan Limau</t>
  </si>
  <si>
    <t>SETIO PRANOTO, S.E.</t>
  </si>
  <si>
    <t>197005142009061002</t>
  </si>
  <si>
    <t>Penata Muda Tk.I (III/b) /01-04-2021</t>
  </si>
  <si>
    <t>Kepala Seksi Pemerintahan pada Kecamatan Limau</t>
  </si>
  <si>
    <t>Kepala Seksi Pembangunan pada Kecamatan Limau</t>
  </si>
  <si>
    <t>FAHRUDDIN, SE</t>
  </si>
  <si>
    <t>19780804 200906 1 001</t>
  </si>
  <si>
    <t>Kepala Seksi Ketentraman dan Ketertiban pada Kecamatan Limau</t>
  </si>
  <si>
    <t>ARWANSYAH, S.IP.</t>
  </si>
  <si>
    <t>19730704 200906 1 003</t>
  </si>
  <si>
    <t>Kepala Seksi Pendapatan pada Kecamatan Limau</t>
  </si>
  <si>
    <t>SUPARMAN, S.Pd.</t>
  </si>
  <si>
    <t>19690428 199308 1 001</t>
  </si>
  <si>
    <t>Kepala Seksi Kesejahteraan Masyarakat pada Kecamatan Limau</t>
  </si>
  <si>
    <t>PIRDAUS, S.E.</t>
  </si>
  <si>
    <t>19690701 200906  1 003</t>
  </si>
  <si>
    <t>KLMBAR</t>
  </si>
  <si>
    <t>16. KECAMATAN KELUMBAYAN BARAT</t>
  </si>
  <si>
    <t>Camat Kelumbayan Barat</t>
  </si>
  <si>
    <t>Sekretaris Kecamatan Kelumbayan Barat</t>
  </si>
  <si>
    <t>ZULIA, S.Sos.</t>
  </si>
  <si>
    <t>Kepala Sub Bagian Perencanaan dan Evaluasi pada Sekretariat Kecamatan Kelumbayan Barat</t>
  </si>
  <si>
    <t>TOHIRIN, S.E.</t>
  </si>
  <si>
    <t>19760623 200906 1 002</t>
  </si>
  <si>
    <t xml:space="preserve">Penata Muda Tk.I (III/b) / 01-04-2021 </t>
  </si>
  <si>
    <t>Kepala Sub Bagian Umum dan Keuangan pada Sekretariat Kecamatan Kelumbayan Barat</t>
  </si>
  <si>
    <t>Kepala Seksi Pemerintahan pada Kecamatan Kelumbayan Barat</t>
  </si>
  <si>
    <t>NURYANTO, S.E.</t>
  </si>
  <si>
    <t>Kepala Seksi Pembangunan pada Kecamatan Kelumbayan Barat</t>
  </si>
  <si>
    <t>NURSITO, S.Pd.</t>
  </si>
  <si>
    <t>19771211 201001 1 008</t>
  </si>
  <si>
    <t>Kepala Seksi Ketentraman dan Ketertiban pada Kecamatan Kelumbayan Barat</t>
  </si>
  <si>
    <t>HENDRI YADI, S.E.</t>
  </si>
  <si>
    <t>19820203 200902 1 007</t>
  </si>
  <si>
    <t>Kepala Seksi Pendapatan pada Kecamatan Kelumbayan Barat</t>
  </si>
  <si>
    <t>TRI SUMARSONO, S.E.</t>
  </si>
  <si>
    <t>19760512 200701 1 007</t>
  </si>
  <si>
    <t>Kepala Seksi Kesejahteraan Masyarakat pada Kecamatan Kelumbayan Barat</t>
  </si>
  <si>
    <t>HAMAMI, S.E.</t>
  </si>
  <si>
    <t>19790103 200906 1 001</t>
  </si>
  <si>
    <t>25-02-2022</t>
  </si>
  <si>
    <t>G.ALIP</t>
  </si>
  <si>
    <t>17. KECAMATAN GUNUNG ALIP</t>
  </si>
  <si>
    <t>Camat Gunung Alip</t>
  </si>
  <si>
    <t>DERIUS PUTRAWAN, S.P., M.M.</t>
  </si>
  <si>
    <t>Sekretaris Kecamatan Gunung Alip</t>
  </si>
  <si>
    <t>TRIO ISKANDAR, S.E.</t>
  </si>
  <si>
    <t>19760624 200701 1 008</t>
  </si>
  <si>
    <t xml:space="preserve">Kepala Sub Bagian Perencanaan dan Evaluasi pada Sekretariat Kecamatan Gulung Alip </t>
  </si>
  <si>
    <t>ERNA GUSNIDA, A.Md.KL</t>
  </si>
  <si>
    <t>19710831 199703 2 004</t>
  </si>
  <si>
    <t xml:space="preserve">Kepala Sub Bagian Umum dan Keuangan pada Sekretariat Kecamatan Gulung Alip </t>
  </si>
  <si>
    <t>H. SUKRON, S.E.</t>
  </si>
  <si>
    <t>19720304 201001 1 007</t>
  </si>
  <si>
    <t>Penata (III/c) / 01-04-2024</t>
  </si>
  <si>
    <t>Kepala Seksi Pemerintahan pada Kecamatan Gunung Alip</t>
  </si>
  <si>
    <t>ZUHADI, S.E.</t>
  </si>
  <si>
    <t>19780913 200701 1 012</t>
  </si>
  <si>
    <t>Kepala Seksi Pembangunan pada Kecamatan Gunung Alip</t>
  </si>
  <si>
    <t>MARSUS, S.Kom</t>
  </si>
  <si>
    <t>19700413 200906 1 003</t>
  </si>
  <si>
    <t>Kepala Seksi Ketentraman dan Ketertiban ada Kecamatan Gunung Alip</t>
  </si>
  <si>
    <t>CECEP HIDAYAT, S.E.</t>
  </si>
  <si>
    <t>19760405 200701 1 005</t>
  </si>
  <si>
    <t>Kepala Seksi Pendapatan pada Kecamatan Gunung Alip</t>
  </si>
  <si>
    <t>YENI SUSITA, S.E.</t>
  </si>
  <si>
    <t>19781010 200801 2 021</t>
  </si>
  <si>
    <t>Kepala Seksi Kesejahteraan Masyarakat pada Kecamatan Gunung Alip</t>
  </si>
  <si>
    <t>TRIYANDI, S.E.</t>
  </si>
  <si>
    <t>19681225 200906 1 004</t>
  </si>
  <si>
    <t>BULOK</t>
  </si>
  <si>
    <t>18. KECAMATAN BULOK</t>
  </si>
  <si>
    <t>Camat Bulok</t>
  </si>
  <si>
    <t>RUSDI, S.I.P.</t>
  </si>
  <si>
    <t>19730115 200604 1 010</t>
  </si>
  <si>
    <t>Sekretaris Kecamatan Bulok</t>
  </si>
  <si>
    <t>YUSMANTO AGUNG, S.E.</t>
  </si>
  <si>
    <t>19750726 200701 1 003</t>
  </si>
  <si>
    <t>Kepala Sub Bagian Perencanaan dan Evaluasi pada Sekretariat Kecamatan Bulok</t>
  </si>
  <si>
    <t>19780720 199803 2 001</t>
  </si>
  <si>
    <t>Kepala Sub Bagian Umum dan Keuangan pada Sekretariat Kecamatan Bulok</t>
  </si>
  <si>
    <t>Kepala Seksi Pemerintahan pada Kecamatan Bulok</t>
  </si>
  <si>
    <t>ERIK, S.IP</t>
  </si>
  <si>
    <t>19820816 200902 1 008</t>
  </si>
  <si>
    <t>Kepala Seksi Pembangunan pada Kecamatan Bulok</t>
  </si>
  <si>
    <t>DIDI WAHYUDI, S.E.</t>
  </si>
  <si>
    <t>19760319 200701 1 003</t>
  </si>
  <si>
    <t>Kepala Seksi Ketentraman dan Ketertiban pada Kecamatan Bulok</t>
  </si>
  <si>
    <t>FAUZI HELMI, S.I.P.</t>
  </si>
  <si>
    <t>19740322 200801 1 010</t>
  </si>
  <si>
    <t>Kepala Seksi Pendapatan pada Kecamatan Bulok</t>
  </si>
  <si>
    <t>HAIDIR RIZKI, S.Sos</t>
  </si>
  <si>
    <t>19780603 200801 012</t>
  </si>
  <si>
    <t>Kepala Seksi Kesejahteraan Masyarakat pada Kecamatan Bulok</t>
  </si>
  <si>
    <t>ZAIROZI YAZID, S.E.</t>
  </si>
  <si>
    <t>19790801 200902 1 006</t>
  </si>
  <si>
    <t>AIR. N</t>
  </si>
  <si>
    <t>19. KECAMATAN AIR NANINGAN</t>
  </si>
  <si>
    <t>Camat Air Naningan</t>
  </si>
  <si>
    <t>Sekretaris Kecamatan Air Naningan</t>
  </si>
  <si>
    <t>AGUS SETIAWAN, SE</t>
  </si>
  <si>
    <t>19740813 200801 1 007</t>
  </si>
  <si>
    <t>Kepala Sub Bagian Perencanaan dan Evaluasi pada Sekretariat Kecamatan Air Naningan</t>
  </si>
  <si>
    <t>SOLIKHIN, S.Ag.</t>
  </si>
  <si>
    <t>19700310 201001 1 005</t>
  </si>
  <si>
    <t xml:space="preserve">S.1 Agama </t>
  </si>
  <si>
    <t>Kepala Sub Bagian Umum dan Keuangan pada Sekretariat Kecamatan Air Naningan</t>
  </si>
  <si>
    <t>AGUS SUGIYANTO, S.H.</t>
  </si>
  <si>
    <t>19820731 201406 1 001</t>
  </si>
  <si>
    <t>Kepala Seksi Pemerintahan pada Kecamatan Air Naningan</t>
  </si>
  <si>
    <t>Kepala Seksi Pembangunan pada Kecamatan Air Naningan</t>
  </si>
  <si>
    <t>HERNI SOFYA, S.E.</t>
  </si>
  <si>
    <t>19730205 200604 2 024</t>
  </si>
  <si>
    <t>Kepala Seksi Ketentraman dan Ketertiban pada Kecamatan Air Naningan</t>
  </si>
  <si>
    <t>RUSDI, S.E.</t>
  </si>
  <si>
    <t>Kepala Seksi Pendapatan pada Kecamatan Air Naningan</t>
  </si>
  <si>
    <t>Kepala Seksi Kesejahteraan Masyarakat pada Kecamatan Air Naningan</t>
  </si>
  <si>
    <t>BNS</t>
  </si>
  <si>
    <t>NAUVAL, S.Sos</t>
  </si>
  <si>
    <t>19700627 200312 1 005</t>
  </si>
  <si>
    <t>Sekretaris Kecamatan Bandar Negeri Semuong</t>
  </si>
  <si>
    <t>SYAIFUL AMAN, S.E.</t>
  </si>
  <si>
    <t>19720216 200604 1 008</t>
  </si>
  <si>
    <t>Kepala Sub Bagian Perencanaan dan Evaluasi pada Sekretariat Kecamatan Bandar Negeri Semuong</t>
  </si>
  <si>
    <t>GAPRAN, S.E.</t>
  </si>
  <si>
    <t>19761128 200902 1 001</t>
  </si>
  <si>
    <t>Kepala Sub Bagian Umum dan Keuangan pada Sekretariat Kecamatan Bandar Negeri Semuong</t>
  </si>
  <si>
    <t>YOHAN ASWAN SUARDI, ST</t>
  </si>
  <si>
    <t>19820607 200902 1 008</t>
  </si>
  <si>
    <t>Kepala Seksi Pemerintahan pada Kecamatan Bandar Negeri Semuong</t>
  </si>
  <si>
    <t>ZAMANSYAH, S.Sos</t>
  </si>
  <si>
    <t>19721021 201406 1 003</t>
  </si>
  <si>
    <t>Kepala Seksi Pembangunan pada Kecamatan Bandar Negeri Semuong</t>
  </si>
  <si>
    <t>AMAT TRIYADI, S.E.</t>
  </si>
  <si>
    <t>19850526 201001 1 007</t>
  </si>
  <si>
    <t>Kepala Seksi Ketentraman dan Ketertiban pada Kecamatan Bandar Negeri Semuong</t>
  </si>
  <si>
    <t>Kepala Seksi Pendapatan pada Kecamatan Bandar Negeri Semuong</t>
  </si>
  <si>
    <t>RIZANI, S.E.</t>
  </si>
  <si>
    <t>19740405 201001 1 010</t>
  </si>
  <si>
    <t>Kepala Seksi Kesejahteraan Masyarakat pada Kecamatan Bandar Negeri Semuong</t>
  </si>
  <si>
    <t>BAROS</t>
  </si>
  <si>
    <t>1. KELURAHAN BAROS</t>
  </si>
  <si>
    <t>Lurah Baros pada Kecamatan Kota Agung</t>
  </si>
  <si>
    <t>NANAK SUPRIADI, S.E.</t>
  </si>
  <si>
    <t>19830525 200902 1 006</t>
  </si>
  <si>
    <t>Sekretaris Kelurahan Baros pada Kecamatan Kota Agung</t>
  </si>
  <si>
    <t>ANA ERNIAWATI, S.IP</t>
  </si>
  <si>
    <t>19820823 201406 2 001</t>
  </si>
  <si>
    <t>Penata Muda Tk.I (III/b)/01-10-2024</t>
  </si>
  <si>
    <t>Kepala Seksi Pemerintahan pada Kelurahan Baros Kecamatan Kota Agung</t>
  </si>
  <si>
    <t>Kepala Seksi  Pelayanan Umum pada Kelurahan Baros Kecamatan Kota Agung</t>
  </si>
  <si>
    <t>ERKI RUDIKA, S.Kom.</t>
  </si>
  <si>
    <t>19870612 201101 1 004</t>
  </si>
  <si>
    <t>Kepala Seksi Pembangunan pada Kelurahan Baros Kecamatan Kota Agung</t>
  </si>
  <si>
    <t>SITI ZUBAIDAH, S.H., M.M.</t>
  </si>
  <si>
    <t>19760414 200701 2 022</t>
  </si>
  <si>
    <t>KRPN</t>
  </si>
  <si>
    <t>2. KELURAHAN KURIPAN</t>
  </si>
  <si>
    <t>Lurah Kuripan Kecamatan pada Kota Agung</t>
  </si>
  <si>
    <t>M. RIZKI, S.E.</t>
  </si>
  <si>
    <t>Sekretaris Kelurahan Kuripan pada Kecamatan Kota Agung</t>
  </si>
  <si>
    <t>Kepala Seksi Pemerintahan pada Kelurahan Kuripan Kecamatan Kota Agung</t>
  </si>
  <si>
    <t>19830918 201001 2 033</t>
  </si>
  <si>
    <t>Kepala Seksi  Pelayanan Umum pada Kelurahan Kuripan Kecamatan Kota Agung</t>
  </si>
  <si>
    <t>DIANA NOVITA, S.E.</t>
  </si>
  <si>
    <t>19800406 201001 2 003</t>
  </si>
  <si>
    <t xml:space="preserve"> Penata (III/c) 01-10-2020</t>
  </si>
  <si>
    <t>Kepala Seksi  Pembangunan pada Kelurahan Kuripan Kecamatan Kota Agung</t>
  </si>
  <si>
    <t>VERLIN NURMANSYAH, S.E</t>
  </si>
  <si>
    <t>19820102 200902 1 007</t>
  </si>
  <si>
    <t xml:space="preserve"> Penata (III/c) 01-04-2020</t>
  </si>
  <si>
    <t>P.MDNG</t>
  </si>
  <si>
    <t>3. KELURAHAN PASAR MADANG</t>
  </si>
  <si>
    <t>Lurah Pasar Madang pada Kecamatan Kota Agung</t>
  </si>
  <si>
    <t>MEGA SARI, S.E.</t>
  </si>
  <si>
    <t>19830505 201001 2 046</t>
  </si>
  <si>
    <t>Sekretaris Kelurahan Pasar Madang Kecamatan Kota Agung</t>
  </si>
  <si>
    <t>Kepala Seksi Pemerintahan pada Kelurahan Pasar Madang Kecamatan Kota Agung</t>
  </si>
  <si>
    <t>HAYANI, S.E.</t>
  </si>
  <si>
    <t>19721202 200801 2 009</t>
  </si>
  <si>
    <t>Penata Tk.I (III/d) /01-04-2020</t>
  </si>
  <si>
    <t>Kepala Seksi  Pelayanan Umum pada Kelurahan Pasar Madang Kecamatan Kota Agung</t>
  </si>
  <si>
    <t>AFRIAN SYAH, S.IP</t>
  </si>
  <si>
    <t>19811028 201406 1 001</t>
  </si>
  <si>
    <t>Kepala Seksi  Pembangunan pada Kelurahan Pasar Madang Kecamatan Kota Agung</t>
  </si>
  <si>
    <t>ZAHARI, S.E.</t>
  </si>
  <si>
    <t>19751010 200902 1 002</t>
  </si>
  <si>
    <t>UPTD KTTPH</t>
  </si>
  <si>
    <t>1. UPTD. PADA DINAS KETAHANAN PANGAN, TANAMAN PANGAN DAN HORTIKULTURA</t>
  </si>
  <si>
    <t>Kepala UPTD Pertanian, Tanaman Pangan dan Hortikultura Pematang Sawa pada Dinas Ketahanan Pangan, Tanamanan Pangan dan Hortikultura</t>
  </si>
  <si>
    <t>Kepala UPTD Pertanian, Tanaman Pangan dan Hortikultura Semaka pada Dinas Ketahanan Pangan, Tanamanan Pangan dan Hortikultura</t>
  </si>
  <si>
    <t>Kepala UPTD Pertanian, Tanaman Pangan dan Hortikultura Wonosobo pada Dinas Ketahanan Pangan, Tanamanan Pangan dan Hortikultura</t>
  </si>
  <si>
    <t>Kepala UPTD Pertanian, Tanaman Pangan dan Hortikultura Bandar Negeri Semuong pada Dinas Ketahanan Pangan, Tanamanan Pangan dan Hortikultura</t>
  </si>
  <si>
    <t>Kepala UPTD Pertanian, Tanaman Pangan dan Hortikultura Kota Agung Barat pada Dinas Ketahanan Pangan, Tanamanan Pangan dan Hortikultura</t>
  </si>
  <si>
    <t>AHMAD IRSAN, S.P.</t>
  </si>
  <si>
    <t>Kepala UPTD Pertanian, Tanaman Pangan dan Hortikultura Kota Agung pada Dinas Ketahanan Pangan, Tanamanan Pangan dan Hortikultura</t>
  </si>
  <si>
    <t>MUHAMMAD YANI MASPI , S.P., M.M.</t>
  </si>
  <si>
    <t>19700716 200902 1 002</t>
  </si>
  <si>
    <t>Kepala UPTD Pertanian, Tanaman Pangan dan Hortikultura Limau pada Dinas Ketahanan Pangan, Tanamanan Pangan dan Hortikultura</t>
  </si>
  <si>
    <t>Kepala UPTD Pertanian, Tanaman Pangan dan Hortikultura Cukuh Balak pada Dinas Ketahanan Pangan, Tanamanan Pangan dan Hortikultura</t>
  </si>
  <si>
    <t>Kepala UPTD Pertanian, Tanaman Pangan dan Hortikultura Gisting pada Dinas Ketahanan Pangan, Tanamanan Pangan dan Hortikultura</t>
  </si>
  <si>
    <t>BUNGA HERNAWATI MANIHURUK, S.TP</t>
  </si>
  <si>
    <t>19771020 201001 2 007</t>
  </si>
  <si>
    <t>S1. Tekonologi Pertanian</t>
  </si>
  <si>
    <t>Kepala UPTD Pertanian, Tanaman Pangan dan Hortikultura Talang Padang pada Dinas Ketahanan Pangan, Tanamanan Pangan dan Hortikultura</t>
  </si>
  <si>
    <t>Kepala UPTD Pertanian, Tanaman Pangan dan Hortikultura Gunung Alip pada Dinas Ketahanan Pangan, Tanamanan Pangan dan Hortikultura</t>
  </si>
  <si>
    <t>CHRISTINA DIAN KURNIAWATI, S.E.</t>
  </si>
  <si>
    <t>Kepala UPTD Pertanian, Tanaman Pangan dan Hortikultura Sumberejo pada Dinas Ketahanan Pangan, Tanamanan Pangan dan Hortikultura</t>
  </si>
  <si>
    <t>MARGO WASESO,SP.</t>
  </si>
  <si>
    <t>19740110 200701 1 005</t>
  </si>
  <si>
    <t>Kepala UPTD Pertanian, Tanaman Pangan dan Hortikultura Pulau Panggung pada Dinas Ketahanan Pangan, Tanamanan Pangan dan Hortikultura</t>
  </si>
  <si>
    <t>HANDAYANI, S.E.</t>
  </si>
  <si>
    <t>Kepala UPTD Pertanian, Tanaman Pangan dan Hortikultura Air Naningan pada Dinas Ketahanan Pangan, Tanamanan Pangan dan Hortikultura</t>
  </si>
  <si>
    <t>Kepala UPTD Pertanian, Tanaman Pangan dan Hortikultura Ulu Belu pada Dinas Ketahanan Pangan, Tanamanan Pangan dan Hortikultura</t>
  </si>
  <si>
    <t>Kepala UPTD Pertanian, Tanaman Pangan dan Hortikultura Pugung pada Dinas Ketahanan Pangan, Tanamanan Pangan dan Hortikultura</t>
  </si>
  <si>
    <t>SUPRIYANTO, S.ST.</t>
  </si>
  <si>
    <t>19770426 200701 1 012</t>
  </si>
  <si>
    <t>Kepala UPTD Pertanian, Tanaman Pangan dan Hortikultura Bulok pada Dinas Ketahanan Pangan, Tanamanan Pangan dan Hortikultura</t>
  </si>
  <si>
    <t>Kepala UPTD Pertanian, Tanaman Pangan dan Hortikultura Kelumbayan pada Dinas Ketahanan Pangan, Tanamanan Pangan dan Hortikultura</t>
  </si>
  <si>
    <t>Kepala UPTD Pertanian, Tanaman Pangan dan Hortikultura Kelumbayan Barat pada Dinas Ketahanan Pangan, Tanamanan Pangan dan Hortikultura</t>
  </si>
  <si>
    <t>UPTD BUNAK</t>
  </si>
  <si>
    <t>2. UPTD. PADA DINAS PERKEBUNAN DAN PETERNAKAN</t>
  </si>
  <si>
    <t>Kepala UPTD Pengawasan Benih dan Perlindungan Tanaman Perkebunan Semaka pada Dinas Perkebunan dan Peternakan</t>
  </si>
  <si>
    <t>SUPRIYONO, S.E</t>
  </si>
  <si>
    <t>19781019 200701 1 010</t>
  </si>
  <si>
    <t>Penata (III/c)/ 01-10-2022</t>
  </si>
  <si>
    <t>Kepala Sub Bagian Tata Usaha UPTD Pengawasan Benih dan Perlindungan Tanaman Perkebunan Semaka pada Dinas Perkebunan dan Peternakan</t>
  </si>
  <si>
    <t>Kepala UPTD Pengawasan Benih dan Perlindungan Tanaman Perkebunan Wonosobo pada Dinas Perkebunan dan Peternakan</t>
  </si>
  <si>
    <t>DEDEK CHANDRA, S.I.P.</t>
  </si>
  <si>
    <t>19820930 200902 1 004</t>
  </si>
  <si>
    <t>Kepala Sub Bagian Tata Usaha UPTD Pengawasan Benih dan Perlindungan Tanaman Perkebunan Wonosobo pada Dinas Perkebunan dan Peternakan</t>
  </si>
  <si>
    <t>Kepala UPTD Pengawasan Benih dan Perlindungan Tanaman Perkebunan Kota Agung pada Dinas Perkebunan dan Peternakan</t>
  </si>
  <si>
    <t>SUAINI, SP.</t>
  </si>
  <si>
    <t>19740530 20070 1 2006</t>
  </si>
  <si>
    <t>Kepala Sub Bagian Tata Usaha UPTD Pengawasan Benih dan Perlindungan Tanaman Perkebunan Kota Agung pada Dinas Perkebunan dan Peternakan</t>
  </si>
  <si>
    <t>Kepala UPTD Pengawasan Benih dan Perlindungan Tanaman Perkebunan Gisting pada Dinas Perkebunan dan Peternakan</t>
  </si>
  <si>
    <t>RIAN ANSORI, S.E.</t>
  </si>
  <si>
    <t>19730626 199803 1 003</t>
  </si>
  <si>
    <t>Kepala Sub Bagian Tata Usaha UPTD. Pengawasan Benih dan Perlindungan Tanaman Perkebunan Gisting pada Dinas Peternakan dan Perkebunan</t>
  </si>
  <si>
    <t>Kepala UPTD Pengawasan Benih dan Perlindungan Tanaman Perkebunan Pulau Panggung pada Dinas Perkebunan dan Peternakan</t>
  </si>
  <si>
    <t>USMAN, S.Pd.</t>
  </si>
  <si>
    <t>19741019 200312 1 002</t>
  </si>
  <si>
    <t>10-01-2023</t>
  </si>
  <si>
    <t>Kepala Sub Bagian Tata Usaha UPTD Pengawasan Benih dan Perlindungan Tanaman Perkebunan Pulau Panggung pada Dinas Perkebunan dan Peternakan</t>
  </si>
  <si>
    <t>Kepala UPTD Pengawasan Benih dan Perlindungan Tanaman Perkebunan Pugung pada Dinas Perkebunan dan Peternakan</t>
  </si>
  <si>
    <t>Kepala Sub Bagian Tata Usaha UPTD Pengawasan Benih dan Perlindungan Tanaman Perkebunan Pugung pada Dinas Perkebunan dan Peternakan</t>
  </si>
  <si>
    <t>Kepala UPTD Pengawasan Benih dan Perlindungan Tanaman Perkebunan Bulok pada Dinas Perkebunan dan Peternakan</t>
  </si>
  <si>
    <t>NURHAYATI, S.Pd.</t>
  </si>
  <si>
    <t>19700921 200501 2 006</t>
  </si>
  <si>
    <t>Kepala Sub Bagian Tata Usaha UPTD Pengawasan Benih dan Perlindungan Tanaman Perkebunan Bulok pada Dinas Perkebunan dan Peternakan</t>
  </si>
  <si>
    <t>Kepala UPTD Pengawasan Benih dan Perlindungan Tanaman Perkebunan Cukuh Balak pada Dinas Perkebunan dan Peternakan</t>
  </si>
  <si>
    <t>NORYADI, S.E.</t>
  </si>
  <si>
    <t>19730910 201001 1 008</t>
  </si>
  <si>
    <t>Kepala Sub Bagian Tata Usaha UPTD Pengawasan Benih dan Perlindungan Tanaman Perkebunan Cukuh Balak pada Dinas Perkebunan dan Peternakan</t>
  </si>
  <si>
    <t>Kepala UPTD Pengawasan Benih dan Perlindungan Tanaman Perkebunan Kelumbayan pada Dinas Perkebunan dan Peternakan</t>
  </si>
  <si>
    <t>Kepala Sub Bagian Tata Usaha UPTD Pengawasan Benih dan Perlindungan Tanaman Perkebunan Kelumbayan pada Dinas Perkebunan dan Peternakan</t>
  </si>
  <si>
    <t>Kepala UPTD Pengawasan Benih dan Perlindungan Tanaman Perkebunan Ulu Belu pada Dinas Perkebunan dan Peternakan</t>
  </si>
  <si>
    <t>Kepala Sub Bagian Tata Usaha UPTD Pengawasan Benih dan Perlindungan Tanaman Perkebunan Ulu Belu pada Dinas Perkebunan dan Peternakan</t>
  </si>
  <si>
    <t>Kepala UPTD Balai Pembibitan Ternak pada Dinas Perkebunan dan Peternakan</t>
  </si>
  <si>
    <t>FITRIANTO, S.IP</t>
  </si>
  <si>
    <t>19741022 199703 1 001</t>
  </si>
  <si>
    <t>Kepala Sub Bagian Tata Usaha UPTD Balai Pembibitan Ternak pada Dinas Perkebunan dan Peternakan</t>
  </si>
  <si>
    <t>Kepala UPTD Pusat Kesehatan Hewan Semaka pada Dinas Perkebunan dan Peternakan</t>
  </si>
  <si>
    <t>Kepala Sub Bagian Tata Usaha UPTD Pusat Kesehatan Hewan Semaka pada Dinas Perkebunan dan Peternakan</t>
  </si>
  <si>
    <t>Kepala UPTD Pusat Kesehatan Hewan Pulau Panggung pada Dinas Perkebunan dan Peternakan</t>
  </si>
  <si>
    <t>MUSTIKA SARI,SE,M.M.</t>
  </si>
  <si>
    <t>19720804 200701 2 021</t>
  </si>
  <si>
    <t>Kepala Sub Bagian Tata Usaha UPTD Pusat Kesehatan Hewan Pulau Panggung pada Dinas Perkebunan dan Peternakan</t>
  </si>
  <si>
    <t>Kepala UPTD Pusat Kesehatan Hewan Pugung pada Dinas Perkebunan dan Peternakan</t>
  </si>
  <si>
    <t>HARINDA, S.Kom</t>
  </si>
  <si>
    <t>19740906 200701 1 010</t>
  </si>
  <si>
    <t>Kepala Sub Bagian Tata Usaha UPTD Pusat Kesehatan Hewan Pugung pada Dinas Perkebunan dan Peternakan</t>
  </si>
  <si>
    <t>Kepala UPTD Pusat Kesehatan Hewan Bulok pada Dinas Perkebunan dan Peternakan</t>
  </si>
  <si>
    <t>SUHERLAN, S.I.P.</t>
  </si>
  <si>
    <t>19750317 200701 1 005</t>
  </si>
  <si>
    <t>Penata Tk.I (III/d) /01-10-2022</t>
  </si>
  <si>
    <t>Kepala Sub Bagian Tata Usaha UPTD Pusat Kesehatan Hewan Bulok pada Dinas Perkebunan dan Peternakan</t>
  </si>
  <si>
    <t>Kepala UPTD Pusat Kesehatan Hewan Kota Agung Timur pada Dinas Perkebunan dan Peternakan</t>
  </si>
  <si>
    <t>JULITA HAMID,S.E.</t>
  </si>
  <si>
    <t>19780104 200701 2 014</t>
  </si>
  <si>
    <t>Kepala Sub Bagian Tata Usaha UPTD Pusat Kesehatan Kota Agung Timur pada Dinas Perkebunan dan Peternakan</t>
  </si>
  <si>
    <t>UPTD PUPR</t>
  </si>
  <si>
    <t>3. UPTD PENGAIRAN PADA DINAS PEKERJAAN UMUM DAN PERUMAHAN RAKYAT</t>
  </si>
  <si>
    <t>Kepala UPTD. Pengairan Kota Agung pada Dinas Pekerjaan Umum dan Perumahan Rakyat</t>
  </si>
  <si>
    <t>MELSI NOVIKA, S.Kom</t>
  </si>
  <si>
    <t>19770505 200701 2 041</t>
  </si>
  <si>
    <t>Penata Tk.I (III/d) / 01-04-2025</t>
  </si>
  <si>
    <t>Kepala Sub Bagian Tata Usaha UPTD. Pengairan Kota Agung pada Dinas Pekerjaan Umum dan Perumahan Rakyat</t>
  </si>
  <si>
    <t>06-10-2021</t>
  </si>
  <si>
    <t>Kepala UPTD. Pengairan Talang Padang pada Dinas Pekerjaan Umum dan Perumahan Rakyat</t>
  </si>
  <si>
    <t>IRWAN SUGIANTO, S.E.</t>
  </si>
  <si>
    <t>19690819 199203 1 004</t>
  </si>
  <si>
    <t>Penata Tk.I (III/d) /01-04-2019</t>
  </si>
  <si>
    <t>27-12-2024</t>
  </si>
  <si>
    <t>Kepala Sub Bagian Tata Usaha UPTD. Pengairan Talang Padang pada Dinas Pekerjaan Umum dan Perumahan Rakyat</t>
  </si>
  <si>
    <t>Kepala UPTD. Pengairan Bulok pada Dinas Pekerjaan Umum dan Perumahan Rakyat</t>
  </si>
  <si>
    <t>FEBRIYANTO, S.T.</t>
  </si>
  <si>
    <t>19710227 200604 1 001</t>
  </si>
  <si>
    <t>17-10-2019</t>
  </si>
  <si>
    <t>Kepala Sub Bagian Tata Usaha UPTD. Pengairan Bulok pada Dinas Pekerjaan Umum dan Perumahan Rakyat</t>
  </si>
  <si>
    <t>Kepala UPTD. Peralatan dan Perbengkelan pada Dinas Pekerjaan Umum dan Perumahan Rakyat</t>
  </si>
  <si>
    <t>Kepala Sub Bagian Tata Usaha UPTD. Peralatan dan Perbengkelan pada Dinas Pekerjaan Umum dan Perumahan Rakyat</t>
  </si>
  <si>
    <t>UPTD PRKNAN</t>
  </si>
  <si>
    <t>4. UPTD. PERIKANAN PADA DINAS PERIKANAN</t>
  </si>
  <si>
    <t>Kepala UPTD. Perikanan Budidaya Air Tawar Wilayah Barat pada Dinas Perikanan</t>
  </si>
  <si>
    <t>IKA FIRONIKA, S.E., M.M.</t>
  </si>
  <si>
    <t>19760720 200604 2 012</t>
  </si>
  <si>
    <t>Kepala Sub Bagian Tata Usaha pada UPTD. Perikanan Budidaya Air Tawar Wilayah Barat pada Dinas Perikanan</t>
  </si>
  <si>
    <t>Kepala UPTD. Perikanan Budidaya Air Tawar Wilayah Timur pada Dinas Perikanan</t>
  </si>
  <si>
    <t>EKO SULISTIO S.IP</t>
  </si>
  <si>
    <t>19820506 200902 1 006</t>
  </si>
  <si>
    <t>Kepala Sub Bagian Tata Usaha pada UPTD. Perikanan Budidaya Air Tawar Wilayah Timur pada Dinas Perikanan</t>
  </si>
  <si>
    <t>UPTD. PKM</t>
  </si>
  <si>
    <t>5. UPTD. PUSKESMAS PADA DINAS KESEHATAN</t>
  </si>
  <si>
    <t xml:space="preserve">Kepala UPTD. Puskesmas Kota Agung pada Dinas Kesehatan </t>
  </si>
  <si>
    <t>19780107 200701 2 007</t>
  </si>
  <si>
    <t>S1. Kebidanan</t>
  </si>
  <si>
    <t>Tugas Tambahan</t>
  </si>
  <si>
    <t xml:space="preserve">Kepala Sub Bagian Tata Usaha  UPTD. Puskesmas Kota Agung pada Dinas Kesehatan </t>
  </si>
  <si>
    <t>TRI SETIAWATI, S.ST.</t>
  </si>
  <si>
    <t>19760812 200701 2 008</t>
  </si>
  <si>
    <t>Penata Muda Tk. I/III b</t>
  </si>
  <si>
    <t>S1.Kebidanan</t>
  </si>
  <si>
    <t>22-05-2019</t>
  </si>
  <si>
    <t xml:space="preserve">Kepala UPTD. Puskesmas Siring Betik pada Dinas Kesehatan </t>
  </si>
  <si>
    <t>AGUS SETIA BUDI, S.ST.</t>
  </si>
  <si>
    <t>19870821 200902 1 001</t>
  </si>
  <si>
    <t xml:space="preserve">Penata (III/c)/ 01-04-2023 </t>
  </si>
  <si>
    <t>S.1 Pranata Laboratorium</t>
  </si>
  <si>
    <t xml:space="preserve">Kepala Sub Bagian Tata Usaha UPTD. Puskesmas Siring Betik pada Dinas Kesehatan </t>
  </si>
  <si>
    <t>ZAHERA, S.Tr.,Keb</t>
  </si>
  <si>
    <t>19820207 201406 2 004</t>
  </si>
  <si>
    <t xml:space="preserve">Kepala UPTD. Puskesmas Wonosobo pada Dinas Kesehatan </t>
  </si>
  <si>
    <t>19790505 200804 1 001</t>
  </si>
  <si>
    <t>Penata Tk. (III/d) /01-04-2021</t>
  </si>
  <si>
    <t>Kepala Sub Bagian Tata Usaha UPTD. Puskesmas Wonosobo pada Dinas Kesehatan</t>
  </si>
  <si>
    <t>FENTI MAILI DIANA, A.Md.Keb</t>
  </si>
  <si>
    <t>19720504 199202 2 004</t>
  </si>
  <si>
    <t xml:space="preserve">D3 Kebidanan </t>
  </si>
  <si>
    <t xml:space="preserve">Kepala UPTD. Puskesmas Talang Padang pada Dinas Kesehatan </t>
  </si>
  <si>
    <t>19800410 200902 1 009</t>
  </si>
  <si>
    <t xml:space="preserve">Kepala Sub Bagian Tata Usaha UPTD. Puskesmas Talang Padang pada Dinas Kesehatan </t>
  </si>
  <si>
    <t>FRISKA ARDELIA, A.Md. Keb.</t>
  </si>
  <si>
    <t>19880916 201001 2 009</t>
  </si>
  <si>
    <t>Penata Muda / III.a</t>
  </si>
  <si>
    <t>D3. Kebidanan</t>
  </si>
  <si>
    <t xml:space="preserve">Kepala UPTD. Puskesmas Pulau Panggung pada Dinas Kesehatan </t>
  </si>
  <si>
    <t>Kepala Sub Bagian Tata Usaha UPTD. Puskesmas Pulau Panggung pada Dinas Kesehatan</t>
  </si>
  <si>
    <t>HENI HERDANELA, S.S.T.</t>
  </si>
  <si>
    <t>19670818 198903 1 007</t>
  </si>
  <si>
    <t xml:space="preserve">Kepala UPTD. Puskesmas Kelumbayan pada Dinas Kesehatan </t>
  </si>
  <si>
    <t>WAHYU DWI SAPUTRA, S.K.M.</t>
  </si>
  <si>
    <t>19820530 200501 1 005</t>
  </si>
  <si>
    <t>Penata Tk.1 (III/d) / 01-04-2022</t>
  </si>
  <si>
    <t>S.1 Kesehatan Masyarakat</t>
  </si>
  <si>
    <t>11-04-2018</t>
  </si>
  <si>
    <t xml:space="preserve">Kepala Sub Bagian Tata Usaha UPTD. Puskesmas Kelumbayan pada Dinas Kesehatan </t>
  </si>
  <si>
    <t>TARIDA EMILIA SIHOMBING, A.Md.KG.</t>
  </si>
  <si>
    <t>19811013 201001 2 012</t>
  </si>
  <si>
    <t>Penata Muda/III.a</t>
  </si>
  <si>
    <t>D3 Perawat Gigi</t>
  </si>
  <si>
    <t xml:space="preserve">Kepala UPTD. Puskesmas Gisting pada Dinas Kesehatan </t>
  </si>
  <si>
    <t>19731123 199302 1 001</t>
  </si>
  <si>
    <t>S1. Perawat</t>
  </si>
  <si>
    <t xml:space="preserve">Kepala Sub Bagian Tata Usaha UPTD. Puskesmas Gisting pada Dinas Kesehatan </t>
  </si>
  <si>
    <t>ROMIDIANTO, A.md.Kg.</t>
  </si>
  <si>
    <t>19801031 200312 1 004</t>
  </si>
  <si>
    <t>D.3 Gizi</t>
  </si>
  <si>
    <t xml:space="preserve">Kepala UPTD. Puskesmas Air Naningan pada Dinas Kesehatan </t>
  </si>
  <si>
    <t xml:space="preserve">Kepala Sub Bagian Tata Usaha UPTD. Puskesmas Air Naningan pada Dinas Kesehatan </t>
  </si>
  <si>
    <t>SASTRAWAN, S.Kep</t>
  </si>
  <si>
    <t>19760307 199603 1 003</t>
  </si>
  <si>
    <t>S1.Perawat</t>
  </si>
  <si>
    <t xml:space="preserve">Kepala UPTD. Puskesmas Negara Batin pada Dinas Kesehatan </t>
  </si>
  <si>
    <t>PONIAH, A.Md.Keb.</t>
  </si>
  <si>
    <t>19710305 199201 2 001</t>
  </si>
  <si>
    <t>D.III Kebidanan</t>
  </si>
  <si>
    <t xml:space="preserve">Kepala Sub Bagian Tata Usaha UPTD. Puskesmas Negara Batin pada Dinas Kesehatan </t>
  </si>
  <si>
    <t>MARTIN FATMAWATI, A.Md.Kep.</t>
  </si>
  <si>
    <t>19850312 201001 2 018</t>
  </si>
  <si>
    <t>D3.Perawat</t>
  </si>
  <si>
    <t xml:space="preserve">Kepala UPTD. Puskesmas Pasar Simpang pada Dinas Kesehatan </t>
  </si>
  <si>
    <t>dr. LINDA M. ARITONANG</t>
  </si>
  <si>
    <t>19750515 200604 2 025</t>
  </si>
  <si>
    <t>09-09-2020</t>
  </si>
  <si>
    <t xml:space="preserve">Kepala Sub Bagian Tata Usaha UPTD. Puskesmas Pasar Simpang pada Dinas Kesehatan </t>
  </si>
  <si>
    <t>ULI SIRONA, A.Md.GZ</t>
  </si>
  <si>
    <t>19900219 201101 2 005</t>
  </si>
  <si>
    <t>D3. Gizi</t>
  </si>
  <si>
    <t>Kepala UPTD. Puskesmas Sanggi pada Dinas Kesehatan</t>
  </si>
  <si>
    <t>Kepala Sub Bagian Tata Usaha UPTD. Puskesmas Sanggi pada Dinas Kesehatan</t>
  </si>
  <si>
    <t>NOVIANINGSIH, S.Tr. Keb</t>
  </si>
  <si>
    <t>19861105 201704 2 002</t>
  </si>
  <si>
    <t>Kepala UPTD. Puskesmas Sudimoro pada Dinas Kesehatan</t>
  </si>
  <si>
    <t>SITI NURANI, S.K.M.,M.M.</t>
  </si>
  <si>
    <t>19710321 199803 2 003</t>
  </si>
  <si>
    <t>Kepala Sub Bagian Tata Usaha UPTD. Puskesmas Sudimoro pada Dinas Kesehatan</t>
  </si>
  <si>
    <t>JUNIAR EKA BUDIYANI, A.Md.Keb.</t>
  </si>
  <si>
    <t>19751229 200604 2 009</t>
  </si>
  <si>
    <t>Kepala UPTD. Puskesmas Sukaraja pada Dinas Kesehatan</t>
  </si>
  <si>
    <t>SOLAWATI EFFENDY, SKM.</t>
  </si>
  <si>
    <t>19760220 200902 2 004</t>
  </si>
  <si>
    <t>Kepala Sub Bagian Tata Usaha UPTD. Puskesmas Sukaraja pada Dinas Kesehatan</t>
  </si>
  <si>
    <t>HIMAHWATI, S.ST.</t>
  </si>
  <si>
    <t>19781212 200501 2 013</t>
  </si>
  <si>
    <t>Kepala UPTD. Puskesmas Way Nipah pada Dinas Kesehatan</t>
  </si>
  <si>
    <t>19750502 200604 2 017</t>
  </si>
  <si>
    <t>Kepala Sub Bagian Tata Usaha UPTD. Puskesmas Way Nipah pada Dinas Kesehatan</t>
  </si>
  <si>
    <t>ARIS SUGIARTO, A.Md.Kep.</t>
  </si>
  <si>
    <t>19830313 201101 1 006</t>
  </si>
  <si>
    <t>D3. Perawat</t>
  </si>
  <si>
    <t>Kepala UPTD. Puskesmas Kedaloman pada Dinas Kesehatan</t>
  </si>
  <si>
    <t>FEBRINA NURHAYATI, S.SiT.</t>
  </si>
  <si>
    <t>19860207 200804 2 003</t>
  </si>
  <si>
    <t>D.IV Kebidanan</t>
  </si>
  <si>
    <t>Kepala Sub Bagian Tata Usaha UPTD. Puskesmas Kedaloman pada Dinas Kesehatan</t>
  </si>
  <si>
    <t>M. KOMARUDDIN, S.K.M.</t>
  </si>
  <si>
    <t>19741214 199602 1 002</t>
  </si>
  <si>
    <t>Kepala UPTD. Puskesmas Ngarip pada Dinas Kesehatan</t>
  </si>
  <si>
    <t>Ns. MELI SUGIARTI, S.Kep.,M.M</t>
  </si>
  <si>
    <t>19820512 200804 2 001</t>
  </si>
  <si>
    <t>Kepala Sub Bagian Tata Usaha PTD. Puskesmas Ngarip pada Dinas Kesehatan</t>
  </si>
  <si>
    <t>Ns. HERU APRIANTO, S.Kep.</t>
  </si>
  <si>
    <t>19750407 199803 1 006</t>
  </si>
  <si>
    <t>Kepala UPTD. Puskesmas Kelumbayan Barat pada Dinas Kesehatan</t>
  </si>
  <si>
    <t>Kepala Sub Bagian Tata Usaha UPTD. Puskesmas Kelumbayan Barat pada Dinas Kesehatan</t>
  </si>
  <si>
    <t>ERVANI ZUHELDI, A.Md.Kep.</t>
  </si>
  <si>
    <t>19831009 200501 1 002</t>
  </si>
  <si>
    <t>Penata/III.c</t>
  </si>
  <si>
    <t>Kepala UPTD. Puskesmas Rantau Tijang pada Dinas Kesehatan</t>
  </si>
  <si>
    <t>VERA LESMANA, SKM</t>
  </si>
  <si>
    <t>19771211 200701 2 007</t>
  </si>
  <si>
    <t>Kepala Sub Bagian Tata Usaha UPTD. Puskesmas Rantau Tijang pada Dinas Kesehatan</t>
  </si>
  <si>
    <t>Kepala UPTD. Puskesmas Sumanda pada Dinas Kesehatan</t>
  </si>
  <si>
    <t>Kepala Sub Bagian Tata Usaha UPTD. Puskesmas Sumanda pada Dinas Kesehatan</t>
  </si>
  <si>
    <t>HENI CANDRAWATI, S.ST.</t>
  </si>
  <si>
    <t>19850907 201001 2 016</t>
  </si>
  <si>
    <t>Kepala UPTD. Puskesmas Bulok Sukamara pada Dinas Kesehatan</t>
  </si>
  <si>
    <t>Kepala Sub Bagian Tata Usaha UPTD. Puskesmas Bulok Sukamara pada Dinas Kesehatan</t>
  </si>
  <si>
    <t>PURWANTORO, SKM</t>
  </si>
  <si>
    <t>19691106 199203 1 006</t>
  </si>
  <si>
    <t>Penata Tk.I/III.d</t>
  </si>
  <si>
    <t>Kepala UPTD. Puskesmas Putih Doh pada Dinas Kesehatan</t>
  </si>
  <si>
    <t>NOVA JUMYANA, A.Md.Keb</t>
  </si>
  <si>
    <t>19751105 200604 2 017</t>
  </si>
  <si>
    <t xml:space="preserve">Penata (III/c) </t>
  </si>
  <si>
    <t>Kepala Sub Bagian Tata Usaha UPTD. Puskesmas Putih Do pada Dinas Kesehatan</t>
  </si>
  <si>
    <t>SUHENDRI HARTONO, A.Md. Kep.</t>
  </si>
  <si>
    <t xml:space="preserve">19831009 200501 1 002 </t>
  </si>
  <si>
    <t>Kepala UPTD. Puskesmas Antar Brak pada Dinas Kesehatan</t>
  </si>
  <si>
    <t>Kepala Sub Bagian Tata Usaha UPTD. Puskesmas Antar Brak pada Dinas Kesehatan</t>
  </si>
  <si>
    <t>Kepala UPTD. Puskesmas Margoyoso pada Dinas Kesehatan</t>
  </si>
  <si>
    <t>19810204 200804 2 002</t>
  </si>
  <si>
    <t>Kepala Sub Bagian Tata Usaha UPTD. Puskesmas Margoyoso pada Dinas Kesehatan</t>
  </si>
  <si>
    <t>NANI KURNIATI, S.Tr.Keb</t>
  </si>
  <si>
    <t>19890718 201101 2 004</t>
  </si>
  <si>
    <t>Kepala UPTD. Puskesmas Sumberejo pada Dinas Kesehatan</t>
  </si>
  <si>
    <t>EDUARDA SURYATI, S.ST</t>
  </si>
  <si>
    <t>19741013 200604 2 013</t>
  </si>
  <si>
    <t>Kepala Sub Bagian Tata Usaha UPTD. Puskesmas Sumberejo pada Dinas Kesehatan</t>
  </si>
  <si>
    <t>LUTFI HIDAYAH, SKM.</t>
  </si>
  <si>
    <t>19821009 201001 2 016</t>
  </si>
  <si>
    <t>Kepala UPTD. Puskesmas Martanda pada Dinas Kesehatan</t>
  </si>
  <si>
    <t>Kepala Sub Bagian Tata Usaha UPTD. Puskesmas Martanda pada Dinas Kesehatan</t>
  </si>
  <si>
    <t>AGUS WIYONO, A.Md.Kep</t>
  </si>
  <si>
    <t>19760310 199603 1 001</t>
  </si>
  <si>
    <t>D.3 Keperawatan</t>
  </si>
  <si>
    <t>Kepala UPTD. Puskesmas Gunung Sari pada Dinas Kesehatan</t>
  </si>
  <si>
    <t>19750222 200604 2 014</t>
  </si>
  <si>
    <t>Kepala Sub Bagian Tata Usaha UPTD. Puskesmas Gunung Sari pada Dinas Kesehatan</t>
  </si>
  <si>
    <t>UPTD. CAPIL</t>
  </si>
  <si>
    <t>6. UPTD. LAYANAN KEPENDUDUKAN  DAN PENCATATAN SIPIL</t>
  </si>
  <si>
    <t>Kepala UPTD. Layanan Kependudukan dan Pencatatan Sipil Gunung Alip</t>
  </si>
  <si>
    <t>MARDIATI, S.E.</t>
  </si>
  <si>
    <t>19750914 200701 2 014</t>
  </si>
  <si>
    <t>Kepala UPTD. Layanan Kependudukan dan Pencatatan Sipil Talang Padang</t>
  </si>
  <si>
    <t>WAHYUDI YS, S.E., M.M.</t>
  </si>
  <si>
    <t>19790508 200701 1 005</t>
  </si>
  <si>
    <t>Penata (III/c) / 01-04-2014</t>
  </si>
  <si>
    <t>Kepala UPTD. Layanan Kependudukan dan Pencatatan Sipil Semaka</t>
  </si>
  <si>
    <t>AMARI, S.E.</t>
  </si>
  <si>
    <t>19690203 200906 1 005</t>
  </si>
  <si>
    <t>Penata Muda Tk.I (III/b) / 01-10-2019</t>
  </si>
  <si>
    <t>Kepala UPTD. Layanan Kependudukan dan Pencatatan Sipil Pulau Panggung</t>
  </si>
  <si>
    <t>Kepala UPTD. Layanan Kependudukan dan Pencatatan Sipil Sumberejo</t>
  </si>
  <si>
    <t>11-08-2023</t>
  </si>
  <si>
    <t>Kepala UPTD. Layanan Kependudukan dan Pencatatan Sipil Kota Agung Timur</t>
  </si>
  <si>
    <t>YULI WULANDARI,S.IP.,M.M.</t>
  </si>
  <si>
    <t>19770728 200701 2 017</t>
  </si>
  <si>
    <t>14-06-2024</t>
  </si>
  <si>
    <t>Kepala UPTD. Layanan Kependudukan dan Pencatatan Sipil Gisting</t>
  </si>
  <si>
    <t>BUDI HARTONO, S.Kom</t>
  </si>
  <si>
    <t>19750111 200701 1 018</t>
  </si>
  <si>
    <t>Kepala UPTD. Layanan Kependudukan dan Pencatatan Sipil Kota Agung</t>
  </si>
  <si>
    <t>PURWANTO, S.E.,M.M.</t>
  </si>
  <si>
    <t>19720608 200604 1 011</t>
  </si>
  <si>
    <t>S.2. Magister Manajemen</t>
  </si>
  <si>
    <t>Kepala UPTD. Layanan Kependudukan dan Pencatatan Sipil Wonosobo</t>
  </si>
  <si>
    <t>FATONAH, S.E.</t>
  </si>
  <si>
    <t>19820908 201001 2 032</t>
  </si>
  <si>
    <t>Penata (III/c) /01-04-2022</t>
  </si>
  <si>
    <t>Kepala UPTD. Layanan Kependudukan dan Pencatatan Sipil Ulu Belu</t>
  </si>
  <si>
    <t>HAMAMI, S.Pd.</t>
  </si>
  <si>
    <t>19711027 200906 1 002</t>
  </si>
  <si>
    <t>Penata Muda (III/a) / 01-04-2023</t>
  </si>
  <si>
    <t>Kepala UPTD. Layanan Kependudukan dan Pencatatan Sipil Cukuh Balak</t>
  </si>
  <si>
    <t>NURMAN HIDAYAT, S.E.</t>
  </si>
  <si>
    <t>19780101 200902 1 002</t>
  </si>
  <si>
    <t>Penata (III/c) /01-10-2022</t>
  </si>
  <si>
    <t>Kepala UPTD. Layanan Kependudukan dan Pencatatan Sipil Pugung</t>
  </si>
  <si>
    <t>LIDIYA HADI, S.E.</t>
  </si>
  <si>
    <t>19720802 201001 2 004</t>
  </si>
  <si>
    <t>Kepala UPTD. Layanan Kependudukan dan Pencatatan Sipil Pematang Sawa</t>
  </si>
  <si>
    <t>Kepala UPTD. Layanan Kependudukan dan Pencatatan Sipil Kelumbayan</t>
  </si>
  <si>
    <t>Kepala UPTD. Layanan Kependudukan dan Pencatatan Sipil Limau</t>
  </si>
  <si>
    <t>Kepala UPTD. Layanan Kependudukan dan Pencatatan Sipil Kota Agung Barat</t>
  </si>
  <si>
    <t>Kepala UPTD. Layanan Kependudukan dan Pencatatan Sipil Air Naningan</t>
  </si>
  <si>
    <t>YUSUF ABDI, S.E.</t>
  </si>
  <si>
    <t>19780502 199803 1 006</t>
  </si>
  <si>
    <t>Kepala UPTD. Layanan Kependudukan dan Pencatatan Sipil Bandar Negeri Semuong</t>
  </si>
  <si>
    <t>Kepala UPTD. Layanan Kependudukan dan Pencatatan Sipil Kelumbayan Barat</t>
  </si>
  <si>
    <t>NAJAMUDDIN, S.E.</t>
  </si>
  <si>
    <t>19731130 201001 1 002</t>
  </si>
  <si>
    <t>Kepala UPTD. Layanan Kependudukan dan Pencatatan Sipil Bulok</t>
  </si>
  <si>
    <t>UPTD. PPA</t>
  </si>
  <si>
    <t>9. UPTD. PERLINDUNGAN PEREMPUAN DAN ANAK</t>
  </si>
  <si>
    <t>Kepala UPTD Perlindungan Perempuan dan Anak pada Dinas Pemberdayaan Perempuan, Perlindungan Anak, Pengendalian Penduduk dan Keluarga Berencana</t>
  </si>
  <si>
    <t>Penata Muda Tk.I (III/b) / 01-04-2024</t>
  </si>
  <si>
    <t>Kepala Sub Bagian Tata USaha UPTD Perlindungan Perempuan dan Anak pada Dinas Pemberdayaan Perempuan, Perlindungan Anak, Pengendalian Penduduk dan Keluarga Berencana</t>
  </si>
  <si>
    <t>EVA PUTRISIA, S.H.,M.M.</t>
  </si>
  <si>
    <t>SATLAK PNDIDIKAN</t>
  </si>
  <si>
    <t>7. SATUAN PELAKSANA LAYANAN PENDIDIKAN</t>
  </si>
  <si>
    <t>Koordinator Satuan Pelaksana Layanan Pendidikan Kota Agung pada Dinas Pendidikan</t>
  </si>
  <si>
    <t>YENNI MULYANTI, S.E</t>
  </si>
  <si>
    <t>19820113 201001 2 023</t>
  </si>
  <si>
    <t>28-08-2023</t>
  </si>
  <si>
    <t>Pelaksana</t>
  </si>
  <si>
    <t>Koordinator Satuan Pelaksana Layanan Pendidikan Wonosobo pada Dinas Pendidikan</t>
  </si>
  <si>
    <t>YUDI YURIZAL, S.I.P.</t>
  </si>
  <si>
    <t>19790525 200902 1 008</t>
  </si>
  <si>
    <t>Koordinator Satuan Pelaksana Layanan Pendidikan Ulu Belu pada Dinas Pendidikan</t>
  </si>
  <si>
    <t>Koordinator Satuan Pelaksana Layanan Pendidikan Talang Padang pada Dinas Pendidikan</t>
  </si>
  <si>
    <t>Koordinator Satuan Pelaksana Layanan Pendidikan Pulau Panggung pada Dinas Pendidikan</t>
  </si>
  <si>
    <t>Koordinator Satuan Pelaksana Layanan Pendidikan Cukuh Balak pada Dinas Pendidikan</t>
  </si>
  <si>
    <t>Koordinator Satuan Pelaksana Layanan Pendidikan Semaka pada Dinas Pendidikan</t>
  </si>
  <si>
    <t>Koordinator Satuan Pelaksana Layanan Pendidikan Pugung pada Dinas Pendidikan</t>
  </si>
  <si>
    <t>Koordinator Satuan Pelaksana Layanan Pendidikan Pematang Sawa pada Dinas Pendidikan</t>
  </si>
  <si>
    <t>BARLIAN,S.Pd</t>
  </si>
  <si>
    <t>19690404 200701 1 014</t>
  </si>
  <si>
    <t>Koordinator Satuan Pelaksana Layanan Pendidikan Kelumbayan pada Dinas Pendidikan</t>
  </si>
  <si>
    <t>WAYAN SUMERTA, S.Pd</t>
  </si>
  <si>
    <t>19730823 201406 1 001</t>
  </si>
  <si>
    <t>Guru</t>
  </si>
  <si>
    <t>Koordinator Satuan Pelaksana Layanan Pendidikan Sumberejo pada Dinas Pendidikan</t>
  </si>
  <si>
    <t>MUKINO, S.Pd.,M.Pd.</t>
  </si>
  <si>
    <t>19680913 199302 1 001</t>
  </si>
  <si>
    <t>30-07-2019</t>
  </si>
  <si>
    <t>Pengawas Madya</t>
  </si>
  <si>
    <t>Koordinator Satuan Pelaksana Layanan Pendidikan Limau pada Dinas Pendidikan</t>
  </si>
  <si>
    <t>ZAIDI SAPUTRA, S.Kom</t>
  </si>
  <si>
    <t>19760703 201212 1 001</t>
  </si>
  <si>
    <t>Koordinator Satuan Pelaksana Layanan Pendidikan Gisting pada Dinas Pendidikan</t>
  </si>
  <si>
    <t>IIN SOFYA, S.I.P.</t>
  </si>
  <si>
    <t>19790812 200902 2 005</t>
  </si>
  <si>
    <t>Penata Muda Tk.I  (III/b) / 01-10-2020</t>
  </si>
  <si>
    <t>Koordinator Satuan Pelaksana Layanan Pendidikan Gunung Alip pada Dinas Pendidikan</t>
  </si>
  <si>
    <t>AKMALUDDIN, S.H.I, M.Pd.I</t>
  </si>
  <si>
    <t>19710206 200604 1 002</t>
  </si>
  <si>
    <t>Koordinator Satuan Pelaksana Layanan Pendidikan Kota Agung Barat pada Dinas Pendidikan</t>
  </si>
  <si>
    <t>Penilik Madya</t>
  </si>
  <si>
    <t>Koordinator Satuan Pelaksana Layanan Pendidikan Kota Agung Timur pada Dinas Pendidikan</t>
  </si>
  <si>
    <t>ADRIANSAH, S.I.P</t>
  </si>
  <si>
    <t>19790520 200902 1 003</t>
  </si>
  <si>
    <t>Koordinator Satuan Pelaksana Layanan Pendidikan Air Naningan pada Dinas Pendidikan</t>
  </si>
  <si>
    <t>SUDARMAN EFFENDI, S.Pd.</t>
  </si>
  <si>
    <t>19690715 199203 1 012</t>
  </si>
  <si>
    <t>Koordinator Satuan Pelaksana Layanan Pendidikan Bandar Negeri Semuong pada Dinas Pendidikan</t>
  </si>
  <si>
    <t>Koordinator Satuan Pelaksana Layanan Pendidikan Kelumbayan Barat pada Dinas Pendidikan</t>
  </si>
  <si>
    <t>DUIYANTO, S.Pd.I</t>
  </si>
  <si>
    <t>19850709 201406 1 001</t>
  </si>
  <si>
    <t>S.1 Pendidikan Islam</t>
  </si>
  <si>
    <t>Koordinator Satuan Pelaksana Layanan Pendidikan Bulok pada Dinas Pendidikan</t>
  </si>
  <si>
    <t>NAZMI, S.E.</t>
  </si>
  <si>
    <t>19800921 200012 1 001</t>
  </si>
  <si>
    <t>Penata  (III/c)</t>
  </si>
  <si>
    <t>29-06-2018</t>
  </si>
  <si>
    <t>SATLAK PASAR</t>
  </si>
  <si>
    <t>8. SATUAN PELAKSANA PELAYANAN PASAR</t>
  </si>
  <si>
    <t>Koordinator Satuan Pelaksana Pelayanan Pasar Kota Agung pada Dinas Perdagangan</t>
  </si>
  <si>
    <t>FADLI, S.E.</t>
  </si>
  <si>
    <t>19761101 201001 1 010</t>
  </si>
  <si>
    <t>Penata Tk.i (III/d)</t>
  </si>
  <si>
    <t>Koordinator Satuan Pelaksana Pelayanan Pasar Wonosobo pada Dinas Perdagangan</t>
  </si>
  <si>
    <t>JOHANSYAH, S.E.</t>
  </si>
  <si>
    <t>198011192009021 004</t>
  </si>
  <si>
    <t>Penata (III/c)
01-10-2017</t>
  </si>
  <si>
    <t>Koordinator Satuan Pelaksana Pelayanan Pasar Gisting pada Dinas Perdagangan</t>
  </si>
  <si>
    <t>WAWAN FIRDAWAN, S.Kom</t>
  </si>
  <si>
    <t>19740421 201001 1 007</t>
  </si>
  <si>
    <t>27-04-2020</t>
  </si>
  <si>
    <t>Koordinator Satuan Pelaksana Pelayanan Pasar Talang Padang pada Dinas Perdagangan</t>
  </si>
  <si>
    <t>YOSE RIZAL</t>
  </si>
  <si>
    <t>19730102 200701 1 028</t>
  </si>
  <si>
    <t>Pengatur Tk.I (II/d)</t>
  </si>
  <si>
    <t>BPP</t>
  </si>
  <si>
    <t>9. KOORDINATOR BALAI PENYULUH PERTANIAN</t>
  </si>
  <si>
    <t>Koordinator Balai Penyuluhan Pertanian Kecamatan Kota Agung pada Dinas Ketahanan Pangan, Tanaman Pangan dan Hortikultura</t>
  </si>
  <si>
    <t>DWI DIANA SUKMASARI, S.ST</t>
  </si>
  <si>
    <t>19811222 200604 2 008</t>
  </si>
  <si>
    <t>D,IV Peternakan</t>
  </si>
  <si>
    <t>08-08-2023</t>
  </si>
  <si>
    <t>Penyuluh Pertanian</t>
  </si>
  <si>
    <t>Koordinator Balai Penyuluhan Pertanian Kecamatan Wonosobo pada Dinas Ketahanan Pangan, Tanaman Pangan dan Hortikultura</t>
  </si>
  <si>
    <t>PENI JOKO PITOYO, S.ST</t>
  </si>
  <si>
    <t>19760510 200804 1 002</t>
  </si>
  <si>
    <t>Koordinator Balai Penyuluhan Pertanian Kecamatan Ulu Belu pada Dinas Ketahanan Pangan, Tanaman Pangan dan Hortikultura</t>
  </si>
  <si>
    <t>KRISNA YUSUF, S.P</t>
  </si>
  <si>
    <t>19850401 201706 1 001</t>
  </si>
  <si>
    <t>Penata Muda Tk. I (III/b)/01-04-2022</t>
  </si>
  <si>
    <t>Koordinator Balai Penyuluhan Pertanian Kecamatan Talang Padang pada Dinas Ketahanan Pangan, Tanaman Pangan dan Hortikultura</t>
  </si>
  <si>
    <t>KRISTINA YANTI, S.Pt</t>
  </si>
  <si>
    <t>19840531 201706 2 001</t>
  </si>
  <si>
    <t>S.1 Perternakan</t>
  </si>
  <si>
    <t>Koordinator Balai Penyuluhan Pertanian Kecamatan Pulau Panggung pada Dinas Ketahanan Pangan, Tanaman Pangan dan Hortikultura</t>
  </si>
  <si>
    <t>EKO KURNIAWAN, S.Pt</t>
  </si>
  <si>
    <t>19821008 201706 1 001</t>
  </si>
  <si>
    <t>Koordinator Balai Penyuluhan Pertanian Kecamatan Cukuh Balak pada Dinas Ketahanan Pangan, Tanaman Pangan dan Hortikultura</t>
  </si>
  <si>
    <t>GUNTUR WAHYUDI, S.ST</t>
  </si>
  <si>
    <t>19831026 201706 1 001</t>
  </si>
  <si>
    <t>Koordinator Balai Penyuluhan Pertanian Kecamatan Semaka pada Dinas Ketahanan Pangan, Tanaman Pangan dan Hortikultura</t>
  </si>
  <si>
    <t>FIRMAN MALIK S.,S.ST</t>
  </si>
  <si>
    <t>19871001 201706 1 001</t>
  </si>
  <si>
    <t>DIV-SDM Penyuluh</t>
  </si>
  <si>
    <t>Koordinator Balai Penyuluhan Pertanian Kecamatan Pugung pada Dinas Ketahanan Pangan, Tanaman Pangan dan Hortikultura</t>
  </si>
  <si>
    <t>MATIN RILAWATY, S.P</t>
  </si>
  <si>
    <t>19771020 200804 2 001</t>
  </si>
  <si>
    <t>Koordinator Balai Penyuluhan Pertanian Kecamatan Pematang Sawa pada Dinas Ketahanan Pangan, Tanaman Pangan dan Hortikultura</t>
  </si>
  <si>
    <t>RISMAIDI, S.TP</t>
  </si>
  <si>
    <t>19830505 201706 1 001</t>
  </si>
  <si>
    <t>Koordinator Balai Penyuluhan Pertanian Kecamatan Kelumbayan pada Dinas Ketahanan Pangan, Tanaman Pangan dan Hortikultura</t>
  </si>
  <si>
    <t>PAISAL HADI, S.ST</t>
  </si>
  <si>
    <t>19741020 200804 1 001</t>
  </si>
  <si>
    <t>Koordinator Balai Penyuluhan Pertanian Kecamatan Sumberejo pada Dinas Ketahanan Pangan, Tanaman Pangan dan Hortikultura</t>
  </si>
  <si>
    <t>SISMAWATI, A.Md</t>
  </si>
  <si>
    <t>19820412 201706 2 001</t>
  </si>
  <si>
    <t>Pengatur Tk.I (II/d) / 01-04-2023</t>
  </si>
  <si>
    <t>D.3 Pertanian</t>
  </si>
  <si>
    <t>04-01-2021</t>
  </si>
  <si>
    <t>Koordinator Balai Penyuluhan Pertanian Kecamatan Limau pada Dinas Ketahanan Pangan, Tanaman Pangan dan Hortikultura</t>
  </si>
  <si>
    <t>FARHANTAHA, S.P</t>
  </si>
  <si>
    <t>19821203 201706 1 001</t>
  </si>
  <si>
    <t>Koordinator Balai Penyuluhan Pertanian Kecamatan Gisting pada Dinas Ketahanan Pangan, Tanaman Pangan dan Hortikultura</t>
  </si>
  <si>
    <t>HELMIYANI SIREGAR, S.P</t>
  </si>
  <si>
    <t>19840503 201706 2 001</t>
  </si>
  <si>
    <t>S1. Perkebunan</t>
  </si>
  <si>
    <t>Koordinator Balai Penyuluhan Pertanian Kecamatan Gunung Alip pada Dinas Ketahanan Pangan, Tanaman Pangan dan Hortikultura</t>
  </si>
  <si>
    <t>ROSANA, S.TP</t>
  </si>
  <si>
    <t>19850805 201706 2 001</t>
  </si>
  <si>
    <t>Koordinator Balai Penyuluhan Pertanian Kecamatan Kota Agung Barat pada Dinas Ketahanan Pangan, Tanaman Pangan dan Hortikultura</t>
  </si>
  <si>
    <t>APRINA WATI, S.P</t>
  </si>
  <si>
    <t>19820409 201706 2 001</t>
  </si>
  <si>
    <t>Koordinator Balai Penyuluhan Pertanian Kecamatan Kota Agung Timur pada Dinas Ketahanan Pangan, Tanaman Pangan dan Hortikultura</t>
  </si>
  <si>
    <t>RONI SEPRIYONO, S.P</t>
  </si>
  <si>
    <t>19810924 201706 1 001</t>
  </si>
  <si>
    <t>Koordinator Balai Penyuluhan Pertanian Kecamatan Air Naningan pada Dinas Ketahanan Pangan, Tanaman Pangan dan Hortikultura</t>
  </si>
  <si>
    <t>ADI INDRIANTO, A.Md</t>
  </si>
  <si>
    <t>19820305 201706 1 001</t>
  </si>
  <si>
    <t>Koordinator Balai Penyuluhan Pertanian Kecamatan Bandar Negeri Semuong pada Dinas Ketahanan Pangan, Tanaman Pangan dan Hortikultura</t>
  </si>
  <si>
    <t>ANDREAS HARYADI, S.ST</t>
  </si>
  <si>
    <t>19841209 201706 1 001</t>
  </si>
  <si>
    <t>Katholik</t>
  </si>
  <si>
    <t>Koordinator Balai Penyuluhan Pertanian Kecamatan Kelumbayan Barat pada Dinas Ketahanan Pangan, Tanaman Pangan dan Hortikultura</t>
  </si>
  <si>
    <t>ARIF KURNIAWAN, A.Md</t>
  </si>
  <si>
    <t>19831120 201706 1 001</t>
  </si>
  <si>
    <t>Koordinator Balai Penyuluhan Pertanian Kecamatan Bulok pada Dinas Ketahanan Pangan, Tanaman Pangan dan Hortikultura</t>
  </si>
  <si>
    <t>ARIS YUNIANTO, S.P</t>
  </si>
  <si>
    <t>19860626 201706 1 001</t>
  </si>
  <si>
    <t>KEPALA BADAN KEPEGAWAIAN DAN PENGEMBANGAN SDM KAB. TANGGAMUS,</t>
  </si>
  <si>
    <t>Pembina Tk.I (IV/b) / 01-02-2026</t>
  </si>
  <si>
    <t>19730712 200801 1 012</t>
  </si>
  <si>
    <t>Pembina (IVa) / 01-04-2023</t>
  </si>
  <si>
    <t>Pembina Tk. I (IV/b)</t>
  </si>
  <si>
    <t>19790817 201101 2 004</t>
  </si>
  <si>
    <t>S-1 BIOLOGI</t>
  </si>
  <si>
    <t>19710614 200003 1 006</t>
  </si>
  <si>
    <t>S-2/PASCASARJANA</t>
  </si>
  <si>
    <t>S-1 EKONOMI MANAJEMEN</t>
  </si>
  <si>
    <t>19790404 200604 1 008</t>
  </si>
  <si>
    <t>S-2 TEKNIK SIPIL</t>
  </si>
  <si>
    <t>19780808 200312 1 003</t>
  </si>
  <si>
    <t>19710510 199903 2 010</t>
  </si>
  <si>
    <t>S-1 EKONOMI</t>
  </si>
  <si>
    <t>19790112 200701 1 006</t>
  </si>
  <si>
    <t>S-1 KOMPUTER</t>
  </si>
  <si>
    <t>19700902 200701 1 030</t>
  </si>
  <si>
    <t>Pembina Tk.I (IV/b) /01-04-2025</t>
  </si>
  <si>
    <t>S-2 MAGISTER TEKNIK SIPIL</t>
  </si>
  <si>
    <t>19690603199403 1 009</t>
  </si>
  <si>
    <t>19730618 200003 1 003</t>
  </si>
  <si>
    <t>S-1 ILMU PEMERINTAHAN</t>
  </si>
  <si>
    <t>S-2 ILMU ADMINISTRASI NEGARA</t>
  </si>
  <si>
    <t>19700516 199203 2 007</t>
  </si>
  <si>
    <t>S-2 PENDIDIKAN BAHASA Indonesia</t>
  </si>
  <si>
    <t>19710113 199103 1 003</t>
  </si>
  <si>
    <t>19690701 200312 1 004</t>
  </si>
  <si>
    <t>S-3 ILMU EKONOMI</t>
  </si>
  <si>
    <t>Penata Tk. I (III/d) / 01-01-2026</t>
  </si>
  <si>
    <t>19850920 200312 1 004</t>
  </si>
  <si>
    <t>19771102 200312 1 004</t>
  </si>
  <si>
    <t>S-1 TEKNIK ARSITEKTUR</t>
  </si>
  <si>
    <t>19691128 199803 1 003</t>
  </si>
  <si>
    <t>19690812 200701 1 014</t>
  </si>
  <si>
    <t>S-1 HUKUM</t>
  </si>
  <si>
    <t>19790517 200003 1 002</t>
  </si>
  <si>
    <t>S-1 ILMU ADMINISTRASI NEGARA</t>
  </si>
  <si>
    <t>Pembina Tk.I (IV/b) / 01-08-2024</t>
  </si>
  <si>
    <t>19690117 199002 1 001</t>
  </si>
  <si>
    <t>Pembina  (IV/a) / 01-04-2020</t>
  </si>
  <si>
    <t>19800627 201101 1 001</t>
  </si>
  <si>
    <t>19810224 201001 1 005</t>
  </si>
  <si>
    <t>Pembina (IV/a) / 01-10-2024</t>
  </si>
  <si>
    <t>19731213 199803 2 002</t>
  </si>
  <si>
    <t>S-1 ILMU ADMINISTRASI NIAGA</t>
  </si>
  <si>
    <t>19740820 200003 1 002</t>
  </si>
  <si>
    <t>19790505 201101 1 002</t>
  </si>
  <si>
    <t>Penata Tingkat I (III/d) / 01-10-2020</t>
  </si>
  <si>
    <t>S-1 Ekonomi Manajemen</t>
  </si>
  <si>
    <t>S-1 KEPERAWATAN</t>
  </si>
  <si>
    <t>Bdn. DAMSIANA, S.ST., M.Kes.</t>
  </si>
  <si>
    <t>RULLY RUNA YUDA, S.STP., M.Si.</t>
  </si>
  <si>
    <t>19800608 199810 1 001</t>
  </si>
  <si>
    <t>JON NOVRI, S.STP., M.IP.</t>
  </si>
  <si>
    <t>19810101 199912 1 001</t>
  </si>
  <si>
    <t>IVAN KURNIAWAN, S.T.</t>
  </si>
  <si>
    <t>19750407 200003 1 004</t>
  </si>
  <si>
    <t>NANANG SUMARLIN, S.H.,M.M.</t>
  </si>
  <si>
    <t>19760114 201001 1 005</t>
  </si>
  <si>
    <t>LUBERTO FABIOCA, S.E.,M.M.</t>
  </si>
  <si>
    <t>19820504 200604 1 006</t>
  </si>
  <si>
    <t>Pembina TK.I (IV/b)</t>
  </si>
  <si>
    <t>Drs. VIKTOR LIBRADI HS, M.H.</t>
  </si>
  <si>
    <t>19720930 199203 1 003</t>
  </si>
  <si>
    <t>ARIA RESUKIA, ST., M.M.</t>
  </si>
  <si>
    <t>19700428 199703 1 004</t>
  </si>
  <si>
    <t xml:space="preserve">MARHASAN SAMBA, S.I.P. </t>
  </si>
  <si>
    <t>Pembina Utama Muda (IV/c) / 01-10-2025</t>
  </si>
  <si>
    <t>WILDAN HISTORI, SIP.</t>
  </si>
  <si>
    <t>19801020 200501 1 011</t>
  </si>
  <si>
    <t>MADRIZAL, S.Pd</t>
  </si>
  <si>
    <t xml:space="preserve">19690705 199903 1 003 </t>
  </si>
  <si>
    <t>Pembina (IV/a) / 01-10-2010</t>
  </si>
  <si>
    <t>S-1 Manajemen Dakwah</t>
  </si>
  <si>
    <t>ISHAK BASUKI, S.T.</t>
  </si>
  <si>
    <t>19740227 200501 1 008</t>
  </si>
  <si>
    <t>S-1 Teknik Sipil</t>
  </si>
  <si>
    <t>S-2 Magister Teknik Sipil</t>
  </si>
  <si>
    <t>S-2 Kesehatan Masyarakat</t>
  </si>
  <si>
    <t>RENSUS RENATUS SIMANJORANG, S.E.,M.M.</t>
  </si>
  <si>
    <t>19781014 200604 1 004</t>
  </si>
  <si>
    <t>Pembina (IV/a) / 01-08-2025</t>
  </si>
  <si>
    <t>ELIS SETYOWATI, S.E.</t>
  </si>
  <si>
    <t>19770709 200902 2 005</t>
  </si>
  <si>
    <t xml:space="preserve">Penata Tk. I (III/d) </t>
  </si>
  <si>
    <t>S-1 PGSD</t>
  </si>
  <si>
    <t xml:space="preserve">YUZAK PRASETYADI, S.Sos </t>
  </si>
  <si>
    <t>19751106 199703 1 002</t>
  </si>
  <si>
    <t>Penata Tk. I (III/d) / 01-10-2014</t>
  </si>
  <si>
    <t>S-1 Ilmu Administrasi</t>
  </si>
  <si>
    <t>PRIMA KURNIAWAN, S.Kom., M.M.</t>
  </si>
  <si>
    <t>19920418 201903 1 001</t>
  </si>
  <si>
    <t>Penata Muda Tk.I (III/b) / 01-01-2026</t>
  </si>
  <si>
    <t>RISNAWATI, S.E.,M.M.</t>
  </si>
  <si>
    <t>19681125 200701 2 003</t>
  </si>
  <si>
    <t xml:space="preserve">NOFRIYANDI PUTRA S.E </t>
  </si>
  <si>
    <t>Penata TK. I (III/d) 01-10-2022</t>
  </si>
  <si>
    <t>S-1 Manajemen</t>
  </si>
  <si>
    <t>SEPTA MELASURI, S.E.</t>
  </si>
  <si>
    <t>19830831 201001 2 027</t>
  </si>
  <si>
    <t>Penata Tk.I (III/d) / 01-10-2025</t>
  </si>
  <si>
    <t>MISRI JAYA, S.H.</t>
  </si>
  <si>
    <t>19781209 201212 1 004</t>
  </si>
  <si>
    <t>S-1 Ilmu Hukum</t>
  </si>
  <si>
    <t>EKA DAMAYANTI, AMd., K.L.</t>
  </si>
  <si>
    <t>19770601 200701 2 029</t>
  </si>
  <si>
    <t>D-III Kesehatan Lingkungan</t>
  </si>
  <si>
    <t>S-2 Magister Sains</t>
  </si>
  <si>
    <t>S-2 Manajemen Ilmu Pemerintahan</t>
  </si>
  <si>
    <t>Pembina Utama Muda (IV/c) / 01-04-2022</t>
  </si>
  <si>
    <t>S.1 Teknik Sipil Lingkungan</t>
  </si>
  <si>
    <t>Kepala Sub Bagian Administrasi Umum dan Keuangan pada Sekretariat Inspektorat Daerah</t>
  </si>
  <si>
    <t>MUHAMMAD YASMIRANSAH, S.Sos., M.M.</t>
  </si>
  <si>
    <t>ASHADI CAHYADI, S.E.</t>
  </si>
  <si>
    <t>19791218 200804 1 002</t>
  </si>
  <si>
    <t>Pembina Tk.I (IV/b) / 01-04-2025</t>
  </si>
  <si>
    <t>BUDI UTOMO, S.STP., M.H.</t>
  </si>
  <si>
    <t>19800714 199912 1 001</t>
  </si>
  <si>
    <t>Pembina (IV/a) / 01-10-2016</t>
  </si>
  <si>
    <t>PRAMADYA, S.KM., M.Kes</t>
  </si>
  <si>
    <t>19771114 199703 1 002</t>
  </si>
  <si>
    <t>Pembina  (IV/a) / 01-04-2023</t>
  </si>
  <si>
    <t>Pembina Tk.I (IV/b) / 01-10-2025</t>
  </si>
  <si>
    <t>Kepala Sub Bagian Umum, Perlengkapan dan Kepegawaian pada Sekretariat Dinas Pendidikan dan Kebudayaan</t>
  </si>
  <si>
    <t>Ns. YAYAN SUDIBDYO S, S.Kep.</t>
  </si>
  <si>
    <t>Penata TK.I (III/d) / 01-04-2020</t>
  </si>
  <si>
    <t>M. GUNAWAN, S.Tr.IP., M.M.</t>
  </si>
  <si>
    <t>19991018 202208 1 002</t>
  </si>
  <si>
    <t>Penata Muda TK.I (III/b) / 01-03-2026</t>
  </si>
  <si>
    <t>D-IV Studi Kependudukan dan Pencatatan Sipil</t>
  </si>
  <si>
    <t>RIO ISKANDAR, S.I.P.</t>
  </si>
  <si>
    <t>19730617 200604 1 007</t>
  </si>
  <si>
    <t>19821102 201101 2 004</t>
  </si>
  <si>
    <t>BAYU MAHARDIKA, S.H., MAP</t>
  </si>
  <si>
    <t>KIKI RIZKY DANUSWIJAYA, S.H.</t>
  </si>
  <si>
    <t>19830823 201001 1 015</t>
  </si>
  <si>
    <t>S-1 Hukum</t>
  </si>
  <si>
    <t>ELIS MUNAWANSYAH, S.E.</t>
  </si>
  <si>
    <t>19810614 200801 2 014</t>
  </si>
  <si>
    <t>Penata Tk.I (III/d)  / 01-04-2023</t>
  </si>
  <si>
    <t>AFRIAN SYAH, S.I.P</t>
  </si>
  <si>
    <t>30-04-2026</t>
  </si>
  <si>
    <t>RINDA MAYA LINAWATI, A.Md.</t>
  </si>
  <si>
    <t>19900305 201903 2 002</t>
  </si>
  <si>
    <t>Penata Muda (III/a) / 01-06-2024</t>
  </si>
  <si>
    <t>D-III Teknik Komputer</t>
  </si>
  <si>
    <t>HAMAMI, S.Pd</t>
  </si>
  <si>
    <t>S.1 Pendidikan Agama Islam</t>
  </si>
  <si>
    <t>05-05-2026</t>
  </si>
  <si>
    <t>Penata Tk.I (III/d) / 01-04-2026</t>
  </si>
  <si>
    <t>S.1 Manajemen Sumber Daya Manusia</t>
  </si>
  <si>
    <t>PURWANTO, S.E., M.M.</t>
  </si>
  <si>
    <t>S.1 Manajemen</t>
  </si>
  <si>
    <t>Penata Muda (III/a) / 01-10-2007</t>
  </si>
  <si>
    <t>S1. Sarjana Agama</t>
  </si>
  <si>
    <t>19870922 200804 1 001</t>
  </si>
  <si>
    <t>S1. Ekonomi Manajemen</t>
  </si>
  <si>
    <t>19820613 200701 2 006</t>
  </si>
  <si>
    <t>Pembina (IV/a) / 01-04-2026</t>
  </si>
  <si>
    <t>19710821 199203 2 003</t>
  </si>
  <si>
    <t>19800218 201001 1 003</t>
  </si>
  <si>
    <t>19890822 201903 1 001</t>
  </si>
  <si>
    <t>Penata Muda Tk.I (III/b) / 01-10-2025</t>
  </si>
  <si>
    <t>19830523 201001 1 028</t>
  </si>
  <si>
    <t>S.1 Ekonomi Akuntansi</t>
  </si>
  <si>
    <t>19750913 201001 1 006</t>
  </si>
  <si>
    <t>19850712 201502 1 002</t>
  </si>
  <si>
    <t>19750119 200902 1 001</t>
  </si>
  <si>
    <t>19810801 200801 2 019</t>
  </si>
  <si>
    <t>Penata Tk.I (III/d) / 01-02-2026</t>
  </si>
  <si>
    <t>Pembina Utama Muda (IV/c) / 01-01-2026</t>
  </si>
  <si>
    <t>PIM III dan PIM IV</t>
  </si>
  <si>
    <t>Pembina Utama Muda (IV/c) / 01-04-2026</t>
  </si>
  <si>
    <t>04-12-2020</t>
  </si>
  <si>
    <t>PIM III &amp; PIM IV</t>
  </si>
  <si>
    <t>Penata Tk. I (III/d) / 01-02-2026</t>
  </si>
  <si>
    <t>Penata Tk. I (III/d) / 01-10-2025</t>
  </si>
  <si>
    <t>19851201 200412 1 001</t>
  </si>
  <si>
    <t>Penata Tk. I (III/d) / 01-04-2026</t>
  </si>
  <si>
    <t>19790901 200604 2 005</t>
  </si>
  <si>
    <t>19-11-2019</t>
  </si>
  <si>
    <t>ANDI DERMAWAN, S.Sos., MIP.</t>
  </si>
  <si>
    <t>Pembina Utama Muda (IV/c) / 01-04-2025</t>
  </si>
  <si>
    <t>dr. EKA PRIYANTO, M.H.</t>
  </si>
  <si>
    <t>HERIMANSYAH, S.H., S.P., M.M.P.</t>
  </si>
  <si>
    <t>S.2 Magister Manajemen Perkebunan</t>
  </si>
  <si>
    <t>WIWIK WIDORINI, S.Gz.</t>
  </si>
  <si>
    <t>19750720 200604 2 005</t>
  </si>
  <si>
    <t>YURI UTAMI, S.ST.</t>
  </si>
  <si>
    <t>19860910 201101 2 018</t>
  </si>
  <si>
    <t>S.1 Gizi</t>
  </si>
  <si>
    <t>18-09-2022</t>
  </si>
  <si>
    <t>EMIL SALIM, SP</t>
  </si>
  <si>
    <t>RUDIYANTO, S.E</t>
  </si>
  <si>
    <t>19720406 200906 1 003</t>
  </si>
  <si>
    <t>Penata (III/c) /01-04-2024</t>
  </si>
  <si>
    <t>MASKUR SIDIQ, S.Pd</t>
  </si>
  <si>
    <t>19880607 201903 1 001</t>
  </si>
  <si>
    <t>ARDINAL SUMIRO, S.Pd.</t>
  </si>
  <si>
    <t>19840728 201406 1 001</t>
  </si>
  <si>
    <t>Penata Muda Tk.I (III/b) / 01-04-2023</t>
  </si>
  <si>
    <t>S.1 Pendidikan Guru Sekolah Dasar</t>
  </si>
  <si>
    <t>Penata Tk.I (III/d) /01-04-2024</t>
  </si>
  <si>
    <t xml:space="preserve">APRILIANI TAURUSIA S.Kom., M.M. </t>
  </si>
  <si>
    <t>19780421 200701 2 028</t>
  </si>
  <si>
    <t>Pembina (IV/a)/01-04-2021</t>
  </si>
  <si>
    <t xml:space="preserve">HASLINDA AULIA MARLAUT, S.A.k. </t>
  </si>
  <si>
    <t>19850930 201502 2 001</t>
  </si>
  <si>
    <t>Penata Muda Tk.I (III/b) / 01-12-2025</t>
  </si>
  <si>
    <t>S.1 Akuntansi</t>
  </si>
  <si>
    <t>MAHRIZAN ALRIZKIE, S.Kom., MTI.</t>
  </si>
  <si>
    <t>NEDI KURNIADI, S.E., M.M.</t>
  </si>
  <si>
    <t>Kepala Badan Penanggulangan Bencana Daerah</t>
  </si>
  <si>
    <t>Apt. DELLANY SARIANGGARI, S.Farm.</t>
  </si>
  <si>
    <t>19950909 202203 2 013</t>
  </si>
  <si>
    <t>Penata Muda Tk. I (III/b) / 01-03-2022</t>
  </si>
  <si>
    <t>S-1 Farmasi Profesi Apoteker</t>
  </si>
  <si>
    <t>AHMAD SYUNAWAR, S.E., M.M.</t>
  </si>
  <si>
    <t>19760317 200801 1 011</t>
  </si>
  <si>
    <t>Pembina (IV/a) / 01-02-2024</t>
  </si>
  <si>
    <t>Pembina Tk.I (IV/b) / 01-05-2026</t>
  </si>
  <si>
    <t>MARADONA, S.STP.,M.Si.</t>
  </si>
  <si>
    <t>Pembina Utama Muda (IV/c) / 01-10-2024</t>
  </si>
  <si>
    <t>EKO SETIONO, SE., MM.</t>
  </si>
  <si>
    <t>NURDIANSYAH, S.IP, M.Si.</t>
  </si>
  <si>
    <t>Penata Tk. I (III/d) / 01-04-2025</t>
  </si>
  <si>
    <t>EDI YULIAN, S.E.,M.M.</t>
  </si>
  <si>
    <t>19820703 200902 1 004</t>
  </si>
  <si>
    <t>ROMAS YADI, S.Sos., M.M.</t>
  </si>
  <si>
    <t>19700930 199103 1 006</t>
  </si>
  <si>
    <t>Pembina Utama Muda (IV/c) / 01-04-2018</t>
  </si>
  <si>
    <t>JONI REPI, S.E.,M.M.</t>
  </si>
  <si>
    <t>19740706 200003 1 002</t>
  </si>
  <si>
    <t>Pembina (IV/a) /01-10-2019</t>
  </si>
  <si>
    <t>SENEN, S.P., S.Pd.</t>
  </si>
  <si>
    <t>20. KECAMATAN BANDAR NEGERI SEMUONG</t>
  </si>
  <si>
    <t>Camat Bandar Negeri Semuong</t>
  </si>
  <si>
    <t>SYAFRIZAL, S.Pd.I., M.Pd.</t>
  </si>
  <si>
    <t>OVI ARIANSYAH, S.IP.</t>
  </si>
  <si>
    <t>19751010 200312 1 003</t>
  </si>
  <si>
    <t>RODIYAL, S.E.</t>
  </si>
  <si>
    <t>19720519 200701 1 012</t>
  </si>
  <si>
    <t>DJOKO SAPUTRO, S.T., M.T.</t>
  </si>
  <si>
    <t>19710810 200604 1 014</t>
  </si>
  <si>
    <t>MUHAMMAD RIDWAN. APi.</t>
  </si>
  <si>
    <t>19741202 200501 1 008</t>
  </si>
  <si>
    <t>Sekretaris  Kecamatan Kota Agung.</t>
  </si>
  <si>
    <t xml:space="preserve">SITI ZULAIHA, S.E. </t>
  </si>
  <si>
    <t>19760503 201101 2 003</t>
  </si>
  <si>
    <t>Penata Tk.I (III/d) / 01-08-2025</t>
  </si>
  <si>
    <t>EDY FAHRURROZI, S.Kom.,M.M.</t>
  </si>
  <si>
    <t>19710302 199603 1 003</t>
  </si>
  <si>
    <t>MAHIDIN, S.E.,M.M.</t>
  </si>
  <si>
    <t>19740614 200801 1 008</t>
  </si>
  <si>
    <t>ROYENSYAH, S.E.,M.M.</t>
  </si>
  <si>
    <t>19730929 200701 1 004</t>
  </si>
  <si>
    <t>S2. Megister Manajemen</t>
  </si>
  <si>
    <t>AHMAD YANI HALIM, S.Sos., M.M.</t>
  </si>
  <si>
    <t>19741126 200902 1 001</t>
  </si>
  <si>
    <t>PURWANTI, S.Psi., M.M.</t>
  </si>
  <si>
    <t>19771104 200312 2 005</t>
  </si>
  <si>
    <t>Pembina Tk.I (IV/b)
01-10-2021</t>
  </si>
  <si>
    <t>SUWARNO, S.Ag.</t>
  </si>
  <si>
    <t>19740904 200501 1 005</t>
  </si>
  <si>
    <t>MANSYURIN, S.Sos., M.I.P.</t>
  </si>
  <si>
    <t>19770202 200312 1 008</t>
  </si>
  <si>
    <t>S.1 Sosial Politik/S.2 Ilmu Pemerintahan</t>
  </si>
  <si>
    <t>SYAIFUDDIN SARIF, S.I.P.</t>
  </si>
  <si>
    <t>19750501 200801 1 016</t>
  </si>
  <si>
    <t>Pembina (IV/a) 01-04-2023</t>
  </si>
  <si>
    <t>ALSEP RIZAM, S.ST</t>
  </si>
  <si>
    <t>19780920 200804 1 001</t>
  </si>
  <si>
    <t>S1 Sains</t>
  </si>
  <si>
    <t>KUROISIN, S.E.</t>
  </si>
  <si>
    <t>19740627 200801 1 012</t>
  </si>
  <si>
    <t xml:space="preserve">RIZKI ISKANDAR, S.K.M. </t>
  </si>
  <si>
    <t>19900504 201903 1 002</t>
  </si>
  <si>
    <t>FATUR RAHMAN, S.E.</t>
  </si>
  <si>
    <t>19940903 202203 1 007</t>
  </si>
  <si>
    <t>Penata Muda Tk.I (III/b) / 01-03-2026</t>
  </si>
  <si>
    <t>NOVIYAN HERI, S.E</t>
  </si>
  <si>
    <t>Penata (III/c) /01-04-2026</t>
  </si>
  <si>
    <t>UPTD. LH</t>
  </si>
  <si>
    <t>10. UPTD. LINGKUNGAN HIDUP</t>
  </si>
  <si>
    <t>Kepala UPTD. TPA KALIMIRING PADA DINAS LINGKUNGAN HIDUP</t>
  </si>
  <si>
    <t>1</t>
  </si>
  <si>
    <t>49 Tahun 2 bulan 30 Hari</t>
  </si>
  <si>
    <t>MUHAMMAD JAMAL, S.Sos.</t>
  </si>
  <si>
    <t>19771104 199803 1 004</t>
  </si>
  <si>
    <t>Penata (III/c) /01-04-2023</t>
  </si>
  <si>
    <t>Bdn. MARITHA, S.ST.</t>
  </si>
  <si>
    <t>19700510 198912 2 001</t>
  </si>
  <si>
    <t>Pembina Tk.I (IV/b) / 01-02-2024</t>
  </si>
  <si>
    <t xml:space="preserve">dr. INDAH PRATIWI S.Ked. </t>
  </si>
  <si>
    <t>19901203 201903 2 001</t>
  </si>
  <si>
    <t>Penata Tk.I (III/d) /  01-04-2022</t>
  </si>
  <si>
    <t>dr. INTEN KUMALASARI</t>
  </si>
  <si>
    <t>dr. VINDA RHENDIA</t>
  </si>
  <si>
    <t>19900826 201903 2 001</t>
  </si>
  <si>
    <t>Penata Tk.I (III/d) /  01-06-2025</t>
  </si>
  <si>
    <t xml:space="preserve">dr. TRI AYUNI LARASWATI </t>
  </si>
  <si>
    <t>19930316 202012 2 024</t>
  </si>
  <si>
    <t>Penata (III/c) / 01-12-2024</t>
  </si>
  <si>
    <t>dr. ICE MALAHANI INDHA WULAN</t>
  </si>
  <si>
    <t>19820110 200902 2 008</t>
  </si>
  <si>
    <t>dr. NELI WIDIASTUTI, M.M.</t>
  </si>
  <si>
    <t>19740510 200907 2 001</t>
  </si>
  <si>
    <t>Pembina Tk.I (IV/b) / 01-12-2024</t>
  </si>
  <si>
    <t>BENY HERANISTA, S.Tr.Keb</t>
  </si>
  <si>
    <t>Penata Muda Tingkat I (III/b) / 01-10-2021</t>
  </si>
  <si>
    <t>FRAN ADRIAN, S.Kep.</t>
  </si>
  <si>
    <t>SUPRIYANTO, SKM</t>
  </si>
  <si>
    <t>Penata Tingkat I (III/d) / 01-10-2021</t>
  </si>
  <si>
    <t>Bdn. ENI SAPRIANI MD, S.ST., M.Kes., S.ST.</t>
  </si>
  <si>
    <t>Penata Tingkat I (III/d) / 01-04-2023</t>
  </si>
  <si>
    <t>Bdn. DIANA, S.Tr.Keb.</t>
  </si>
  <si>
    <t>Pembina Utama Muda (IV/c) / 01-06-2026</t>
  </si>
  <si>
    <t>SASTRAWAN, S.Kep.</t>
  </si>
  <si>
    <t>Bdn. DEKA BUANA PUTRI, S.Tr.Keb., M.Keb.</t>
  </si>
  <si>
    <t>19900211 201704 2 001</t>
  </si>
  <si>
    <t>Penata Muda Tk.I (III/b) / 01-10-2023</t>
  </si>
  <si>
    <t>TRI AYU WULANDARI, S.Tr.Keb</t>
  </si>
  <si>
    <t>19890903 201704 2 001</t>
  </si>
  <si>
    <t>Penata Muda (III/a) / 01-08-2024</t>
  </si>
  <si>
    <t>Kepala UPTD. Pertanian, Tanaman Pangan dan Hortikultura Kota Agung Timur pada Dinas Ketahanan Pangan, Tanamanan Pangan dan Hortikultura</t>
  </si>
  <si>
    <t>RIZA HUSNA, S.Ag.,M.M.</t>
  </si>
  <si>
    <t>19751020 200312 2 005</t>
  </si>
  <si>
    <t>S.1 Dakwah/S.2 Magister Manajemen</t>
  </si>
  <si>
    <t>DATA NOMINATIF PEJABAT PIMPINAN TINGGI PRATAMA, ADMINISTRATOR, PENGAWAS DAN FUNGSIONAL PENYETARAAN
DI LINGKUNGAN PEMERINTAH KABUPATEN TANGGAMUS
PERIODE AGUSTUS TAHUN 2026</t>
  </si>
  <si>
    <t>PENSIUN 1 SEPTEMBER 2026</t>
  </si>
  <si>
    <t>PENISUN 1 OKTOBER 2026</t>
  </si>
  <si>
    <t>PENSIUN 1 DESEMBER 2026</t>
  </si>
  <si>
    <t>PENSIUN 1 OKTOBER 2026</t>
  </si>
  <si>
    <t>PENSIUN 1 JANUARI 2027</t>
  </si>
  <si>
    <t>PENSIUN 1 SEPTEMBER 20206</t>
  </si>
  <si>
    <t>PENSIUN 1 OKTOBER 2027</t>
  </si>
  <si>
    <t>II-b</t>
  </si>
  <si>
    <t>DINAS PERHUBUNGAN</t>
  </si>
  <si>
    <t>DINAS PEKERJAAN UMUM DAN PERUMAHAN RAKYAT</t>
  </si>
  <si>
    <t>DINAS PENDIDIKAN DAN KEBUDAYAAN</t>
  </si>
  <si>
    <t>SEKRETARIAT DAERAH</t>
  </si>
  <si>
    <t>PELAKSANA TUGAS (PLT.)</t>
  </si>
  <si>
    <t>Eselon</t>
  </si>
  <si>
    <t>No</t>
  </si>
  <si>
    <t>DATA JABATAN LOWONG ESELON II
PEMERINTAH KABUPATEN TANGGAMUS</t>
  </si>
  <si>
    <t>JABATAN PIMPINAN TINGGI PRATAMA (JPTP)</t>
  </si>
  <si>
    <t>DEWAN PERWAKILAN RAKYAT DAERAH (DPRD)</t>
  </si>
  <si>
    <t>SATUAN POLISI PAMONG PRAJA</t>
  </si>
  <si>
    <t>DINAS PEMBERDAYAAN MASYARAKAT DAN DESA</t>
  </si>
  <si>
    <t>DINAS PERKEBUNAN DAN PETERNAKAN</t>
  </si>
  <si>
    <t>DATA JABATAN LOWONG ESELON III
PEMERINTAH KABUPATEN TANGGAMUS</t>
  </si>
  <si>
    <t>ADMINISTRATOR</t>
  </si>
  <si>
    <t>DINAS KEPEGAWAIAN DAN PENGEMBANGAN SUMBER DAYA MANUSIA</t>
  </si>
  <si>
    <t>INSPEKTORAT</t>
  </si>
  <si>
    <t>III-b</t>
  </si>
  <si>
    <t>III-a</t>
  </si>
  <si>
    <t>KECAMATAN LIMAU</t>
  </si>
  <si>
    <t>Pensiun 1 September 2026</t>
  </si>
  <si>
    <t>DATA JABATAN LOWONG ESELON IV
PEMERINTAH KABUPATEN TANGGAMUS</t>
  </si>
  <si>
    <t>PENGAWAS</t>
  </si>
  <si>
    <t>DINAS KEPENDUDUKAN DAN PENCATATAN SIPIL</t>
  </si>
  <si>
    <t>IV-a</t>
  </si>
  <si>
    <t>IV-b</t>
  </si>
  <si>
    <t>JUMLAH TOTAL</t>
  </si>
  <si>
    <t>JUMLAH TOTAL JABATAN</t>
  </si>
  <si>
    <t>DATA PEJABAT YANG AKAN PENSIUN PADA PERIODE
OKTOBER S.d DESEMBER 2026
PEMERINTAH KABUPATEN TANGGAMUS</t>
  </si>
  <si>
    <t>KETERANGAN PENSIUN</t>
  </si>
  <si>
    <t>NAMA</t>
  </si>
  <si>
    <t>1 Oktober 2026</t>
  </si>
  <si>
    <t>1 Desember 2026</t>
  </si>
  <si>
    <t>BADAN PENDAPATAN DAERAH</t>
  </si>
  <si>
    <t>KECAMATAN WONOSOBO</t>
  </si>
  <si>
    <t>SATUAN PELAKSANA DINAS PENDIDIKAN DAN KEBUDAYAAN</t>
  </si>
  <si>
    <t>KECAMATAN KELUMBAYAN</t>
  </si>
  <si>
    <t>UPTD. LAYANAN KEPENDUDUKAN DAN PENCATATAN SIPIL</t>
  </si>
  <si>
    <t>UPTD. PUSKESMAS PADA DINAS KESEHATAN</t>
  </si>
  <si>
    <t>UPTD. DINAS PEKERJAAN UMUM DAN PERUMAHAN RAKYAT</t>
  </si>
  <si>
    <t>UPTD. DINAS PERIKANAN</t>
  </si>
  <si>
    <t>UPTD. DINAS PERKEBUNAN DAN PETERNAKAN</t>
  </si>
  <si>
    <t>UPTD. DINAS KETAHANAN PANGAN, TANAMAN PANGAN DAN HORTIKULTURA</t>
  </si>
  <si>
    <t>KECAMATAN KOTA AGUNG</t>
  </si>
  <si>
    <t>KECAMATAN AIR NANINGAN</t>
  </si>
  <si>
    <t>KECAMATAN BULOK</t>
  </si>
  <si>
    <t>KECAMATAN GUNUNG ALIP</t>
  </si>
  <si>
    <t>KECAMATAN KELUMBAYAN BARAT</t>
  </si>
  <si>
    <t>KECAMATAN KOTA AGUNG TIMUR</t>
  </si>
  <si>
    <t>KECAMATAN GISTING</t>
  </si>
  <si>
    <t>KECAMATAN SUMBEREJO</t>
  </si>
  <si>
    <t>KECAMATAN ULU BELU</t>
  </si>
  <si>
    <t>KECAMATAN PEMATANG SAWA</t>
  </si>
  <si>
    <t>KECAMATAN CUKUH BALAK</t>
  </si>
  <si>
    <t>KECAMATAN TALANG PADANG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</si>
</sst>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;@"/>
    <numFmt numFmtId="165" formatCode="[$-421]dd\ mmmm\ yyyy;@"/>
    <numFmt numFmtId="166" formatCode="dd\-mm\-yyyy"/>
    <numFmt numFmtId="167" formatCode="00000"/>
    <numFmt numFmtId="168" formatCode="_(* #,##0_);_(* \(#,##0\);_(* &quot;-&quot;_);_(@_)"/>
  </numFmts>
  <fonts count="34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color rgb="FFFFFFFF"/>
      <name val="Arial"/>
      <family val="2"/>
    </font>
    <font>
      <sz val="7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Tahoma"/>
      <family val="2"/>
    </font>
    <font>
      <sz val="8"/>
      <color theme="3" tint="0.39997558519241921"/>
      <name val="Arial"/>
      <family val="2"/>
    </font>
    <font>
      <b/>
      <sz val="8"/>
      <color rgb="FF000000"/>
      <name val="Arial"/>
      <family val="2"/>
    </font>
    <font>
      <b/>
      <u/>
      <sz val="8"/>
      <name val="Arial"/>
      <family val="2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charset val="1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25" fillId="0" borderId="0"/>
  </cellStyleXfs>
  <cellXfs count="321">
    <xf numFmtId="0" fontId="0" fillId="0" borderId="0" xfId="0"/>
    <xf numFmtId="0" fontId="4" fillId="2" borderId="0" xfId="1" applyFont="1" applyFill="1" applyAlignment="1" applyProtection="1">
      <alignment vertical="center"/>
      <protection hidden="1"/>
    </xf>
    <xf numFmtId="0" fontId="4" fillId="2" borderId="0" xfId="1" applyFont="1" applyFill="1" applyAlignment="1" applyProtection="1">
      <alignment horizontal="center" vertical="center"/>
      <protection hidden="1"/>
    </xf>
    <xf numFmtId="0" fontId="11" fillId="0" borderId="2" xfId="1" quotePrefix="1" applyFont="1" applyBorder="1" applyAlignment="1" applyProtection="1">
      <alignment horizontal="center" vertical="center" wrapText="1"/>
      <protection locked="0" hidden="1"/>
    </xf>
    <xf numFmtId="0" fontId="11" fillId="0" borderId="2" xfId="1" applyFont="1" applyBorder="1" applyAlignment="1" applyProtection="1">
      <alignment horizontal="center" vertical="center" wrapText="1"/>
      <protection locked="0" hidden="1"/>
    </xf>
    <xf numFmtId="164" fontId="11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4" fillId="0" borderId="0" xfId="1" applyFont="1" applyAlignment="1" applyProtection="1">
      <alignment vertical="center" wrapText="1"/>
      <protection hidden="1"/>
    </xf>
    <xf numFmtId="0" fontId="4" fillId="0" borderId="0" xfId="1" applyFont="1" applyAlignment="1" applyProtection="1">
      <alignment vertical="center"/>
      <protection hidden="1"/>
    </xf>
    <xf numFmtId="168" fontId="14" fillId="0" borderId="2" xfId="5" applyFont="1" applyFill="1" applyBorder="1" applyAlignment="1">
      <alignment horizontal="center" vertical="center"/>
    </xf>
    <xf numFmtId="0" fontId="3" fillId="0" borderId="0" xfId="1" applyFont="1" applyAlignment="1" applyProtection="1">
      <alignment vertical="center" wrapTex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15" fontId="4" fillId="0" borderId="0" xfId="1" applyNumberFormat="1" applyFont="1" applyAlignment="1" applyProtection="1">
      <alignment vertical="center"/>
      <protection hidden="1"/>
    </xf>
    <xf numFmtId="0" fontId="3" fillId="0" borderId="0" xfId="1" applyFont="1" applyAlignment="1" applyProtection="1">
      <alignment horizontal="right" vertical="top" wrapText="1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4" fillId="0" borderId="0" xfId="1" quotePrefix="1" applyFont="1" applyAlignment="1" applyProtection="1">
      <alignment vertical="center" wrapText="1"/>
      <protection hidden="1"/>
    </xf>
    <xf numFmtId="0" fontId="3" fillId="0" borderId="0" xfId="1" quotePrefix="1" applyFont="1" applyAlignment="1" applyProtection="1">
      <alignment vertical="center" wrapText="1"/>
      <protection hidden="1"/>
    </xf>
    <xf numFmtId="0" fontId="20" fillId="0" borderId="0" xfId="1" applyFont="1" applyAlignment="1">
      <alignment horizontal="center" vertical="center" wrapText="1"/>
    </xf>
    <xf numFmtId="0" fontId="3" fillId="0" borderId="0" xfId="1" applyFont="1" applyAlignment="1" applyProtection="1">
      <alignment vertical="top" wrapText="1"/>
      <protection locked="0" hidden="1"/>
    </xf>
    <xf numFmtId="15" fontId="5" fillId="0" borderId="1" xfId="1" quotePrefix="1" applyNumberFormat="1" applyFont="1" applyBorder="1" applyAlignment="1" applyProtection="1">
      <alignment horizontal="right" vertical="center"/>
      <protection locked="0" hidden="1"/>
    </xf>
    <xf numFmtId="0" fontId="5" fillId="0" borderId="1" xfId="1" quotePrefix="1" applyFont="1" applyBorder="1" applyAlignment="1" applyProtection="1">
      <alignment horizontal="center" vertical="center"/>
      <protection locked="0" hidden="1"/>
    </xf>
    <xf numFmtId="0" fontId="6" fillId="0" borderId="1" xfId="1" quotePrefix="1" applyFont="1" applyBorder="1" applyAlignment="1" applyProtection="1">
      <alignment horizontal="center" vertical="center"/>
      <protection locked="0" hidden="1"/>
    </xf>
    <xf numFmtId="22" fontId="5" fillId="0" borderId="1" xfId="1" quotePrefix="1" applyNumberFormat="1" applyFont="1" applyBorder="1" applyAlignment="1" applyProtection="1">
      <alignment horizontal="center" vertical="center"/>
      <protection locked="0" hidden="1"/>
    </xf>
    <xf numFmtId="15" fontId="5" fillId="0" borderId="1" xfId="1" quotePrefix="1" applyNumberFormat="1" applyFont="1" applyBorder="1" applyAlignment="1" applyProtection="1">
      <alignment horizontal="center" vertical="center"/>
      <protection locked="0" hidden="1"/>
    </xf>
    <xf numFmtId="0" fontId="9" fillId="0" borderId="2" xfId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 applyProtection="1">
      <alignment horizontal="center" vertical="center" wrapText="1"/>
      <protection hidden="1"/>
    </xf>
    <xf numFmtId="0" fontId="11" fillId="0" borderId="2" xfId="1" applyFont="1" applyBorder="1" applyAlignment="1" applyProtection="1">
      <alignment horizontal="center" vertical="center"/>
      <protection locked="0" hidden="1"/>
    </xf>
    <xf numFmtId="0" fontId="11" fillId="0" borderId="3" xfId="1" applyFont="1" applyBorder="1" applyAlignment="1" applyProtection="1">
      <alignment horizontal="center" vertical="center"/>
      <protection locked="0" hidden="1"/>
    </xf>
    <xf numFmtId="0" fontId="11" fillId="0" borderId="2" xfId="1" quotePrefix="1" applyFont="1" applyBorder="1" applyAlignment="1">
      <alignment horizontal="center" vertical="center" wrapText="1"/>
    </xf>
    <xf numFmtId="0" fontId="4" fillId="0" borderId="2" xfId="1" applyFont="1" applyBorder="1" applyAlignment="1" applyProtection="1">
      <alignment vertical="center"/>
      <protection hidden="1"/>
    </xf>
    <xf numFmtId="0" fontId="4" fillId="0" borderId="2" xfId="1" applyFont="1" applyBorder="1" applyAlignment="1" applyProtection="1">
      <alignment horizontal="center" vertical="center"/>
      <protection hidden="1"/>
    </xf>
    <xf numFmtId="15" fontId="4" fillId="0" borderId="2" xfId="1" applyNumberFormat="1" applyFont="1" applyBorder="1" applyAlignment="1" applyProtection="1">
      <alignment vertical="center"/>
      <protection hidden="1"/>
    </xf>
    <xf numFmtId="0" fontId="11" fillId="0" borderId="3" xfId="1" applyFont="1" applyBorder="1" applyAlignment="1" applyProtection="1">
      <alignment horizontal="center" vertical="center" wrapText="1"/>
      <protection locked="0" hidden="1"/>
    </xf>
    <xf numFmtId="14" fontId="11" fillId="0" borderId="2" xfId="1" applyNumberFormat="1" applyFont="1" applyBorder="1" applyAlignment="1" applyProtection="1">
      <alignment horizontal="center" vertical="center" wrapText="1"/>
      <protection locked="0" hidden="1"/>
    </xf>
    <xf numFmtId="164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 applyProtection="1">
      <alignment vertical="center" wrapText="1"/>
      <protection hidden="1"/>
    </xf>
    <xf numFmtId="0" fontId="4" fillId="0" borderId="2" xfId="1" applyFont="1" applyBorder="1" applyAlignment="1" applyProtection="1">
      <alignment horizontal="center" vertical="center" wrapText="1"/>
      <protection locked="0" hidden="1"/>
    </xf>
    <xf numFmtId="165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15" fontId="9" fillId="0" borderId="2" xfId="1" quotePrefix="1" applyNumberFormat="1" applyFont="1" applyBorder="1" applyAlignment="1" applyProtection="1">
      <alignment horizontal="center" vertical="center" wrapText="1"/>
      <protection hidden="1"/>
    </xf>
    <xf numFmtId="0" fontId="3" fillId="0" borderId="2" xfId="1" applyFont="1" applyBorder="1" applyAlignment="1" applyProtection="1">
      <alignment horizontal="center" vertical="center" wrapText="1"/>
      <protection hidden="1"/>
    </xf>
    <xf numFmtId="0" fontId="4" fillId="0" borderId="2" xfId="1" quotePrefix="1" applyFont="1" applyBorder="1" applyAlignment="1" applyProtection="1">
      <alignment horizontal="center" vertical="center" wrapText="1"/>
      <protection hidden="1"/>
    </xf>
    <xf numFmtId="166" fontId="11" fillId="0" borderId="2" xfId="1" applyNumberFormat="1" applyFont="1" applyBorder="1" applyAlignment="1" applyProtection="1">
      <alignment horizontal="center" vertical="center" wrapText="1"/>
      <protection locked="0" hidden="1"/>
    </xf>
    <xf numFmtId="1" fontId="9" fillId="0" borderId="2" xfId="2" applyNumberFormat="1" applyFont="1" applyBorder="1" applyAlignment="1" applyProtection="1">
      <alignment horizontal="center" vertical="center" wrapText="1"/>
      <protection hidden="1"/>
    </xf>
    <xf numFmtId="0" fontId="11" fillId="0" borderId="2" xfId="2" quotePrefix="1" applyFont="1" applyBorder="1" applyAlignment="1" applyProtection="1">
      <alignment horizontal="center" vertical="center" wrapText="1"/>
      <protection hidden="1"/>
    </xf>
    <xf numFmtId="0" fontId="4" fillId="0" borderId="2" xfId="1" quotePrefix="1" applyFont="1" applyBorder="1" applyAlignment="1" applyProtection="1">
      <alignment horizontal="center" vertical="center" wrapText="1"/>
      <protection locked="0" hidden="1"/>
    </xf>
    <xf numFmtId="0" fontId="3" fillId="0" borderId="2" xfId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>
      <alignment horizontal="left" vertical="center" wrapText="1"/>
    </xf>
    <xf numFmtId="0" fontId="11" fillId="0" borderId="2" xfId="1" quotePrefix="1" applyFont="1" applyBorder="1" applyAlignment="1" applyProtection="1">
      <alignment horizontal="center" vertical="center"/>
      <protection locked="0" hidden="1"/>
    </xf>
    <xf numFmtId="14" fontId="4" fillId="0" borderId="2" xfId="1" applyNumberFormat="1" applyFont="1" applyBorder="1" applyAlignment="1" applyProtection="1">
      <alignment horizontal="center" vertical="center" wrapText="1"/>
      <protection locked="0" hidden="1"/>
    </xf>
    <xf numFmtId="164" fontId="12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11" fillId="0" borderId="2" xfId="1" applyFont="1" applyBorder="1" applyAlignment="1" applyProtection="1">
      <alignment vertical="center" wrapText="1"/>
      <protection locked="0" hidden="1"/>
    </xf>
    <xf numFmtId="1" fontId="9" fillId="0" borderId="2" xfId="2" applyNumberFormat="1" applyFont="1" applyBorder="1" applyAlignment="1" applyProtection="1">
      <alignment horizontal="center" vertical="center" wrapText="1"/>
      <protection locked="0" hidden="1"/>
    </xf>
    <xf numFmtId="0" fontId="11" fillId="0" borderId="2" xfId="2" applyFont="1" applyBorder="1" applyAlignment="1" applyProtection="1">
      <alignment horizontal="center" vertical="center" wrapText="1"/>
      <protection locked="0" hidden="1"/>
    </xf>
    <xf numFmtId="15" fontId="11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3" fillId="0" borderId="2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 wrapText="1"/>
    </xf>
    <xf numFmtId="0" fontId="11" fillId="0" borderId="2" xfId="1" applyFont="1" applyBorder="1" applyAlignment="1" applyProtection="1">
      <alignment horizontal="center" vertical="center" wrapText="1"/>
      <protection hidden="1"/>
    </xf>
    <xf numFmtId="0" fontId="3" fillId="0" borderId="2" xfId="1" quotePrefix="1" applyFont="1" applyBorder="1" applyAlignment="1" applyProtection="1">
      <alignment horizontal="center" vertical="center" wrapText="1"/>
      <protection locked="0" hidden="1"/>
    </xf>
    <xf numFmtId="0" fontId="3" fillId="0" borderId="2" xfId="1" applyFont="1" applyBorder="1" applyAlignment="1" applyProtection="1">
      <alignment horizontal="center" vertical="center"/>
      <protection hidden="1"/>
    </xf>
    <xf numFmtId="0" fontId="11" fillId="0" borderId="2" xfId="2" quotePrefix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 applyProtection="1">
      <alignment vertical="center" wrapText="1"/>
      <protection locked="0" hidden="1"/>
    </xf>
    <xf numFmtId="0" fontId="4" fillId="0" borderId="2" xfId="1" quotePrefix="1" applyFont="1" applyBorder="1" applyAlignment="1" applyProtection="1">
      <alignment horizontal="center" vertical="center"/>
      <protection locked="0" hidden="1"/>
    </xf>
    <xf numFmtId="0" fontId="9" fillId="0" borderId="3" xfId="1" applyFont="1" applyBorder="1" applyAlignment="1" applyProtection="1">
      <alignment horizontal="left" vertical="center"/>
      <protection locked="0" hidden="1"/>
    </xf>
    <xf numFmtId="0" fontId="9" fillId="0" borderId="4" xfId="1" applyFont="1" applyBorder="1" applyAlignment="1" applyProtection="1">
      <alignment horizontal="left" vertical="center"/>
      <protection locked="0" hidden="1"/>
    </xf>
    <xf numFmtId="0" fontId="3" fillId="0" borderId="0" xfId="1" applyFont="1" applyAlignment="1" applyProtection="1">
      <alignment horizontal="center" vertical="center"/>
      <protection hidden="1"/>
    </xf>
    <xf numFmtId="0" fontId="4" fillId="0" borderId="2" xfId="1" quotePrefix="1" applyFont="1" applyBorder="1" applyAlignment="1" applyProtection="1">
      <alignment horizontal="center" vertical="center"/>
      <protection hidden="1"/>
    </xf>
    <xf numFmtId="14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0" fontId="11" fillId="0" borderId="2" xfId="1" applyFont="1" applyBorder="1" applyAlignment="1" applyProtection="1">
      <alignment horizontal="left" vertical="center" wrapText="1"/>
      <protection locked="0" hidden="1"/>
    </xf>
    <xf numFmtId="0" fontId="13" fillId="0" borderId="3" xfId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>
      <alignment horizontal="center" vertical="center" wrapText="1"/>
    </xf>
    <xf numFmtId="0" fontId="11" fillId="0" borderId="2" xfId="1" quotePrefix="1" applyFont="1" applyBorder="1" applyAlignment="1" applyProtection="1">
      <alignment horizontal="center" vertical="center" wrapText="1"/>
      <protection hidden="1"/>
    </xf>
    <xf numFmtId="0" fontId="9" fillId="0" borderId="2" xfId="1" applyFont="1" applyBorder="1" applyAlignment="1" applyProtection="1">
      <alignment horizontal="center" vertical="center" wrapText="1"/>
      <protection hidden="1"/>
    </xf>
    <xf numFmtId="0" fontId="11" fillId="0" borderId="2" xfId="1" quotePrefix="1" applyFont="1" applyBorder="1" applyAlignment="1" applyProtection="1">
      <alignment horizontal="center" vertical="center"/>
      <protection hidden="1"/>
    </xf>
    <xf numFmtId="0" fontId="14" fillId="0" borderId="2" xfId="1" quotePrefix="1" applyFont="1" applyBorder="1" applyAlignment="1">
      <alignment horizontal="center" vertical="center" wrapText="1"/>
    </xf>
    <xf numFmtId="0" fontId="11" fillId="0" borderId="2" xfId="1" applyFont="1" applyBorder="1" applyAlignment="1" applyProtection="1">
      <alignment vertical="center" wrapText="1"/>
      <protection hidden="1"/>
    </xf>
    <xf numFmtId="0" fontId="15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167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0" fontId="16" fillId="0" borderId="2" xfId="1" quotePrefix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3" fillId="0" borderId="3" xfId="1" applyFont="1" applyBorder="1" applyAlignment="1" applyProtection="1">
      <alignment horizontal="center" vertical="center"/>
      <protection locked="0" hidden="1"/>
    </xf>
    <xf numFmtId="14" fontId="11" fillId="0" borderId="2" xfId="1" quotePrefix="1" applyNumberFormat="1" applyFont="1" applyBorder="1" applyAlignment="1" applyProtection="1">
      <alignment horizontal="center" vertical="center"/>
      <protection locked="0" hidden="1"/>
    </xf>
    <xf numFmtId="15" fontId="4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3" fillId="0" borderId="2" xfId="1" applyFont="1" applyBorder="1" applyAlignment="1" applyProtection="1">
      <alignment vertical="center"/>
      <protection hidden="1"/>
    </xf>
    <xf numFmtId="14" fontId="12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3" fillId="0" borderId="2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9" fillId="0" borderId="2" xfId="1" applyFont="1" applyBorder="1" applyAlignment="1" applyProtection="1">
      <alignment horizontal="center" vertical="center"/>
      <protection hidden="1"/>
    </xf>
    <xf numFmtId="0" fontId="12" fillId="0" borderId="2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15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0" fontId="12" fillId="0" borderId="2" xfId="1" quotePrefix="1" applyFont="1" applyBorder="1" applyAlignment="1" applyProtection="1">
      <alignment horizontal="center" vertical="center"/>
      <protection locked="0" hidden="1"/>
    </xf>
    <xf numFmtId="14" fontId="4" fillId="0" borderId="2" xfId="1" applyNumberFormat="1" applyFont="1" applyBorder="1" applyAlignment="1" applyProtection="1">
      <alignment horizontal="center" vertical="center" wrapText="1"/>
      <protection hidden="1"/>
    </xf>
    <xf numFmtId="0" fontId="15" fillId="0" borderId="2" xfId="4" applyFont="1" applyBorder="1" applyAlignment="1">
      <alignment horizontal="center" vertical="center"/>
    </xf>
    <xf numFmtId="0" fontId="14" fillId="0" borderId="2" xfId="4" quotePrefix="1" applyFont="1" applyBorder="1" applyAlignment="1">
      <alignment horizontal="center" vertical="center" wrapText="1"/>
    </xf>
    <xf numFmtId="164" fontId="4" fillId="0" borderId="2" xfId="1" quotePrefix="1" applyNumberFormat="1" applyFont="1" applyBorder="1" applyAlignment="1" applyProtection="1">
      <alignment horizontal="center" vertical="center"/>
      <protection locked="0" hidden="1"/>
    </xf>
    <xf numFmtId="15" fontId="4" fillId="0" borderId="2" xfId="1" applyNumberFormat="1" applyFont="1" applyBorder="1" applyAlignment="1" applyProtection="1">
      <alignment horizontal="center" vertical="center"/>
      <protection hidden="1"/>
    </xf>
    <xf numFmtId="0" fontId="3" fillId="0" borderId="2" xfId="3" applyFont="1" applyBorder="1" applyAlignment="1">
      <alignment horizontal="center" vertical="center"/>
    </xf>
    <xf numFmtId="3" fontId="4" fillId="0" borderId="2" xfId="3" applyNumberFormat="1" applyFont="1" applyBorder="1" applyAlignment="1">
      <alignment horizontal="center" vertical="center" wrapText="1"/>
    </xf>
    <xf numFmtId="0" fontId="4" fillId="0" borderId="2" xfId="3" quotePrefix="1" applyFont="1" applyBorder="1" applyAlignment="1">
      <alignment horizontal="center" vertical="center" wrapText="1"/>
    </xf>
    <xf numFmtId="0" fontId="9" fillId="0" borderId="2" xfId="1" applyFont="1" applyBorder="1" applyAlignment="1" applyProtection="1">
      <alignment horizontal="center" vertical="center" wrapText="1" shrinkToFit="1"/>
      <protection locked="0" hidden="1"/>
    </xf>
    <xf numFmtId="166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2" fontId="4" fillId="0" borderId="2" xfId="1" applyNumberFormat="1" applyFont="1" applyBorder="1" applyAlignment="1" applyProtection="1">
      <alignment horizontal="center" vertical="center"/>
      <protection hidden="1"/>
    </xf>
    <xf numFmtId="0" fontId="4" fillId="0" borderId="0" xfId="1" quotePrefix="1" applyFont="1" applyAlignment="1" applyProtection="1">
      <alignment horizontal="center" vertical="center" wrapText="1"/>
      <protection hidden="1"/>
    </xf>
    <xf numFmtId="14" fontId="11" fillId="0" borderId="2" xfId="2" applyNumberFormat="1" applyFont="1" applyBorder="1" applyAlignment="1" applyProtection="1">
      <alignment horizontal="center" vertical="center" wrapText="1"/>
      <protection locked="0" hidden="1"/>
    </xf>
    <xf numFmtId="164" fontId="11" fillId="0" borderId="2" xfId="1" applyNumberFormat="1" applyFont="1" applyBorder="1" applyAlignment="1" applyProtection="1">
      <alignment horizontal="center" vertical="center" wrapText="1"/>
      <protection locked="0" hidden="1"/>
    </xf>
    <xf numFmtId="164" fontId="4" fillId="0" borderId="2" xfId="1" applyNumberFormat="1" applyFont="1" applyBorder="1" applyAlignment="1" applyProtection="1">
      <alignment horizontal="center" vertical="center"/>
      <protection hidden="1"/>
    </xf>
    <xf numFmtId="0" fontId="4" fillId="0" borderId="2" xfId="1" quotePrefix="1" applyFont="1" applyBorder="1" applyAlignment="1" applyProtection="1">
      <alignment vertical="center"/>
      <protection hidden="1"/>
    </xf>
    <xf numFmtId="0" fontId="11" fillId="0" borderId="2" xfId="1" applyFont="1" applyBorder="1" applyAlignment="1" applyProtection="1">
      <alignment horizontal="left" vertical="center"/>
      <protection locked="0" hidden="1"/>
    </xf>
    <xf numFmtId="15" fontId="11" fillId="0" borderId="2" xfId="1" quotePrefix="1" applyNumberFormat="1" applyFont="1" applyBorder="1" applyAlignment="1" applyProtection="1">
      <alignment horizontal="center" vertical="center"/>
      <protection hidden="1"/>
    </xf>
    <xf numFmtId="14" fontId="11" fillId="0" borderId="2" xfId="1" quotePrefix="1" applyNumberFormat="1" applyFont="1" applyBorder="1" applyAlignment="1" applyProtection="1">
      <alignment horizontal="center" vertical="center"/>
      <protection hidden="1"/>
    </xf>
    <xf numFmtId="0" fontId="4" fillId="0" borderId="2" xfId="1" applyFont="1" applyBorder="1" applyAlignment="1" applyProtection="1">
      <alignment horizontal="left" vertical="center" wrapText="1"/>
      <protection locked="0" hidden="1"/>
    </xf>
    <xf numFmtId="15" fontId="14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14" fillId="0" borderId="2" xfId="1" quotePrefix="1" applyFont="1" applyBorder="1" applyAlignment="1" applyProtection="1">
      <alignment horizontal="center" vertical="center"/>
      <protection locked="0" hidden="1"/>
    </xf>
    <xf numFmtId="0" fontId="14" fillId="0" borderId="2" xfId="4" applyFont="1" applyBorder="1" applyAlignment="1">
      <alignment horizontal="center" vertical="center" wrapText="1"/>
    </xf>
    <xf numFmtId="15" fontId="4" fillId="0" borderId="2" xfId="1" quotePrefix="1" applyNumberFormat="1" applyFont="1" applyBorder="1" applyAlignment="1" applyProtection="1">
      <alignment horizontal="center" vertical="center"/>
      <protection hidden="1"/>
    </xf>
    <xf numFmtId="164" fontId="14" fillId="0" borderId="2" xfId="1" quotePrefix="1" applyNumberFormat="1" applyFont="1" applyBorder="1" applyAlignment="1" applyProtection="1">
      <alignment horizontal="center" vertical="center"/>
      <protection locked="0" hidden="1"/>
    </xf>
    <xf numFmtId="2" fontId="4" fillId="0" borderId="2" xfId="1" applyNumberFormat="1" applyFont="1" applyBorder="1" applyAlignment="1" applyProtection="1">
      <alignment vertical="center"/>
      <protection hidden="1"/>
    </xf>
    <xf numFmtId="15" fontId="12" fillId="0" borderId="2" xfId="1" quotePrefix="1" applyNumberFormat="1" applyFont="1" applyBorder="1" applyAlignment="1" applyProtection="1">
      <alignment horizontal="center" vertical="center"/>
      <protection locked="0" hidden="1"/>
    </xf>
    <xf numFmtId="164" fontId="17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17" fillId="0" borderId="2" xfId="1" quotePrefix="1" applyFont="1" applyBorder="1" applyAlignment="1" applyProtection="1">
      <alignment horizontal="center" vertical="center" wrapText="1"/>
      <protection locked="0"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2" xfId="1" applyFont="1" applyBorder="1" applyAlignment="1" applyProtection="1">
      <alignment horizontal="center" vertical="center" wrapText="1"/>
      <protection locked="0" hidden="1"/>
    </xf>
    <xf numFmtId="15" fontId="4" fillId="0" borderId="2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2" xfId="1" applyFont="1" applyBorder="1" applyAlignment="1" applyProtection="1">
      <alignment horizontal="center" vertical="center"/>
      <protection hidden="1"/>
    </xf>
    <xf numFmtId="14" fontId="12" fillId="0" borderId="2" xfId="1" quotePrefix="1" applyNumberFormat="1" applyFont="1" applyBorder="1" applyAlignment="1" applyProtection="1">
      <alignment horizontal="center" vertical="center"/>
      <protection hidden="1"/>
    </xf>
    <xf numFmtId="3" fontId="4" fillId="0" borderId="2" xfId="3" applyNumberFormat="1" applyFont="1" applyBorder="1" applyAlignment="1">
      <alignment horizontal="center" vertical="center"/>
    </xf>
    <xf numFmtId="14" fontId="14" fillId="0" borderId="2" xfId="1" quotePrefix="1" applyNumberFormat="1" applyFont="1" applyBorder="1" applyAlignment="1" applyProtection="1">
      <alignment horizontal="center" vertical="center"/>
      <protection hidden="1"/>
    </xf>
    <xf numFmtId="0" fontId="18" fillId="0" borderId="2" xfId="4" applyFont="1" applyBorder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14" fillId="0" borderId="2" xfId="4" applyFont="1" applyBorder="1" applyAlignment="1">
      <alignment horizontal="center" vertical="top" wrapText="1"/>
    </xf>
    <xf numFmtId="15" fontId="14" fillId="0" borderId="2" xfId="1" quotePrefix="1" applyNumberFormat="1" applyFont="1" applyBorder="1" applyAlignment="1" applyProtection="1">
      <alignment horizontal="center" vertical="center"/>
      <protection hidden="1"/>
    </xf>
    <xf numFmtId="0" fontId="12" fillId="0" borderId="2" xfId="1" quotePrefix="1" applyFont="1" applyBorder="1" applyAlignment="1" applyProtection="1">
      <alignment horizontal="center" vertical="center"/>
      <protection hidden="1"/>
    </xf>
    <xf numFmtId="0" fontId="14" fillId="0" borderId="2" xfId="4" quotePrefix="1" applyFont="1" applyBorder="1" applyAlignment="1">
      <alignment horizontal="center" vertical="top" wrapText="1"/>
    </xf>
    <xf numFmtId="0" fontId="14" fillId="0" borderId="2" xfId="4" applyFont="1" applyBorder="1" applyAlignment="1">
      <alignment horizontal="center" vertical="center"/>
    </xf>
    <xf numFmtId="14" fontId="11" fillId="0" borderId="2" xfId="1" applyNumberFormat="1" applyFont="1" applyBorder="1" applyAlignment="1" applyProtection="1">
      <alignment horizontal="center" vertical="center" wrapText="1"/>
      <protection hidden="1"/>
    </xf>
    <xf numFmtId="14" fontId="11" fillId="0" borderId="2" xfId="1" applyNumberFormat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left" vertical="center" wrapText="1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1" fillId="0" borderId="5" xfId="1" applyFont="1" applyBorder="1" applyAlignment="1" applyProtection="1">
      <alignment horizontal="center" vertical="center" wrapText="1"/>
      <protection locked="0" hidden="1"/>
    </xf>
    <xf numFmtId="14" fontId="4" fillId="0" borderId="2" xfId="1" quotePrefix="1" applyNumberFormat="1" applyFont="1" applyBorder="1" applyAlignment="1" applyProtection="1">
      <alignment horizontal="center" vertical="center"/>
      <protection locked="0" hidden="1"/>
    </xf>
    <xf numFmtId="0" fontId="11" fillId="0" borderId="2" xfId="2" applyFont="1" applyBorder="1" applyAlignment="1" applyProtection="1">
      <alignment horizontal="center" vertical="center" wrapText="1"/>
      <protection hidden="1"/>
    </xf>
    <xf numFmtId="1" fontId="11" fillId="0" borderId="2" xfId="2" quotePrefix="1" applyNumberFormat="1" applyFont="1" applyBorder="1" applyAlignment="1" applyProtection="1">
      <alignment horizontal="center" vertical="center" wrapText="1"/>
      <protection hidden="1"/>
    </xf>
    <xf numFmtId="0" fontId="4" fillId="3" borderId="2" xfId="1" applyFont="1" applyFill="1" applyBorder="1" applyAlignment="1" applyProtection="1">
      <alignment horizontal="center" vertical="center"/>
      <protection locked="0" hidden="1"/>
    </xf>
    <xf numFmtId="0" fontId="4" fillId="3" borderId="3" xfId="1" applyFont="1" applyFill="1" applyBorder="1" applyAlignment="1" applyProtection="1">
      <alignment horizontal="center" vertical="center"/>
      <protection locked="0" hidden="1"/>
    </xf>
    <xf numFmtId="0" fontId="4" fillId="3" borderId="2" xfId="1" applyFont="1" applyFill="1" applyBorder="1" applyAlignment="1" applyProtection="1">
      <alignment vertical="center" wrapText="1"/>
      <protection locked="0" hidden="1"/>
    </xf>
    <xf numFmtId="0" fontId="3" fillId="3" borderId="2" xfId="1" applyFont="1" applyFill="1" applyBorder="1" applyAlignment="1" applyProtection="1">
      <alignment horizontal="center" vertical="center" wrapText="1"/>
      <protection locked="0" hidden="1"/>
    </xf>
    <xf numFmtId="0" fontId="4" fillId="3" borderId="2" xfId="1" applyFont="1" applyFill="1" applyBorder="1" applyAlignment="1" applyProtection="1">
      <alignment horizontal="center" vertical="center" wrapText="1"/>
      <protection locked="0" hidden="1"/>
    </xf>
    <xf numFmtId="14" fontId="4" fillId="3" borderId="2" xfId="1" applyNumberFormat="1" applyFont="1" applyFill="1" applyBorder="1" applyAlignment="1" applyProtection="1">
      <alignment horizontal="center" vertical="center" wrapText="1"/>
      <protection locked="0" hidden="1"/>
    </xf>
    <xf numFmtId="164" fontId="4" fillId="3" borderId="2" xfId="1" quotePrefix="1" applyNumberFormat="1" applyFont="1" applyFill="1" applyBorder="1" applyAlignment="1" applyProtection="1">
      <alignment horizontal="center" vertical="center"/>
      <protection locked="0" hidden="1"/>
    </xf>
    <xf numFmtId="0" fontId="4" fillId="3" borderId="2" xfId="1" quotePrefix="1" applyFont="1" applyFill="1" applyBorder="1" applyAlignment="1" applyProtection="1">
      <alignment horizontal="center" vertical="center" wrapText="1"/>
      <protection locked="0" hidden="1"/>
    </xf>
    <xf numFmtId="0" fontId="4" fillId="3" borderId="2" xfId="1" applyFont="1" applyFill="1" applyBorder="1" applyAlignment="1" applyProtection="1">
      <alignment horizontal="center" vertical="center"/>
      <protection hidden="1"/>
    </xf>
    <xf numFmtId="0" fontId="4" fillId="3" borderId="2" xfId="1" applyFont="1" applyFill="1" applyBorder="1" applyAlignment="1" applyProtection="1">
      <alignment vertical="center"/>
      <protection hidden="1"/>
    </xf>
    <xf numFmtId="165" fontId="4" fillId="3" borderId="2" xfId="1" quotePrefix="1" applyNumberFormat="1" applyFont="1" applyFill="1" applyBorder="1" applyAlignment="1" applyProtection="1">
      <alignment horizontal="center" vertical="center" wrapText="1"/>
      <protection locked="0" hidden="1"/>
    </xf>
    <xf numFmtId="15" fontId="3" fillId="3" borderId="2" xfId="1" quotePrefix="1" applyNumberFormat="1" applyFont="1" applyFill="1" applyBorder="1" applyAlignment="1" applyProtection="1">
      <alignment horizontal="center" vertical="center" wrapText="1"/>
      <protection hidden="1"/>
    </xf>
    <xf numFmtId="0" fontId="11" fillId="4" borderId="2" xfId="1" applyFont="1" applyFill="1" applyBorder="1" applyAlignment="1" applyProtection="1">
      <alignment horizontal="center" vertical="center"/>
      <protection locked="0" hidden="1"/>
    </xf>
    <xf numFmtId="0" fontId="11" fillId="4" borderId="3" xfId="1" applyFont="1" applyFill="1" applyBorder="1" applyAlignment="1" applyProtection="1">
      <alignment horizontal="center" vertical="center"/>
      <protection locked="0" hidden="1"/>
    </xf>
    <xf numFmtId="0" fontId="11" fillId="4" borderId="2" xfId="1" applyFont="1" applyFill="1" applyBorder="1" applyAlignment="1" applyProtection="1">
      <alignment vertical="center" wrapText="1"/>
      <protection locked="0" hidden="1"/>
    </xf>
    <xf numFmtId="0" fontId="3" fillId="4" borderId="2" xfId="1" applyFont="1" applyFill="1" applyBorder="1" applyAlignment="1" applyProtection="1">
      <alignment horizontal="center" vertical="center" wrapText="1"/>
      <protection locked="0" hidden="1"/>
    </xf>
    <xf numFmtId="0" fontId="9" fillId="4" borderId="2" xfId="1" applyFont="1" applyFill="1" applyBorder="1" applyAlignment="1" applyProtection="1">
      <alignment horizontal="center" vertical="center" wrapText="1"/>
      <protection locked="0" hidden="1"/>
    </xf>
    <xf numFmtId="0" fontId="11" fillId="4" borderId="2" xfId="1" applyFont="1" applyFill="1" applyBorder="1" applyAlignment="1" applyProtection="1">
      <alignment horizontal="center" vertical="center" wrapText="1"/>
      <protection locked="0" hidden="1"/>
    </xf>
    <xf numFmtId="14" fontId="11" fillId="4" borderId="2" xfId="1" applyNumberFormat="1" applyFont="1" applyFill="1" applyBorder="1" applyAlignment="1" applyProtection="1">
      <alignment horizontal="center" vertical="center" wrapText="1"/>
      <protection locked="0" hidden="1"/>
    </xf>
    <xf numFmtId="164" fontId="11" fillId="4" borderId="2" xfId="1" quotePrefix="1" applyNumberFormat="1" applyFont="1" applyFill="1" applyBorder="1" applyAlignment="1" applyProtection="1">
      <alignment horizontal="center" vertical="center"/>
      <protection locked="0" hidden="1"/>
    </xf>
    <xf numFmtId="0" fontId="11" fillId="4" borderId="2" xfId="1" quotePrefix="1" applyFont="1" applyFill="1" applyBorder="1" applyAlignment="1" applyProtection="1">
      <alignment horizontal="center" vertical="center" wrapText="1"/>
      <protection locked="0" hidden="1"/>
    </xf>
    <xf numFmtId="0" fontId="4" fillId="4" borderId="2" xfId="1" applyFont="1" applyFill="1" applyBorder="1" applyAlignment="1" applyProtection="1">
      <alignment horizontal="center" vertical="center"/>
      <protection hidden="1"/>
    </xf>
    <xf numFmtId="0" fontId="4" fillId="4" borderId="2" xfId="1" applyFont="1" applyFill="1" applyBorder="1" applyAlignment="1" applyProtection="1">
      <alignment vertical="center"/>
      <protection hidden="1"/>
    </xf>
    <xf numFmtId="165" fontId="11" fillId="4" borderId="2" xfId="1" quotePrefix="1" applyNumberFormat="1" applyFont="1" applyFill="1" applyBorder="1" applyAlignment="1" applyProtection="1">
      <alignment horizontal="center" vertical="center" wrapText="1"/>
      <protection locked="0" hidden="1"/>
    </xf>
    <xf numFmtId="15" fontId="9" fillId="4" borderId="2" xfId="1" quotePrefix="1" applyNumberFormat="1" applyFont="1" applyFill="1" applyBorder="1" applyAlignment="1" applyProtection="1">
      <alignment horizontal="center" vertical="center" wrapText="1"/>
      <protection hidden="1"/>
    </xf>
    <xf numFmtId="1" fontId="9" fillId="4" borderId="2" xfId="2" applyNumberFormat="1" applyFont="1" applyFill="1" applyBorder="1" applyAlignment="1" applyProtection="1">
      <alignment horizontal="center" vertical="center" wrapText="1"/>
      <protection locked="0" hidden="1"/>
    </xf>
    <xf numFmtId="0" fontId="4" fillId="4" borderId="2" xfId="1" applyFont="1" applyFill="1" applyBorder="1" applyAlignment="1" applyProtection="1">
      <alignment horizontal="center" vertical="center" wrapText="1"/>
      <protection hidden="1"/>
    </xf>
    <xf numFmtId="0" fontId="4" fillId="4" borderId="2" xfId="1" applyFont="1" applyFill="1" applyBorder="1" applyAlignment="1" applyProtection="1">
      <alignment horizontal="center" vertical="center" wrapText="1"/>
      <protection locked="0" hidden="1"/>
    </xf>
    <xf numFmtId="0" fontId="13" fillId="4" borderId="3" xfId="1" applyFont="1" applyFill="1" applyBorder="1" applyAlignment="1" applyProtection="1">
      <alignment horizontal="center" vertical="center" wrapText="1"/>
      <protection locked="0" hidden="1"/>
    </xf>
    <xf numFmtId="0" fontId="4" fillId="4" borderId="2" xfId="1" applyFont="1" applyFill="1" applyBorder="1" applyAlignment="1" applyProtection="1">
      <alignment horizontal="left" vertical="center" wrapText="1"/>
      <protection locked="0" hidden="1"/>
    </xf>
    <xf numFmtId="0" fontId="14" fillId="4" borderId="2" xfId="1" applyFont="1" applyFill="1" applyBorder="1" applyAlignment="1">
      <alignment horizontal="center" vertical="center" wrapText="1"/>
    </xf>
    <xf numFmtId="164" fontId="14" fillId="4" borderId="2" xfId="1" quotePrefix="1" applyNumberFormat="1" applyFont="1" applyFill="1" applyBorder="1" applyAlignment="1" applyProtection="1">
      <alignment horizontal="center" vertical="center"/>
      <protection locked="0" hidden="1"/>
    </xf>
    <xf numFmtId="0" fontId="4" fillId="4" borderId="2" xfId="1" applyFont="1" applyFill="1" applyBorder="1" applyAlignment="1" applyProtection="1">
      <alignment vertical="center" wrapText="1"/>
      <protection hidden="1"/>
    </xf>
    <xf numFmtId="0" fontId="4" fillId="4" borderId="2" xfId="1" applyFont="1" applyFill="1" applyBorder="1" applyAlignment="1" applyProtection="1">
      <alignment vertical="center" wrapText="1"/>
      <protection locked="0" hidden="1"/>
    </xf>
    <xf numFmtId="14" fontId="14" fillId="4" borderId="2" xfId="1" quotePrefix="1" applyNumberFormat="1" applyFont="1" applyFill="1" applyBorder="1" applyAlignment="1" applyProtection="1">
      <alignment horizontal="center" vertical="center"/>
      <protection locked="0" hidden="1"/>
    </xf>
    <xf numFmtId="0" fontId="7" fillId="0" borderId="0" xfId="1" applyFont="1" applyAlignment="1" applyProtection="1">
      <alignment vertical="center"/>
      <protection hidden="1"/>
    </xf>
    <xf numFmtId="0" fontId="10" fillId="0" borderId="0" xfId="1" applyFont="1" applyAlignment="1" applyProtection="1">
      <alignment vertical="center"/>
      <protection hidden="1"/>
    </xf>
    <xf numFmtId="0" fontId="11" fillId="5" borderId="2" xfId="1" applyFont="1" applyFill="1" applyBorder="1" applyAlignment="1" applyProtection="1">
      <alignment horizontal="center" vertical="center"/>
      <protection locked="0" hidden="1"/>
    </xf>
    <xf numFmtId="0" fontId="11" fillId="5" borderId="2" xfId="1" applyFont="1" applyFill="1" applyBorder="1" applyAlignment="1" applyProtection="1">
      <alignment horizontal="center" vertical="center" wrapText="1"/>
      <protection locked="0" hidden="1"/>
    </xf>
    <xf numFmtId="0" fontId="9" fillId="5" borderId="2" xfId="1" applyFont="1" applyFill="1" applyBorder="1" applyAlignment="1" applyProtection="1">
      <alignment horizontal="center" vertical="center" wrapText="1"/>
      <protection locked="0" hidden="1"/>
    </xf>
    <xf numFmtId="0" fontId="11" fillId="5" borderId="2" xfId="1" quotePrefix="1" applyFont="1" applyFill="1" applyBorder="1" applyAlignment="1" applyProtection="1">
      <alignment horizontal="center" vertical="center" wrapText="1"/>
      <protection locked="0" hidden="1"/>
    </xf>
    <xf numFmtId="14" fontId="11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4" fontId="11" fillId="5" borderId="2" xfId="1" quotePrefix="1" applyNumberFormat="1" applyFont="1" applyFill="1" applyBorder="1" applyAlignment="1" applyProtection="1">
      <alignment horizontal="center" vertical="center"/>
      <protection locked="0" hidden="1"/>
    </xf>
    <xf numFmtId="0" fontId="4" fillId="5" borderId="2" xfId="1" applyFont="1" applyFill="1" applyBorder="1" applyAlignment="1" applyProtection="1">
      <alignment horizontal="center" vertical="center" wrapText="1"/>
      <protection locked="0" hidden="1"/>
    </xf>
    <xf numFmtId="0" fontId="4" fillId="5" borderId="2" xfId="1" quotePrefix="1" applyFont="1" applyFill="1" applyBorder="1" applyAlignment="1" applyProtection="1">
      <alignment horizontal="center" vertical="center" wrapText="1"/>
      <protection locked="0" hidden="1"/>
    </xf>
    <xf numFmtId="0" fontId="4" fillId="5" borderId="2" xfId="1" applyFont="1" applyFill="1" applyBorder="1" applyAlignment="1" applyProtection="1">
      <alignment vertical="center"/>
      <protection hidden="1"/>
    </xf>
    <xf numFmtId="0" fontId="4" fillId="5" borderId="2" xfId="1" applyFont="1" applyFill="1" applyBorder="1" applyAlignment="1" applyProtection="1">
      <alignment horizontal="center" vertical="center"/>
      <protection hidden="1"/>
    </xf>
    <xf numFmtId="165" fontId="11" fillId="5" borderId="2" xfId="1" quotePrefix="1" applyNumberFormat="1" applyFont="1" applyFill="1" applyBorder="1" applyAlignment="1" applyProtection="1">
      <alignment horizontal="center" vertical="center" wrapText="1"/>
      <protection locked="0" hidden="1"/>
    </xf>
    <xf numFmtId="15" fontId="9" fillId="5" borderId="2" xfId="1" quotePrefix="1" applyNumberFormat="1" applyFont="1" applyFill="1" applyBorder="1" applyAlignment="1" applyProtection="1">
      <alignment horizontal="center" vertical="center" wrapText="1"/>
      <protection hidden="1"/>
    </xf>
    <xf numFmtId="1" fontId="9" fillId="5" borderId="2" xfId="2" applyNumberFormat="1" applyFont="1" applyFill="1" applyBorder="1" applyAlignment="1" applyProtection="1">
      <alignment horizontal="center" vertical="center" wrapText="1"/>
      <protection hidden="1"/>
    </xf>
    <xf numFmtId="0" fontId="11" fillId="5" borderId="2" xfId="2" quotePrefix="1" applyFont="1" applyFill="1" applyBorder="1" applyAlignment="1" applyProtection="1">
      <alignment horizontal="center" vertical="center" wrapText="1"/>
      <protection hidden="1"/>
    </xf>
    <xf numFmtId="0" fontId="3" fillId="5" borderId="2" xfId="1" applyFont="1" applyFill="1" applyBorder="1" applyAlignment="1" applyProtection="1">
      <alignment horizontal="center" vertical="center" wrapText="1"/>
      <protection hidden="1"/>
    </xf>
    <xf numFmtId="0" fontId="4" fillId="5" borderId="2" xfId="1" quotePrefix="1" applyFont="1" applyFill="1" applyBorder="1" applyAlignment="1" applyProtection="1">
      <alignment horizontal="center" vertical="center" wrapText="1"/>
      <protection hidden="1"/>
    </xf>
    <xf numFmtId="166" fontId="11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3" fillId="5" borderId="2" xfId="1" applyFont="1" applyFill="1" applyBorder="1" applyAlignment="1" applyProtection="1">
      <alignment horizontal="center" vertical="center" wrapText="1"/>
      <protection locked="0" hidden="1"/>
    </xf>
    <xf numFmtId="0" fontId="2" fillId="6" borderId="2" xfId="1" applyFont="1" applyFill="1" applyBorder="1" applyAlignment="1" applyProtection="1">
      <alignment horizontal="center" vertical="center"/>
      <protection locked="0" hidden="1"/>
    </xf>
    <xf numFmtId="0" fontId="2" fillId="6" borderId="3" xfId="1" applyFont="1" applyFill="1" applyBorder="1" applyAlignment="1" applyProtection="1">
      <alignment horizontal="center" vertical="center"/>
      <protection locked="0" hidden="1"/>
    </xf>
    <xf numFmtId="0" fontId="8" fillId="6" borderId="2" xfId="1" applyFont="1" applyFill="1" applyBorder="1" applyAlignment="1" applyProtection="1">
      <alignment horizontal="center" vertical="center" wrapText="1"/>
      <protection locked="0" hidden="1"/>
    </xf>
    <xf numFmtId="0" fontId="8" fillId="6" borderId="2" xfId="1" applyFont="1" applyFill="1" applyBorder="1" applyAlignment="1" applyProtection="1">
      <alignment horizontal="center" vertical="center" wrapText="1"/>
      <protection hidden="1"/>
    </xf>
    <xf numFmtId="0" fontId="9" fillId="6" borderId="2" xfId="1" applyFont="1" applyFill="1" applyBorder="1" applyAlignment="1" applyProtection="1">
      <alignment horizontal="center" vertical="center" wrapText="1"/>
      <protection locked="0" hidden="1"/>
    </xf>
    <xf numFmtId="0" fontId="3" fillId="6" borderId="2" xfId="1" applyFont="1" applyFill="1" applyBorder="1" applyAlignment="1" applyProtection="1">
      <alignment horizontal="center" vertical="center" wrapText="1"/>
      <protection hidden="1"/>
    </xf>
    <xf numFmtId="15" fontId="3" fillId="6" borderId="2" xfId="1" applyNumberFormat="1" applyFont="1" applyFill="1" applyBorder="1" applyAlignment="1" applyProtection="1">
      <alignment horizontal="center" vertical="center" wrapText="1"/>
      <protection hidden="1"/>
    </xf>
    <xf numFmtId="0" fontId="11" fillId="5" borderId="2" xfId="1" quotePrefix="1" applyFont="1" applyFill="1" applyBorder="1" applyAlignment="1" applyProtection="1">
      <alignment horizontal="center" vertical="center"/>
      <protection locked="0" hidden="1"/>
    </xf>
    <xf numFmtId="1" fontId="9" fillId="5" borderId="2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5" borderId="2" xfId="2" applyFont="1" applyFill="1" applyBorder="1" applyAlignment="1" applyProtection="1">
      <alignment horizontal="center" vertical="center" wrapText="1"/>
      <protection locked="0" hidden="1"/>
    </xf>
    <xf numFmtId="0" fontId="24" fillId="0" borderId="2" xfId="1" quotePrefix="1" applyFont="1" applyBorder="1" applyAlignment="1" applyProtection="1">
      <alignment horizontal="center" vertical="center" wrapText="1"/>
      <protection locked="0" hidden="1"/>
    </xf>
    <xf numFmtId="14" fontId="4" fillId="0" borderId="2" xfId="1" applyNumberFormat="1" applyFont="1" applyBorder="1" applyAlignment="1" applyProtection="1">
      <alignment horizontal="center" vertical="center"/>
      <protection hidden="1"/>
    </xf>
    <xf numFmtId="15" fontId="4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0" fontId="4" fillId="0" borderId="2" xfId="1" applyFont="1" applyBorder="1" applyAlignment="1" applyProtection="1">
      <alignment vertical="center"/>
      <protection locked="0" hidden="1"/>
    </xf>
    <xf numFmtId="16" fontId="11" fillId="0" borderId="2" xfId="1" quotePrefix="1" applyNumberFormat="1" applyFont="1" applyBorder="1" applyAlignment="1" applyProtection="1">
      <alignment horizontal="center" vertical="center"/>
      <protection locked="0" hidden="1"/>
    </xf>
    <xf numFmtId="16" fontId="11" fillId="0" borderId="2" xfId="1" quotePrefix="1" applyNumberFormat="1" applyFont="1" applyBorder="1" applyAlignment="1" applyProtection="1">
      <alignment horizontal="center" vertical="center"/>
      <protection hidden="1"/>
    </xf>
    <xf numFmtId="16" fontId="4" fillId="0" borderId="2" xfId="1" quotePrefix="1" applyNumberFormat="1" applyFont="1" applyBorder="1" applyAlignment="1" applyProtection="1">
      <alignment horizontal="center" vertical="center"/>
      <protection hidden="1"/>
    </xf>
    <xf numFmtId="16" fontId="11" fillId="0" borderId="2" xfId="1" quotePrefix="1" applyNumberFormat="1" applyFont="1" applyBorder="1" applyAlignment="1" applyProtection="1">
      <alignment horizontal="center" vertical="center" wrapText="1"/>
      <protection locked="0" hidden="1"/>
    </xf>
    <xf numFmtId="15" fontId="11" fillId="0" borderId="2" xfId="1" applyNumberFormat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3" fillId="8" borderId="2" xfId="1" applyFont="1" applyFill="1" applyBorder="1" applyAlignment="1" applyProtection="1">
      <alignment horizontal="center" vertical="center" wrapText="1"/>
      <protection hidden="1"/>
    </xf>
    <xf numFmtId="0" fontId="9" fillId="9" borderId="2" xfId="1" applyFont="1" applyFill="1" applyBorder="1" applyAlignment="1" applyProtection="1">
      <alignment horizontal="center" vertical="center" wrapText="1"/>
      <protection locked="0" hidden="1"/>
    </xf>
    <xf numFmtId="1" fontId="9" fillId="9" borderId="2" xfId="2" applyNumberFormat="1" applyFont="1" applyFill="1" applyBorder="1" applyAlignment="1" applyProtection="1">
      <alignment horizontal="center" vertical="center" wrapText="1"/>
      <protection hidden="1"/>
    </xf>
    <xf numFmtId="15" fontId="4" fillId="0" borderId="0" xfId="1" applyNumberFormat="1" applyFont="1" applyAlignment="1" applyProtection="1">
      <alignment horizontal="center" vertical="center"/>
      <protection hidden="1"/>
    </xf>
    <xf numFmtId="1" fontId="9" fillId="8" borderId="2" xfId="2" applyNumberFormat="1" applyFont="1" applyFill="1" applyBorder="1" applyAlignment="1" applyProtection="1">
      <alignment horizontal="center" vertical="center" wrapText="1"/>
      <protection locked="0" hidden="1"/>
    </xf>
    <xf numFmtId="0" fontId="26" fillId="0" borderId="0" xfId="6" applyFont="1"/>
    <xf numFmtId="0" fontId="26" fillId="0" borderId="0" xfId="6" applyFont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7" fillId="0" borderId="2" xfId="6" applyFont="1" applyBorder="1" applyAlignment="1" applyProtection="1">
      <alignment horizontal="center" vertical="center" wrapText="1"/>
      <protection locked="0" hidden="1"/>
    </xf>
    <xf numFmtId="0" fontId="28" fillId="0" borderId="3" xfId="6" applyFont="1" applyBorder="1" applyAlignment="1" applyProtection="1">
      <alignment horizontal="left" vertical="center" wrapText="1"/>
      <protection locked="0" hidden="1"/>
    </xf>
    <xf numFmtId="0" fontId="28" fillId="0" borderId="2" xfId="6" applyFont="1" applyBorder="1" applyAlignment="1" applyProtection="1">
      <alignment horizontal="center" vertical="center" wrapText="1"/>
      <protection locked="0" hidden="1"/>
    </xf>
    <xf numFmtId="0" fontId="26" fillId="0" borderId="0" xfId="6" applyFont="1" applyAlignment="1">
      <alignment vertical="center"/>
    </xf>
    <xf numFmtId="1" fontId="26" fillId="0" borderId="2" xfId="6" applyNumberFormat="1" applyFont="1" applyBorder="1" applyAlignment="1">
      <alignment horizontal="center" vertical="center"/>
    </xf>
    <xf numFmtId="0" fontId="27" fillId="11" borderId="2" xfId="6" quotePrefix="1" applyFont="1" applyFill="1" applyBorder="1" applyAlignment="1" applyProtection="1">
      <alignment horizontal="center" vertical="center" wrapText="1"/>
      <protection locked="0" hidden="1"/>
    </xf>
    <xf numFmtId="0" fontId="27" fillId="11" borderId="2" xfId="6" applyFont="1" applyFill="1" applyBorder="1" applyAlignment="1" applyProtection="1">
      <alignment horizontal="center" vertical="center" wrapText="1"/>
      <protection locked="0" hidden="1"/>
    </xf>
    <xf numFmtId="0" fontId="30" fillId="0" borderId="2" xfId="6" applyFont="1" applyBorder="1" applyAlignment="1">
      <alignment horizontal="center" vertical="center"/>
    </xf>
    <xf numFmtId="0" fontId="31" fillId="0" borderId="8" xfId="1" applyFont="1" applyBorder="1" applyAlignment="1">
      <alignment horizontal="center" vertical="center" wrapText="1"/>
    </xf>
    <xf numFmtId="0" fontId="31" fillId="0" borderId="2" xfId="1" applyFon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30" fillId="0" borderId="0" xfId="6" applyFont="1"/>
    <xf numFmtId="0" fontId="30" fillId="11" borderId="2" xfId="6" applyFont="1" applyFill="1" applyBorder="1" applyAlignment="1">
      <alignment horizontal="center" vertical="center"/>
    </xf>
    <xf numFmtId="0" fontId="28" fillId="0" borderId="7" xfId="6" applyFont="1" applyBorder="1" applyAlignment="1" applyProtection="1">
      <alignment horizontal="left" vertical="center" wrapText="1"/>
      <protection locked="0" hidden="1"/>
    </xf>
    <xf numFmtId="0" fontId="26" fillId="0" borderId="4" xfId="6" applyFont="1" applyBorder="1" applyAlignment="1">
      <alignment horizontal="center" vertical="center"/>
    </xf>
    <xf numFmtId="0" fontId="28" fillId="0" borderId="2" xfId="6" applyFont="1" applyBorder="1" applyAlignment="1" applyProtection="1">
      <alignment horizontal="left" vertical="center" wrapText="1"/>
      <protection locked="0" hidden="1"/>
    </xf>
    <xf numFmtId="0" fontId="33" fillId="0" borderId="2" xfId="6" applyFont="1" applyBorder="1" applyAlignment="1" applyProtection="1">
      <alignment horizontal="center" vertical="center" wrapText="1"/>
      <protection locked="0" hidden="1"/>
    </xf>
    <xf numFmtId="0" fontId="4" fillId="7" borderId="2" xfId="1" applyFont="1" applyFill="1" applyBorder="1" applyAlignment="1" applyProtection="1">
      <alignment vertical="center" wrapText="1"/>
      <protection locked="0" hidden="1"/>
    </xf>
    <xf numFmtId="0" fontId="27" fillId="0" borderId="2" xfId="6" applyFont="1" applyBorder="1" applyAlignment="1" applyProtection="1">
      <alignment horizontal="left" vertical="center" wrapText="1"/>
      <protection locked="0" hidden="1"/>
    </xf>
    <xf numFmtId="0" fontId="32" fillId="0" borderId="0" xfId="1" applyFont="1" applyAlignment="1">
      <alignment horizontal="center" vertical="center" wrapText="1"/>
    </xf>
    <xf numFmtId="0" fontId="29" fillId="0" borderId="3" xfId="6" applyFont="1" applyBorder="1" applyAlignment="1" applyProtection="1">
      <alignment horizontal="center" vertical="center" wrapText="1"/>
      <protection locked="0" hidden="1"/>
    </xf>
    <xf numFmtId="0" fontId="29" fillId="0" borderId="7" xfId="6" applyFont="1" applyBorder="1" applyAlignment="1" applyProtection="1">
      <alignment horizontal="center" vertical="center" wrapText="1"/>
      <protection locked="0" hidden="1"/>
    </xf>
    <xf numFmtId="0" fontId="29" fillId="0" borderId="4" xfId="6" applyFont="1" applyBorder="1" applyAlignment="1" applyProtection="1">
      <alignment horizontal="center" vertical="center" wrapText="1"/>
      <protection locked="0" hidden="1"/>
    </xf>
    <xf numFmtId="0" fontId="29" fillId="10" borderId="3" xfId="6" applyFont="1" applyFill="1" applyBorder="1" applyAlignment="1" applyProtection="1">
      <alignment horizontal="center" vertical="center" wrapText="1"/>
      <protection locked="0" hidden="1"/>
    </xf>
    <xf numFmtId="0" fontId="29" fillId="10" borderId="7" xfId="6" applyFont="1" applyFill="1" applyBorder="1" applyAlignment="1" applyProtection="1">
      <alignment horizontal="center" vertical="center" wrapText="1"/>
      <protection locked="0" hidden="1"/>
    </xf>
    <xf numFmtId="0" fontId="29" fillId="10" borderId="4" xfId="6" applyFont="1" applyFill="1" applyBorder="1" applyAlignment="1" applyProtection="1">
      <alignment horizontal="center" vertical="center" wrapText="1"/>
      <protection locked="0" hidden="1"/>
    </xf>
    <xf numFmtId="0" fontId="4" fillId="0" borderId="3" xfId="1" quotePrefix="1" applyFont="1" applyBorder="1" applyAlignment="1">
      <alignment horizontal="left" vertical="center" wrapText="1"/>
    </xf>
    <xf numFmtId="0" fontId="4" fillId="0" borderId="4" xfId="1" quotePrefix="1" applyFont="1" applyBorder="1" applyAlignment="1">
      <alignment horizontal="left" vertical="center" wrapText="1"/>
    </xf>
    <xf numFmtId="0" fontId="9" fillId="0" borderId="3" xfId="1" applyFont="1" applyBorder="1" applyAlignment="1" applyProtection="1">
      <alignment horizontal="left" vertical="center" wrapText="1"/>
      <protection locked="0" hidden="1"/>
    </xf>
    <xf numFmtId="0" fontId="9" fillId="0" borderId="4" xfId="1" applyFont="1" applyBorder="1" applyAlignment="1" applyProtection="1">
      <alignment horizontal="left" vertical="center" wrapText="1"/>
      <protection locked="0" hidden="1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9" fillId="5" borderId="3" xfId="1" applyFont="1" applyFill="1" applyBorder="1" applyAlignment="1" applyProtection="1">
      <alignment horizontal="left" vertical="center"/>
      <protection locked="0" hidden="1"/>
    </xf>
    <xf numFmtId="0" fontId="9" fillId="5" borderId="4" xfId="1" applyFont="1" applyFill="1" applyBorder="1" applyAlignment="1" applyProtection="1">
      <alignment horizontal="left" vertical="center"/>
      <protection locked="0" hidden="1"/>
    </xf>
    <xf numFmtId="0" fontId="4" fillId="5" borderId="3" xfId="1" applyFont="1" applyFill="1" applyBorder="1" applyAlignment="1">
      <alignment horizontal="left" vertical="center" wrapText="1"/>
    </xf>
    <xf numFmtId="0" fontId="4" fillId="5" borderId="4" xfId="1" applyFont="1" applyFill="1" applyBorder="1" applyAlignment="1">
      <alignment horizontal="left" vertical="center" wrapText="1"/>
    </xf>
    <xf numFmtId="0" fontId="9" fillId="0" borderId="3" xfId="1" applyFont="1" applyBorder="1" applyAlignment="1" applyProtection="1">
      <alignment horizontal="left" vertical="center"/>
      <protection locked="0" hidden="1"/>
    </xf>
    <xf numFmtId="0" fontId="9" fillId="0" borderId="4" xfId="1" applyFont="1" applyBorder="1" applyAlignment="1" applyProtection="1">
      <alignment horizontal="left" vertical="center"/>
      <protection locked="0" hidden="1"/>
    </xf>
    <xf numFmtId="0" fontId="2" fillId="0" borderId="0" xfId="1" applyFont="1" applyAlignment="1" applyProtection="1">
      <alignment horizontal="center" vertical="top" wrapText="1"/>
      <protection locked="0" hidden="1"/>
    </xf>
    <xf numFmtId="0" fontId="8" fillId="6" borderId="3" xfId="1" applyFont="1" applyFill="1" applyBorder="1" applyAlignment="1" applyProtection="1">
      <alignment horizontal="center" vertical="center" wrapText="1"/>
      <protection locked="0" hidden="1"/>
    </xf>
    <xf numFmtId="0" fontId="8" fillId="6" borderId="4" xfId="1" applyFont="1" applyFill="1" applyBorder="1" applyAlignment="1" applyProtection="1">
      <alignment horizontal="center" vertical="center" wrapText="1"/>
      <protection locked="0" hidden="1"/>
    </xf>
    <xf numFmtId="0" fontId="9" fillId="0" borderId="3" xfId="1" applyFont="1" applyBorder="1" applyAlignment="1" applyProtection="1">
      <alignment horizontal="center" vertical="center" wrapText="1"/>
      <protection locked="0" hidden="1"/>
    </xf>
    <xf numFmtId="0" fontId="9" fillId="0" borderId="4" xfId="1" applyFont="1" applyBorder="1" applyAlignment="1" applyProtection="1">
      <alignment horizontal="center" vertical="center" wrapText="1"/>
      <protection locked="0" hidden="1"/>
    </xf>
    <xf numFmtId="0" fontId="11" fillId="0" borderId="3" xfId="1" quotePrefix="1" applyFont="1" applyBorder="1" applyAlignment="1" applyProtection="1">
      <alignment horizontal="center" vertical="center" wrapText="1"/>
      <protection locked="0" hidden="1"/>
    </xf>
    <xf numFmtId="0" fontId="11" fillId="0" borderId="7" xfId="1" quotePrefix="1" applyFont="1" applyBorder="1" applyAlignment="1" applyProtection="1">
      <alignment horizontal="center" vertical="center" wrapText="1"/>
      <protection locked="0" hidden="1"/>
    </xf>
    <xf numFmtId="0" fontId="11" fillId="0" borderId="4" xfId="1" quotePrefix="1" applyFont="1" applyBorder="1" applyAlignment="1" applyProtection="1">
      <alignment horizontal="center" vertical="center" wrapText="1"/>
      <protection locked="0" hidden="1"/>
    </xf>
    <xf numFmtId="0" fontId="9" fillId="5" borderId="3" xfId="1" applyFont="1" applyFill="1" applyBorder="1" applyAlignment="1" applyProtection="1">
      <alignment horizontal="left" vertical="center" wrapText="1"/>
      <protection locked="0" hidden="1"/>
    </xf>
    <xf numFmtId="0" fontId="9" fillId="5" borderId="4" xfId="1" applyFont="1" applyFill="1" applyBorder="1" applyAlignment="1" applyProtection="1">
      <alignment horizontal="left" vertical="center" wrapText="1"/>
      <protection locked="0" hidden="1"/>
    </xf>
    <xf numFmtId="0" fontId="9" fillId="7" borderId="3" xfId="1" applyFont="1" applyFill="1" applyBorder="1" applyAlignment="1" applyProtection="1">
      <alignment horizontal="left" vertical="center"/>
      <protection locked="0" hidden="1"/>
    </xf>
    <xf numFmtId="0" fontId="9" fillId="7" borderId="4" xfId="1" applyFont="1" applyFill="1" applyBorder="1" applyAlignment="1" applyProtection="1">
      <alignment horizontal="left" vertical="center"/>
      <protection locked="0" hidden="1"/>
    </xf>
    <xf numFmtId="0" fontId="9" fillId="7" borderId="3" xfId="1" applyFont="1" applyFill="1" applyBorder="1" applyAlignment="1" applyProtection="1">
      <alignment horizontal="left" vertical="center" wrapText="1"/>
      <protection locked="0" hidden="1"/>
    </xf>
    <xf numFmtId="0" fontId="9" fillId="7" borderId="4" xfId="1" applyFont="1" applyFill="1" applyBorder="1" applyAlignment="1" applyProtection="1">
      <alignment horizontal="left" vertical="center" wrapText="1"/>
      <protection locked="0" hidden="1"/>
    </xf>
    <xf numFmtId="0" fontId="9" fillId="0" borderId="3" xfId="1" applyFont="1" applyBorder="1" applyAlignment="1" applyProtection="1">
      <alignment horizontal="center" vertical="center"/>
      <protection locked="0" hidden="1"/>
    </xf>
    <xf numFmtId="0" fontId="9" fillId="0" borderId="4" xfId="1" applyFont="1" applyBorder="1" applyAlignment="1" applyProtection="1">
      <alignment horizontal="center" vertical="center"/>
      <protection locked="0" hidden="1"/>
    </xf>
    <xf numFmtId="0" fontId="3" fillId="0" borderId="3" xfId="1" applyFont="1" applyBorder="1" applyAlignment="1" applyProtection="1">
      <alignment horizontal="left" vertical="center" wrapText="1"/>
      <protection locked="0" hidden="1"/>
    </xf>
    <xf numFmtId="0" fontId="3" fillId="0" borderId="4" xfId="1" applyFont="1" applyBorder="1" applyAlignment="1" applyProtection="1">
      <alignment horizontal="left" vertical="center" wrapText="1"/>
      <protection locked="0" hidden="1"/>
    </xf>
    <xf numFmtId="0" fontId="3" fillId="0" borderId="3" xfId="1" applyFont="1" applyBorder="1" applyAlignment="1" applyProtection="1">
      <alignment horizontal="left" vertical="center" wrapText="1"/>
      <protection hidden="1"/>
    </xf>
    <xf numFmtId="0" fontId="3" fillId="0" borderId="4" xfId="1" applyFont="1" applyBorder="1" applyAlignment="1" applyProtection="1">
      <alignment horizontal="left" vertical="center" wrapText="1"/>
      <protection hidden="1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9" fillId="0" borderId="3" xfId="1" applyFont="1" applyBorder="1" applyAlignment="1" applyProtection="1">
      <alignment horizontal="left" vertical="center" wrapText="1"/>
      <protection hidden="1"/>
    </xf>
    <xf numFmtId="0" fontId="9" fillId="0" borderId="4" xfId="1" applyFont="1" applyBorder="1" applyAlignment="1" applyProtection="1">
      <alignment horizontal="left" vertical="center" wrapText="1"/>
      <protection hidden="1"/>
    </xf>
    <xf numFmtId="0" fontId="9" fillId="0" borderId="5" xfId="1" applyFont="1" applyBorder="1" applyAlignment="1" applyProtection="1">
      <alignment horizontal="left" vertical="center" wrapText="1"/>
      <protection hidden="1"/>
    </xf>
    <xf numFmtId="0" fontId="9" fillId="0" borderId="6" xfId="1" applyFont="1" applyBorder="1" applyAlignment="1" applyProtection="1">
      <alignment horizontal="left" vertical="center" wrapText="1"/>
      <protection hidden="1"/>
    </xf>
    <xf numFmtId="0" fontId="9" fillId="0" borderId="2" xfId="1" applyFont="1" applyBorder="1" applyAlignment="1" applyProtection="1">
      <alignment horizontal="left" vertical="center" wrapText="1"/>
      <protection hidden="1"/>
    </xf>
    <xf numFmtId="0" fontId="11" fillId="0" borderId="5" xfId="1" applyFont="1" applyBorder="1" applyAlignment="1" applyProtection="1">
      <alignment horizontal="left" vertical="center" wrapText="1"/>
      <protection hidden="1"/>
    </xf>
    <xf numFmtId="0" fontId="11" fillId="0" borderId="6" xfId="1" applyFont="1" applyBorder="1" applyAlignment="1" applyProtection="1">
      <alignment horizontal="left" vertical="center" wrapText="1"/>
      <protection hidden="1"/>
    </xf>
    <xf numFmtId="0" fontId="18" fillId="0" borderId="3" xfId="1" applyFont="1" applyBorder="1" applyAlignment="1" applyProtection="1">
      <alignment horizontal="center" vertical="center"/>
      <protection locked="0" hidden="1"/>
    </xf>
    <xf numFmtId="0" fontId="11" fillId="0" borderId="4" xfId="1" applyFont="1" applyBorder="1" applyAlignment="1" applyProtection="1">
      <alignment horizontal="center" vertical="center"/>
      <protection locked="0" hidden="1"/>
    </xf>
    <xf numFmtId="0" fontId="18" fillId="0" borderId="3" xfId="1" applyFont="1" applyBorder="1" applyAlignment="1" applyProtection="1">
      <alignment horizontal="left" vertical="center"/>
      <protection locked="0" hidden="1"/>
    </xf>
    <xf numFmtId="0" fontId="18" fillId="0" borderId="4" xfId="1" applyFont="1" applyBorder="1" applyAlignment="1" applyProtection="1">
      <alignment horizontal="left" vertical="center"/>
      <protection locked="0" hidden="1"/>
    </xf>
    <xf numFmtId="0" fontId="11" fillId="0" borderId="3" xfId="1" applyFont="1" applyBorder="1" applyAlignment="1" applyProtection="1">
      <alignment horizontal="left" vertical="center" wrapText="1"/>
      <protection hidden="1"/>
    </xf>
    <xf numFmtId="0" fontId="11" fillId="0" borderId="4" xfId="1" applyFont="1" applyBorder="1" applyAlignment="1" applyProtection="1">
      <alignment horizontal="left" vertical="center" wrapText="1"/>
      <protection hidden="1"/>
    </xf>
    <xf numFmtId="0" fontId="11" fillId="0" borderId="2" xfId="1" applyFont="1" applyBorder="1" applyAlignment="1" applyProtection="1">
      <alignment horizontal="left" vertical="center" wrapText="1"/>
      <protection hidden="1"/>
    </xf>
    <xf numFmtId="0" fontId="3" fillId="0" borderId="0" xfId="1" applyFont="1" applyAlignment="1" applyProtection="1">
      <alignment horizontal="left" vertical="center" wrapText="1"/>
      <protection hidden="1"/>
    </xf>
    <xf numFmtId="0" fontId="19" fillId="0" borderId="0" xfId="1" applyFont="1" applyAlignment="1" applyProtection="1">
      <alignment horizontal="left" vertical="center" wrapText="1"/>
      <protection hidden="1"/>
    </xf>
    <xf numFmtId="0" fontId="9" fillId="0" borderId="7" xfId="1" applyFont="1" applyBorder="1" applyAlignment="1" applyProtection="1">
      <alignment horizontal="center" vertical="center" wrapText="1"/>
      <protection locked="0" hidden="1"/>
    </xf>
    <xf numFmtId="0" fontId="9" fillId="0" borderId="7" xfId="1" applyFont="1" applyBorder="1" applyAlignment="1" applyProtection="1">
      <alignment horizontal="left" vertical="center"/>
      <protection locked="0" hidden="1"/>
    </xf>
    <xf numFmtId="0" fontId="4" fillId="0" borderId="0" xfId="1" applyFont="1" applyFill="1" applyAlignment="1" applyProtection="1">
      <alignment vertical="center"/>
      <protection hidden="1"/>
    </xf>
    <xf numFmtId="0" fontId="4" fillId="0" borderId="0" xfId="1" applyFont="1" applyFill="1" applyAlignment="1" applyProtection="1">
      <alignment horizontal="center" vertical="center"/>
      <protection hidden="1"/>
    </xf>
    <xf numFmtId="0" fontId="4" fillId="0" borderId="0" xfId="1" applyFont="1" applyFill="1" applyAlignment="1" applyProtection="1">
      <alignment vertical="center" wrapText="1"/>
      <protection hidden="1"/>
    </xf>
    <xf numFmtId="1" fontId="26" fillId="11" borderId="2" xfId="6" applyNumberFormat="1" applyFont="1" applyFill="1" applyBorder="1" applyAlignment="1">
      <alignment horizontal="center" vertical="center"/>
    </xf>
    <xf numFmtId="0" fontId="30" fillId="11" borderId="2" xfId="6" applyFont="1" applyFill="1" applyBorder="1" applyAlignment="1">
      <alignment horizontal="center" vertical="center"/>
    </xf>
    <xf numFmtId="0" fontId="3" fillId="8" borderId="0" xfId="1" applyFont="1" applyFill="1" applyBorder="1" applyAlignment="1" applyProtection="1">
      <alignment horizontal="center" vertical="center" wrapText="1"/>
      <protection hidden="1"/>
    </xf>
    <xf numFmtId="0" fontId="28" fillId="11" borderId="2" xfId="6" applyFont="1" applyFill="1" applyBorder="1" applyAlignment="1" applyProtection="1">
      <alignment horizontal="center" vertical="center" wrapText="1"/>
      <protection locked="0" hidden="1"/>
    </xf>
    <xf numFmtId="0" fontId="33" fillId="11" borderId="2" xfId="6" applyFont="1" applyFill="1" applyBorder="1" applyAlignment="1" applyProtection="1">
      <alignment horizontal="center" vertical="center" wrapText="1"/>
      <protection locked="0" hidden="1"/>
    </xf>
    <xf numFmtId="0" fontId="26" fillId="0" borderId="2" xfId="6" quotePrefix="1" applyFont="1" applyBorder="1" applyAlignment="1">
      <alignment horizontal="center" vertical="center"/>
    </xf>
    <xf numFmtId="0" fontId="27" fillId="11" borderId="3" xfId="6" applyFont="1" applyFill="1" applyBorder="1" applyAlignment="1" applyProtection="1">
      <alignment horizontal="center" vertical="center" wrapText="1"/>
      <protection locked="0" hidden="1"/>
    </xf>
    <xf numFmtId="0" fontId="27" fillId="11" borderId="7" xfId="6" applyFont="1" applyFill="1" applyBorder="1" applyAlignment="1" applyProtection="1">
      <alignment horizontal="center" vertical="center" wrapText="1"/>
      <protection locked="0" hidden="1"/>
    </xf>
    <xf numFmtId="0" fontId="27" fillId="11" borderId="4" xfId="6" applyFont="1" applyFill="1" applyBorder="1" applyAlignment="1" applyProtection="1">
      <alignment horizontal="center" vertical="center" wrapText="1"/>
      <protection locked="0" hidden="1"/>
    </xf>
    <xf numFmtId="1" fontId="30" fillId="11" borderId="2" xfId="6" applyNumberFormat="1" applyFont="1" applyFill="1" applyBorder="1" applyAlignment="1">
      <alignment horizontal="center" vertical="center"/>
    </xf>
    <xf numFmtId="0" fontId="11" fillId="12" borderId="2" xfId="1" applyFont="1" applyFill="1" applyBorder="1" applyAlignment="1" applyProtection="1">
      <alignment horizontal="center" vertical="center"/>
      <protection locked="0" hidden="1"/>
    </xf>
    <xf numFmtId="0" fontId="4" fillId="12" borderId="2" xfId="1" applyFont="1" applyFill="1" applyBorder="1" applyAlignment="1" applyProtection="1">
      <alignment vertical="center" wrapText="1"/>
      <protection locked="0" hidden="1"/>
    </xf>
  </cellXfs>
  <cellStyles count="7">
    <cellStyle name="Comma [0] 2" xfId="5" xr:uid="{73D7AAC1-D6F5-4A83-B8C9-507838FAEFDC}"/>
    <cellStyle name="Normal" xfId="0" builtinId="0"/>
    <cellStyle name="Normal 2" xfId="1" xr:uid="{3B880EF5-B017-4170-9ED6-955E612E9B28}"/>
    <cellStyle name="Normal 2 2" xfId="3" xr:uid="{FE7E4A6B-20C5-4160-B072-4B97E635544F}"/>
    <cellStyle name="Normal 3" xfId="4" xr:uid="{C80613B6-FFC1-4DB4-A699-B6C8421676D0}"/>
    <cellStyle name="Normal 5 10 2" xfId="6" xr:uid="{450E0CA6-3DA9-4C95-A2B1-0E4C2F42FA6D}"/>
    <cellStyle name="Normal_duk guru 06" xfId="2" xr:uid="{A9679966-10CC-4BEA-B149-90DF094E7EE9}"/>
  </cellStyles>
  <dxfs count="72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5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5" tint="0.39994506668294322"/>
        </patternFill>
      </fill>
    </dxf>
    <dxf>
      <fill>
        <patternFill>
          <bgColor theme="0" tint="-4.9989318521683403E-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33CC3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488</xdr:row>
      <xdr:rowOff>0</xdr:rowOff>
    </xdr:from>
    <xdr:to>
      <xdr:col>3</xdr:col>
      <xdr:colOff>609600</xdr:colOff>
      <xdr:row>488</xdr:row>
      <xdr:rowOff>28575</xdr:rowOff>
    </xdr:to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A8F6C6-A56F-4516-AC51-DA714E302B4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36702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609600</xdr:colOff>
      <xdr:row>488</xdr:row>
      <xdr:rowOff>28575</xdr:rowOff>
    </xdr:to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446EC3-BB5C-40F0-9B63-E4FE8CCA6624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36702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5A3FD5-FA6E-4A79-8370-8B2972000A64}"/>
            </a:ext>
          </a:extLst>
        </xdr:cNvPr>
        <xdr:cNvSpPr>
          <a:spLocks noChangeAspect="1" noChangeArrowheads="1"/>
        </xdr:cNvSpPr>
      </xdr:nvSpPr>
      <xdr:spPr bwMode="auto">
        <a:xfrm>
          <a:off x="1508760" y="50673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76C3EE-422E-4118-9193-93A389D5F6C6}"/>
            </a:ext>
          </a:extLst>
        </xdr:cNvPr>
        <xdr:cNvSpPr>
          <a:spLocks noChangeAspect="1" noChangeArrowheads="1"/>
        </xdr:cNvSpPr>
      </xdr:nvSpPr>
      <xdr:spPr bwMode="auto">
        <a:xfrm>
          <a:off x="1508760" y="50673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A7F426-3D4E-4016-80D9-F75D14F7211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50673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054722D-76D9-489E-A39B-621FF47D277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70866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0EDB3D-22A0-4595-86BB-AC3109E4C495}"/>
            </a:ext>
          </a:extLst>
        </xdr:cNvPr>
        <xdr:cNvSpPr>
          <a:spLocks noChangeAspect="1" noChangeArrowheads="1"/>
        </xdr:cNvSpPr>
      </xdr:nvSpPr>
      <xdr:spPr bwMode="auto">
        <a:xfrm>
          <a:off x="1508760" y="70866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9EDD63-47AE-4912-87F4-D4AFFB2E4C1F}"/>
            </a:ext>
          </a:extLst>
        </xdr:cNvPr>
        <xdr:cNvSpPr>
          <a:spLocks noChangeAspect="1" noChangeArrowheads="1"/>
        </xdr:cNvSpPr>
      </xdr:nvSpPr>
      <xdr:spPr bwMode="auto">
        <a:xfrm>
          <a:off x="1508760" y="70866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9A00C0-D5C5-4C1C-B41C-22710C526B3E}"/>
            </a:ext>
          </a:extLst>
        </xdr:cNvPr>
        <xdr:cNvSpPr>
          <a:spLocks noChangeAspect="1" noChangeArrowheads="1"/>
        </xdr:cNvSpPr>
      </xdr:nvSpPr>
      <xdr:spPr bwMode="auto">
        <a:xfrm>
          <a:off x="1508760" y="70866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EE9C1D-2FE2-4F75-9761-B677EBD2143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62788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B29611-4F9F-4A5C-B8BF-A1965D9565BA}"/>
            </a:ext>
          </a:extLst>
        </xdr:cNvPr>
        <xdr:cNvSpPr>
          <a:spLocks noChangeAspect="1" noChangeArrowheads="1"/>
        </xdr:cNvSpPr>
      </xdr:nvSpPr>
      <xdr:spPr bwMode="auto">
        <a:xfrm>
          <a:off x="1508760" y="62788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8F7340-90E1-4AF6-89B2-2F0A1254508B}"/>
            </a:ext>
          </a:extLst>
        </xdr:cNvPr>
        <xdr:cNvSpPr>
          <a:spLocks noChangeAspect="1" noChangeArrowheads="1"/>
        </xdr:cNvSpPr>
      </xdr:nvSpPr>
      <xdr:spPr bwMode="auto">
        <a:xfrm>
          <a:off x="1508760" y="62788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3BF94F-4046-489C-BA4B-54B8E82F856B}"/>
            </a:ext>
          </a:extLst>
        </xdr:cNvPr>
        <xdr:cNvSpPr>
          <a:spLocks noChangeAspect="1" noChangeArrowheads="1"/>
        </xdr:cNvSpPr>
      </xdr:nvSpPr>
      <xdr:spPr bwMode="auto">
        <a:xfrm>
          <a:off x="1508760" y="62788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3</xdr:col>
      <xdr:colOff>219075</xdr:colOff>
      <xdr:row>170</xdr:row>
      <xdr:rowOff>28575</xdr:rowOff>
    </xdr:to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4BE6B1-1783-44F0-A26D-4DEE3E2FD53F}"/>
            </a:ext>
          </a:extLst>
        </xdr:cNvPr>
        <xdr:cNvSpPr>
          <a:spLocks noChangeAspect="1" noChangeArrowheads="1"/>
        </xdr:cNvSpPr>
      </xdr:nvSpPr>
      <xdr:spPr bwMode="auto">
        <a:xfrm>
          <a:off x="1112520" y="668274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3</xdr:col>
      <xdr:colOff>219075</xdr:colOff>
      <xdr:row>170</xdr:row>
      <xdr:rowOff>28575</xdr:rowOff>
    </xdr:to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0A8C4A-1D12-4264-B8BA-B6DB38191767}"/>
            </a:ext>
          </a:extLst>
        </xdr:cNvPr>
        <xdr:cNvSpPr>
          <a:spLocks noChangeAspect="1" noChangeArrowheads="1"/>
        </xdr:cNvSpPr>
      </xdr:nvSpPr>
      <xdr:spPr bwMode="auto">
        <a:xfrm>
          <a:off x="1112520" y="668274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92B194-8DC7-4BF6-B4D2-1FAE9947CC8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48818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76972D8-383E-42D5-9DDC-DA8643CF9F9C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48818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D21D0B-DED7-48FF-A0B6-5CE2D794F688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48818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A9FB68-F519-463C-97E7-8014EF66C0C2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48818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87898D-CA3A-43BF-A854-A5C06848D549}"/>
            </a:ext>
          </a:extLst>
        </xdr:cNvPr>
        <xdr:cNvSpPr>
          <a:spLocks noChangeAspect="1" noChangeArrowheads="1"/>
        </xdr:cNvSpPr>
      </xdr:nvSpPr>
      <xdr:spPr bwMode="auto">
        <a:xfrm>
          <a:off x="1112520" y="1568958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713387-2C93-4F48-8DC7-3B14DFE387C2}"/>
            </a:ext>
          </a:extLst>
        </xdr:cNvPr>
        <xdr:cNvSpPr>
          <a:spLocks noChangeAspect="1" noChangeArrowheads="1"/>
        </xdr:cNvSpPr>
      </xdr:nvSpPr>
      <xdr:spPr bwMode="auto">
        <a:xfrm>
          <a:off x="1112520" y="1568958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464B1C-0B58-4113-BBC0-9B89A7483A1E}"/>
            </a:ext>
          </a:extLst>
        </xdr:cNvPr>
        <xdr:cNvSpPr>
          <a:spLocks noChangeAspect="1" noChangeArrowheads="1"/>
        </xdr:cNvSpPr>
      </xdr:nvSpPr>
      <xdr:spPr bwMode="auto">
        <a:xfrm>
          <a:off x="1112520" y="1568958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36DB18-CE7F-436D-A891-051BE4459900}"/>
            </a:ext>
          </a:extLst>
        </xdr:cNvPr>
        <xdr:cNvSpPr>
          <a:spLocks noChangeAspect="1" noChangeArrowheads="1"/>
        </xdr:cNvSpPr>
      </xdr:nvSpPr>
      <xdr:spPr bwMode="auto">
        <a:xfrm>
          <a:off x="1112520" y="15689580"/>
          <a:ext cx="61531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778</xdr:row>
      <xdr:rowOff>0</xdr:rowOff>
    </xdr:from>
    <xdr:to>
      <xdr:col>3</xdr:col>
      <xdr:colOff>609600</xdr:colOff>
      <xdr:row>778</xdr:row>
      <xdr:rowOff>28575</xdr:rowOff>
    </xdr:to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D70EB9-60E7-4900-9238-B40B290C3AA5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778</xdr:row>
      <xdr:rowOff>0</xdr:rowOff>
    </xdr:from>
    <xdr:to>
      <xdr:col>3</xdr:col>
      <xdr:colOff>609600</xdr:colOff>
      <xdr:row>778</xdr:row>
      <xdr:rowOff>28575</xdr:rowOff>
    </xdr:to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03A9F28-1798-48A9-8D5A-8CD52A389D27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71E88B-DB83-44C1-B828-1D4BC111F36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F19846-C26B-4E1E-8351-3D538B08150C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15FFB2-5B74-4C19-946C-F8CAC91F07BC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D91D74-5D1D-459B-B1EC-0D8F49ED9DF7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609600</xdr:colOff>
      <xdr:row>104</xdr:row>
      <xdr:rowOff>28575</xdr:rowOff>
    </xdr:to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670368-0A6E-4CD8-B18A-CBA443720140}"/>
            </a:ext>
          </a:extLst>
        </xdr:cNvPr>
        <xdr:cNvSpPr>
          <a:spLocks noChangeAspect="1" noChangeArrowheads="1"/>
        </xdr:cNvSpPr>
      </xdr:nvSpPr>
      <xdr:spPr bwMode="auto">
        <a:xfrm>
          <a:off x="1508760" y="54711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609600</xdr:colOff>
      <xdr:row>104</xdr:row>
      <xdr:rowOff>28575</xdr:rowOff>
    </xdr:to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A9A511-23CD-4C13-8000-4BB5F589692A}"/>
            </a:ext>
          </a:extLst>
        </xdr:cNvPr>
        <xdr:cNvSpPr>
          <a:spLocks noChangeAspect="1" noChangeArrowheads="1"/>
        </xdr:cNvSpPr>
      </xdr:nvSpPr>
      <xdr:spPr bwMode="auto">
        <a:xfrm>
          <a:off x="1508760" y="547116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3179A6-501B-4270-BF7A-8F8661E03B37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8876F0-398E-4412-AF61-395734E15103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381138-3A42-4EA6-A9B5-B360DB9D7144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4590D3-9E53-4CA8-80BB-9A5DB70ADFB9}"/>
            </a:ext>
          </a:extLst>
        </xdr:cNvPr>
        <xdr:cNvSpPr>
          <a:spLocks noChangeAspect="1" noChangeArrowheads="1"/>
        </xdr:cNvSpPr>
      </xdr:nvSpPr>
      <xdr:spPr bwMode="auto">
        <a:xfrm>
          <a:off x="1508760" y="1568958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9</xdr:col>
      <xdr:colOff>50138</xdr:colOff>
      <xdr:row>347</xdr:row>
      <xdr:rowOff>28575</xdr:rowOff>
    </xdr:to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92222D-8BCD-4707-A6E0-3C4FA25825F0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034796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9</xdr:col>
      <xdr:colOff>50138</xdr:colOff>
      <xdr:row>347</xdr:row>
      <xdr:rowOff>28575</xdr:rowOff>
    </xdr:to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15CC5A-A22A-4687-A070-242C3D32216B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034796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9</xdr:col>
      <xdr:colOff>50138</xdr:colOff>
      <xdr:row>347</xdr:row>
      <xdr:rowOff>28575</xdr:rowOff>
    </xdr:to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F3455F-2287-46CE-828E-BCBEC05958FC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034796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9</xdr:col>
      <xdr:colOff>50138</xdr:colOff>
      <xdr:row>347</xdr:row>
      <xdr:rowOff>28575</xdr:rowOff>
    </xdr:to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EC9526-87FC-41B9-A1B0-63B2AE798F11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034796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id-ID"/>
        </a:p>
      </xdr:txBody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9</xdr:col>
      <xdr:colOff>50138</xdr:colOff>
      <xdr:row>662</xdr:row>
      <xdr:rowOff>28575</xdr:rowOff>
    </xdr:to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5BC135-9E03-44BE-AAEC-ADDE6E9AC32A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9</xdr:col>
      <xdr:colOff>50138</xdr:colOff>
      <xdr:row>662</xdr:row>
      <xdr:rowOff>28575</xdr:rowOff>
    </xdr:to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029F905-D40F-4B3B-9FE1-4837BED9D311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9</xdr:col>
      <xdr:colOff>50138</xdr:colOff>
      <xdr:row>662</xdr:row>
      <xdr:rowOff>28575</xdr:rowOff>
    </xdr:to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73494C-89BF-4A16-846E-42385B0C4E78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33364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C052EA-F2B2-4379-BAB8-D9F5C64861E8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B2FA30-ABF0-45A2-BC7C-6CE6E9F6DB08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A45754-BDB8-4C7D-A8C2-5C5AE0DA8004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B2B449-E99B-4502-9ED1-A86B9616F439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836F2C-D877-4ADB-9259-99856C0E0C01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FBC161-B56A-46A1-96E1-8D9786AA70CA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3C947D-132F-41DB-ADFA-6A791C448FC5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AC997D-4F0A-45AE-8EE2-0F6E19E224C9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6A80E2-6CCE-4D39-8C7E-00EE0C7AD1C8}"/>
            </a:ext>
          </a:extLst>
        </xdr:cNvPr>
        <xdr:cNvSpPr>
          <a:spLocks noChangeAspect="1" noChangeArrowheads="1"/>
        </xdr:cNvSpPr>
      </xdr:nvSpPr>
      <xdr:spPr bwMode="auto">
        <a:xfrm>
          <a:off x="10347960" y="1568958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99273F-80FA-460F-B1C4-78EC9D79C6D7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F117C1-20E0-405A-86BF-A52E695D8C5E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0F38EF-4FAD-4873-AF6D-32448CE7E7C3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52B637-D174-4D49-8F93-09D30FFC06BE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C12231-EF03-479A-B58A-F630468677BC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23E95F-01E5-46C5-A836-1A73D1E96732}"/>
            </a:ext>
          </a:extLst>
        </xdr:cNvPr>
        <xdr:cNvSpPr>
          <a:spLocks noChangeAspect="1" noChangeArrowheads="1"/>
        </xdr:cNvSpPr>
      </xdr:nvSpPr>
      <xdr:spPr bwMode="auto">
        <a:xfrm>
          <a:off x="10452847" y="53071059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488</xdr:row>
      <xdr:rowOff>0</xdr:rowOff>
    </xdr:from>
    <xdr:to>
      <xdr:col>3</xdr:col>
      <xdr:colOff>609600</xdr:colOff>
      <xdr:row>488</xdr:row>
      <xdr:rowOff>28575</xdr:rowOff>
    </xdr:to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69B2DE-8773-4511-8519-21474DA0A299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00190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609600</xdr:colOff>
      <xdr:row>488</xdr:row>
      <xdr:rowOff>28575</xdr:rowOff>
    </xdr:to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A71FF3-BBA8-4187-86FD-528D85C408FD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00190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0E3B86-E764-4B7D-B635-B345FB096C34}"/>
            </a:ext>
          </a:extLst>
        </xdr:cNvPr>
        <xdr:cNvSpPr>
          <a:spLocks noChangeAspect="1" noChangeArrowheads="1"/>
        </xdr:cNvSpPr>
      </xdr:nvSpPr>
      <xdr:spPr bwMode="auto">
        <a:xfrm>
          <a:off x="1543050" y="34893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07926C-C791-421D-8BFD-DB8F582F53FE}"/>
            </a:ext>
          </a:extLst>
        </xdr:cNvPr>
        <xdr:cNvSpPr>
          <a:spLocks noChangeAspect="1" noChangeArrowheads="1"/>
        </xdr:cNvSpPr>
      </xdr:nvSpPr>
      <xdr:spPr bwMode="auto">
        <a:xfrm>
          <a:off x="1543050" y="34893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609600</xdr:colOff>
      <xdr:row>86</xdr:row>
      <xdr:rowOff>28575</xdr:rowOff>
    </xdr:to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421A1B1-7F8C-47F7-ABEF-2A1AAFCC24A9}"/>
            </a:ext>
          </a:extLst>
        </xdr:cNvPr>
        <xdr:cNvSpPr>
          <a:spLocks noChangeAspect="1" noChangeArrowheads="1"/>
        </xdr:cNvSpPr>
      </xdr:nvSpPr>
      <xdr:spPr bwMode="auto">
        <a:xfrm>
          <a:off x="1543050" y="34893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1C53D0-9E06-4B93-98B1-C76632A5168F}"/>
            </a:ext>
          </a:extLst>
        </xdr:cNvPr>
        <xdr:cNvSpPr>
          <a:spLocks noChangeAspect="1" noChangeArrowheads="1"/>
        </xdr:cNvSpPr>
      </xdr:nvSpPr>
      <xdr:spPr bwMode="auto">
        <a:xfrm>
          <a:off x="1543050" y="80556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7643C5-7164-4BA2-8202-386FAED59AE1}"/>
            </a:ext>
          </a:extLst>
        </xdr:cNvPr>
        <xdr:cNvSpPr>
          <a:spLocks noChangeAspect="1" noChangeArrowheads="1"/>
        </xdr:cNvSpPr>
      </xdr:nvSpPr>
      <xdr:spPr bwMode="auto">
        <a:xfrm>
          <a:off x="1543050" y="80556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0E1B0F-6C65-4BDB-A5C0-84104C099F55}"/>
            </a:ext>
          </a:extLst>
        </xdr:cNvPr>
        <xdr:cNvSpPr>
          <a:spLocks noChangeAspect="1" noChangeArrowheads="1"/>
        </xdr:cNvSpPr>
      </xdr:nvSpPr>
      <xdr:spPr bwMode="auto">
        <a:xfrm>
          <a:off x="1543050" y="80556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609600</xdr:colOff>
      <xdr:row>197</xdr:row>
      <xdr:rowOff>28575</xdr:rowOff>
    </xdr:to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7B0E8F-B923-44AA-B6AB-97AAEC69CC55}"/>
            </a:ext>
          </a:extLst>
        </xdr:cNvPr>
        <xdr:cNvSpPr>
          <a:spLocks noChangeAspect="1" noChangeArrowheads="1"/>
        </xdr:cNvSpPr>
      </xdr:nvSpPr>
      <xdr:spPr bwMode="auto">
        <a:xfrm>
          <a:off x="1543050" y="80556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2FF763-2A85-4638-B3E7-8D567AD1B3E1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0515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F25F06-E065-4DC2-B6B2-6C0DA2B534D2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0515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8F0E04-83CC-4D0D-B8D5-1AEF6F0C75C1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0515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609600</xdr:colOff>
      <xdr:row>148</xdr:row>
      <xdr:rowOff>28575</xdr:rowOff>
    </xdr:to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637E06-A7F6-4904-A7DF-C10DC190D176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0515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3</xdr:col>
      <xdr:colOff>219075</xdr:colOff>
      <xdr:row>170</xdr:row>
      <xdr:rowOff>28575</xdr:rowOff>
    </xdr:to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0D6608-7610-44BB-8C99-EE3E43529E34}"/>
            </a:ext>
          </a:extLst>
        </xdr:cNvPr>
        <xdr:cNvSpPr>
          <a:spLocks noChangeAspect="1" noChangeArrowheads="1"/>
        </xdr:cNvSpPr>
      </xdr:nvSpPr>
      <xdr:spPr bwMode="auto">
        <a:xfrm>
          <a:off x="1136650" y="6958330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3</xdr:col>
      <xdr:colOff>219075</xdr:colOff>
      <xdr:row>170</xdr:row>
      <xdr:rowOff>28575</xdr:rowOff>
    </xdr:to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CDBBC94-6322-4D4A-A3CD-EB27DF59DB0A}"/>
            </a:ext>
          </a:extLst>
        </xdr:cNvPr>
        <xdr:cNvSpPr>
          <a:spLocks noChangeAspect="1" noChangeArrowheads="1"/>
        </xdr:cNvSpPr>
      </xdr:nvSpPr>
      <xdr:spPr bwMode="auto">
        <a:xfrm>
          <a:off x="1136650" y="6958330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BBF991-68BA-4421-87A9-502CF6C8B4BB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35013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490273-DF67-46BC-B052-0D98FC24BEEE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35013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CB720A-0847-4BE2-AECC-C306E289BEAB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35013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609600</xdr:colOff>
      <xdr:row>570</xdr:row>
      <xdr:rowOff>28575</xdr:rowOff>
    </xdr:to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C399E7A-426E-40E3-8A2E-3E8412D98A04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35013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711747-F60F-4D83-BACD-7730187C7D37}"/>
            </a:ext>
          </a:extLst>
        </xdr:cNvPr>
        <xdr:cNvSpPr>
          <a:spLocks noChangeAspect="1" noChangeArrowheads="1"/>
        </xdr:cNvSpPr>
      </xdr:nvSpPr>
      <xdr:spPr bwMode="auto">
        <a:xfrm>
          <a:off x="1136650" y="25342215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6EE103-A04E-468A-B7F9-52958D652981}"/>
            </a:ext>
          </a:extLst>
        </xdr:cNvPr>
        <xdr:cNvSpPr>
          <a:spLocks noChangeAspect="1" noChangeArrowheads="1"/>
        </xdr:cNvSpPr>
      </xdr:nvSpPr>
      <xdr:spPr bwMode="auto">
        <a:xfrm>
          <a:off x="1136650" y="25342215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78B391-6A0E-4C8B-A8A2-DD534D0C197A}"/>
            </a:ext>
          </a:extLst>
        </xdr:cNvPr>
        <xdr:cNvSpPr>
          <a:spLocks noChangeAspect="1" noChangeArrowheads="1"/>
        </xdr:cNvSpPr>
      </xdr:nvSpPr>
      <xdr:spPr bwMode="auto">
        <a:xfrm>
          <a:off x="1136650" y="25342215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615</xdr:row>
      <xdr:rowOff>0</xdr:rowOff>
    </xdr:from>
    <xdr:to>
      <xdr:col>3</xdr:col>
      <xdr:colOff>219075</xdr:colOff>
      <xdr:row>615</xdr:row>
      <xdr:rowOff>28575</xdr:rowOff>
    </xdr:to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AAD497-1D28-45B5-82BD-AA71C62D9119}"/>
            </a:ext>
          </a:extLst>
        </xdr:cNvPr>
        <xdr:cNvSpPr>
          <a:spLocks noChangeAspect="1" noChangeArrowheads="1"/>
        </xdr:cNvSpPr>
      </xdr:nvSpPr>
      <xdr:spPr bwMode="auto">
        <a:xfrm>
          <a:off x="1136650" y="253422150"/>
          <a:ext cx="6254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778</xdr:row>
      <xdr:rowOff>0</xdr:rowOff>
    </xdr:from>
    <xdr:to>
      <xdr:col>3</xdr:col>
      <xdr:colOff>609600</xdr:colOff>
      <xdr:row>778</xdr:row>
      <xdr:rowOff>28575</xdr:rowOff>
    </xdr:to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3DC5C4-3667-4727-A267-DDD1FA2B1FBC}"/>
            </a:ext>
          </a:extLst>
        </xdr:cNvPr>
        <xdr:cNvSpPr>
          <a:spLocks noChangeAspect="1" noChangeArrowheads="1"/>
        </xdr:cNvSpPr>
      </xdr:nvSpPr>
      <xdr:spPr bwMode="auto">
        <a:xfrm>
          <a:off x="1543050" y="317817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778</xdr:row>
      <xdr:rowOff>0</xdr:rowOff>
    </xdr:from>
    <xdr:to>
      <xdr:col>3</xdr:col>
      <xdr:colOff>609600</xdr:colOff>
      <xdr:row>778</xdr:row>
      <xdr:rowOff>28575</xdr:rowOff>
    </xdr:to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002A672-DAFC-409E-89B1-D461A2344E71}"/>
            </a:ext>
          </a:extLst>
        </xdr:cNvPr>
        <xdr:cNvSpPr>
          <a:spLocks noChangeAspect="1" noChangeArrowheads="1"/>
        </xdr:cNvSpPr>
      </xdr:nvSpPr>
      <xdr:spPr bwMode="auto">
        <a:xfrm>
          <a:off x="1543050" y="317817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37656C-66CE-4009-A40F-955A60B954B1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90131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CBD145-4DD3-4A01-A8D3-55C5E7B3480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90131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6869C4-7F4B-4B72-993D-F1644FD4F9A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90131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609600</xdr:colOff>
      <xdr:row>707</xdr:row>
      <xdr:rowOff>28575</xdr:rowOff>
    </xdr:to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EC5BDB-E5E4-48D6-BF58-02D0B96CCF8F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90131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609600</xdr:colOff>
      <xdr:row>104</xdr:row>
      <xdr:rowOff>28575</xdr:rowOff>
    </xdr:to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B4EFB4-3D0E-47C6-AAAC-1179FD5576E0}"/>
            </a:ext>
          </a:extLst>
        </xdr:cNvPr>
        <xdr:cNvSpPr>
          <a:spLocks noChangeAspect="1" noChangeArrowheads="1"/>
        </xdr:cNvSpPr>
      </xdr:nvSpPr>
      <xdr:spPr bwMode="auto">
        <a:xfrm>
          <a:off x="1543050" y="42354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609600</xdr:colOff>
      <xdr:row>104</xdr:row>
      <xdr:rowOff>28575</xdr:rowOff>
    </xdr:to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193CF0-B455-4E76-BBDE-1162504C8436}"/>
            </a:ext>
          </a:extLst>
        </xdr:cNvPr>
        <xdr:cNvSpPr>
          <a:spLocks noChangeAspect="1" noChangeArrowheads="1"/>
        </xdr:cNvSpPr>
      </xdr:nvSpPr>
      <xdr:spPr bwMode="auto">
        <a:xfrm>
          <a:off x="1543050" y="423545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8EFACE-2894-498D-869D-63F6DC52ABDA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5307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99F8EF-365F-4103-AB09-35DF66C9FA3F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5307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49F364-8565-4EFA-853D-C71851EBE307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5307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609600</xdr:colOff>
      <xdr:row>614</xdr:row>
      <xdr:rowOff>28575</xdr:rowOff>
    </xdr:to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31794D-454E-482D-BC9F-CDB56E9DC47D}"/>
            </a:ext>
          </a:extLst>
        </xdr:cNvPr>
        <xdr:cNvSpPr>
          <a:spLocks noChangeAspect="1" noChangeArrowheads="1"/>
        </xdr:cNvSpPr>
      </xdr:nvSpPr>
      <xdr:spPr bwMode="auto">
        <a:xfrm>
          <a:off x="1543050" y="25307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32</xdr:col>
      <xdr:colOff>1362947</xdr:colOff>
      <xdr:row>347</xdr:row>
      <xdr:rowOff>28575</xdr:rowOff>
    </xdr:to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D66178-53D8-4749-8BC2-4B5C320245CB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14263370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32</xdr:col>
      <xdr:colOff>1362947</xdr:colOff>
      <xdr:row>347</xdr:row>
      <xdr:rowOff>28575</xdr:rowOff>
    </xdr:to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67BDA3-9CC7-4F97-A10F-8744824608E5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14263370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32</xdr:col>
      <xdr:colOff>1362947</xdr:colOff>
      <xdr:row>347</xdr:row>
      <xdr:rowOff>28575</xdr:rowOff>
    </xdr:to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9AF665-F89F-40AF-B34F-C789D32F846A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14263370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32</xdr:col>
      <xdr:colOff>1362947</xdr:colOff>
      <xdr:row>347</xdr:row>
      <xdr:rowOff>28575</xdr:rowOff>
    </xdr:to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8F95BD-4599-4C67-A69F-829BCCC109CF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14263370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id-ID"/>
        </a:p>
      </xdr:txBody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32</xdr:col>
      <xdr:colOff>1362947</xdr:colOff>
      <xdr:row>662</xdr:row>
      <xdr:rowOff>28575</xdr:rowOff>
    </xdr:to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7DB563-89B8-4B3A-BCDE-067E1463261E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7202765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32</xdr:col>
      <xdr:colOff>1362947</xdr:colOff>
      <xdr:row>662</xdr:row>
      <xdr:rowOff>28575</xdr:rowOff>
    </xdr:to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B6E48E-103B-43AC-816F-50FE1D0AA5B2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7202765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662</xdr:row>
      <xdr:rowOff>0</xdr:rowOff>
    </xdr:from>
    <xdr:to>
      <xdr:col>32</xdr:col>
      <xdr:colOff>1362947</xdr:colOff>
      <xdr:row>662</xdr:row>
      <xdr:rowOff>28575</xdr:rowOff>
    </xdr:to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922664-5A78-4F86-B0D2-AB4C796E8D3B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72027650"/>
          <a:ext cx="136458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E37CF7-E34D-4C4C-85A8-57DDC0C4C39A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39021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878AFC-1ED7-4D7D-A7AA-9690778AFE2A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39021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692</xdr:row>
      <xdr:rowOff>0</xdr:rowOff>
    </xdr:from>
    <xdr:ext cx="1365229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D63D5D-31D7-448F-A8AE-372A3AC376FB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39021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C17E262-411F-4C3B-8125-C310D8BD5B1A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3D0208-A85C-46AD-B704-790AF8F0047C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699</xdr:row>
      <xdr:rowOff>0</xdr:rowOff>
    </xdr:from>
    <xdr:ext cx="1365229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2C8673-9566-4E4C-8FFA-E1646169559A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3D3BF0-8C7F-4E07-A4F8-1037435DD879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20042E-A3DF-4397-BD40-C7668EAFC1E4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700</xdr:row>
      <xdr:rowOff>0</xdr:rowOff>
    </xdr:from>
    <xdr:ext cx="1365229" cy="28575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A008F9-1EF3-4D38-BA8C-8751CB064822}"/>
            </a:ext>
          </a:extLst>
        </xdr:cNvPr>
        <xdr:cNvSpPr>
          <a:spLocks noChangeAspect="1" noChangeArrowheads="1"/>
        </xdr:cNvSpPr>
      </xdr:nvSpPr>
      <xdr:spPr bwMode="auto">
        <a:xfrm>
          <a:off x="107251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56B298-B899-4B57-89A4-FFF9E1C9D548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152743A-934B-4742-AE3E-9D450D09FD75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699</xdr:row>
      <xdr:rowOff>0</xdr:rowOff>
    </xdr:from>
    <xdr:ext cx="1365229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06A48C-1CA1-41C6-980A-3F9A63834603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67469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7820A4-4061-4A7A-8C04-357542DF26DC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144FEE-487D-4924-A2EF-9BE4DBBACC34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11</xdr:col>
      <xdr:colOff>0</xdr:colOff>
      <xdr:row>700</xdr:row>
      <xdr:rowOff>0</xdr:rowOff>
    </xdr:from>
    <xdr:ext cx="1365229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09A5F8-D6B5-45AE-A7C3-87FE5F2E6FF8}"/>
            </a:ext>
          </a:extLst>
        </xdr:cNvPr>
        <xdr:cNvSpPr>
          <a:spLocks noChangeAspect="1" noChangeArrowheads="1"/>
        </xdr:cNvSpPr>
      </xdr:nvSpPr>
      <xdr:spPr bwMode="auto">
        <a:xfrm>
          <a:off x="13430250" y="287153350"/>
          <a:ext cx="136522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198A7A-74B7-4705-B3BF-3015A5B2A835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FE1E15-2C11-4EA7-A726-7A7DAAF1F9FC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E8E935-CF6D-49C5-9407-87537C52AC7D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8B4613-C3C1-45B6-9128-C07A1945CDC9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129605-CD74-4BE0-81CB-4192AF1DB6D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872384-3E2F-40A6-89E8-A519534677A1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82BBDC-5A2F-4F9B-9D6D-8B164EFD70D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419F5A-0541-4ECF-88CE-825AFD5216B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6563E1-5F0C-49C3-9A0D-52C92987800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2575AC-AE5C-4A2B-B05E-38667722942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0910C8-EEC9-457A-87E4-B9C14A9F4D2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49B663-1391-49F1-A007-D74FE090DD6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587A95-9B48-4F5E-922E-B89BAF9558C0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CABB43-D778-4CD7-BD38-E6006E4E1AC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2E6958-6547-45F0-B338-0C222F5AFDB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43A6CA-E7FB-4941-BE06-782D2AD3FE30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7ADE74-CCBB-485A-89C5-4FE887353F5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274F7E-7C07-499A-BA25-DECDE060302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2789AA-0983-401B-A713-01AC274A027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661FB3-9F66-4453-9787-10641E8AE1A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32B047-7305-43FB-8B13-3BB7E77E556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E3F089B-D26F-4DFE-AC28-CED643AA8F1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CF8563-2FD6-47AD-B430-9C380815A9D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168C80-779A-414C-900F-8520DDAA7AB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8974F5-0C38-4E54-88FE-A14122E7EF6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BA20E6-42BC-4311-98F3-6B857974FD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F8AA68-8C78-4EC0-904D-2D03962C76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37E0B6-4809-4C5C-AC63-F1774B6C06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7FC0AA-92C8-4873-969D-B6965E84D1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E98E00-DF7C-43E3-9DAF-2B9C79FEAA1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6D9DEF-7FC2-4938-964E-3D3DF3424F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B6D134-95F0-41DB-8488-6BDB9CAFBD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639119-59CF-4443-9708-3235B7F22A4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013764-53F7-477B-BBD7-CCD4D5BDCB7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E08F8A-8D4F-4F72-80E1-A42331D118F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2D0D52-3957-4A9D-AB5D-02BDF7CBA12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89A0A1-88D6-499B-80A7-E61F8B85CF0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332316-B7DA-490D-8881-319C2EAE1A8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37FE09-AC64-46E7-957B-6505639287D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824CC1-25FF-428B-BCBF-7CEA83D0615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E293E8-9822-4491-9903-90EA1D98545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D6D78DA-E058-49ED-B92E-65332EE0A47C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A1D25E-744F-40B4-A3A0-7501E13EB7DC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18CF0F-585F-4F42-AD5C-B2E2067EA7A0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86B3B0-BA95-4127-9999-8BE1FC3E5EF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47ADF6-AAA5-4D3C-A16F-A89F6D3924F8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D7490A-0DBB-43D8-A28B-AF66EB04A0E1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665712-0F7B-4BC9-A839-5483CA6EED6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283129-0948-4254-BA56-935D82F5D5C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55F8B8-4E54-4836-9D55-636AC37E816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41AD7E-5814-42F9-80AC-C64294BA796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A6976B-1FE9-4A7C-8758-970BC75843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69FC75-DE87-46E7-8C37-67566B605F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5504ED-997E-4060-A931-91F4371377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646131-46D7-40B1-8B5D-C48FAD41759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6B34B72-FC56-443C-9548-01E1EDC2416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2527D7-8D27-4BF1-83BB-0920CE9B805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5B74AC-0A10-4815-9396-07274E7AEBE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8B1245-1303-4D81-B288-35A29DDC7BDC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8F0B73-3CE3-4968-A767-C3D733F4CB6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FCF62A-0079-4881-8748-72FA5934A8F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3CFBE6-5EE7-4F6C-BE25-BA135550E37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CEBEAC-649E-4F4B-B503-3F5A04D4E42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18</xdr:row>
      <xdr:rowOff>0</xdr:rowOff>
    </xdr:from>
    <xdr:ext cx="4607272" cy="28575"/>
    <xdr:sp macro="" textlink="">
      <xdr:nvSpPr>
        <xdr:cNvPr id="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D7A950-18D8-4A0E-B1AD-91920FADEDF9}"/>
            </a:ext>
          </a:extLst>
        </xdr:cNvPr>
        <xdr:cNvSpPr>
          <a:spLocks noChangeAspect="1" noChangeArrowheads="1"/>
        </xdr:cNvSpPr>
      </xdr:nvSpPr>
      <xdr:spPr bwMode="auto">
        <a:xfrm>
          <a:off x="0" y="5340350"/>
          <a:ext cx="4607272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4628FF-8BA2-48C0-B4FE-0C67427E1F1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52BBD3-9776-4F5F-9324-A024F0A00D7D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C7791A-E322-4846-90B5-FB426F8460ED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6FABF2-C921-48BB-A726-E2E8D2FCC899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E6ECB9-770F-4D4A-BFE4-47EBD35E7FC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53C53F-2556-4958-A32B-36D0AEB72E9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92ED24-261F-44E0-8131-187F35023AD8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051F5B-A9DB-4EE7-9C6E-4CFB7F067580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A4536F-C8F2-4E29-8246-94CB4FCCDFB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8B0934-299E-4150-BA78-332AD906CD36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A77F2A-0079-4D0F-A03B-C1D2E2A7C75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858C62-4BA9-49E3-A504-FB21C9878EC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0E897C-80E9-4AC5-8941-53F8B78ECFD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0D5569-32C9-4D11-9D79-F9F5EFE272A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6364B6-65EF-4AE0-83D6-0C52BDCED79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09600" cy="28575"/>
    <xdr:sp macro="" textlink="">
      <xdr:nvSpPr>
        <xdr:cNvPr id="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F5F982-9C0A-492C-8A39-B02B85EAC4D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8D1F0C-6876-40C2-AD7E-F2B83CBFFC4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A04FE9-9DEF-4F5F-8FC1-00258BBB329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B8CB42-66FC-418E-98D5-A5E26095446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859680-9289-4471-BF0E-A437ABC1F689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0F6D36-EE77-4FD3-A1B7-4E538FF11DD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5C6812-8FD9-4424-8659-753AF3F0130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25F638-EC62-4A52-A231-FD7AAD299FF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646953" cy="28575"/>
    <xdr:sp macro="" textlink="">
      <xdr:nvSpPr>
        <xdr:cNvPr id="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6D461A-FD04-46E5-8C69-590BAF884E9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CC1742-0FDB-4B39-B9B0-AF51A20FF0F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6979FD-70D9-461B-A902-497BC8F1F4E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FF239E-5E79-4EA0-8F01-9DDB88B1C860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F82B69-836B-4177-A7A4-A6AC06FEA4C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9F1A3D-1386-4B03-8475-9EB8EB47F9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6263DA-4E49-47AD-BD88-1F35E5C1EE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2C2CBA-E8AA-4A8A-83C4-FD16FF937B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8FE6312-589D-438D-A503-18BFEDEABEB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EDCB0F-9B92-4DDD-8231-F66C7660A9A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EEBFD31-5C18-4AF5-8288-FE00952A88D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667C75-3A7C-40CA-A7E4-B8F08FF734F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E954A0-F4FF-48D9-B49C-3F2B0557D719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86523E-9FBF-4F5D-AC9C-74CC935EB6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BB520B-0D08-4FE0-9C1B-0A8AD711492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07A573-8AD2-4A05-8B53-EFFB422237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80A072-D6ED-406F-8B64-277B7B29AF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A751B4-E473-4BC8-86F0-7D829BBF9A9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2C684F-B229-40AF-8006-1829328AB489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09D3E3-5CB6-40F8-8FC7-AD435C036DC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ED2B9C-DE24-4933-BC88-69789589D6A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8AA512-28CC-4AA5-AAF7-20A76C772C8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A7250D-6E8E-4A29-B586-9D0A32292DB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3EE2B4-D850-41D4-AF5F-2B435DE433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4B3FA1-3DD0-4731-9746-3DC09B546C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6DF080-C6FC-4284-857D-AD4B11FC84A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69A3BD-1F30-4E96-B0E7-F737FBBF768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C4C551-E496-4BCC-9CC8-210CECA5BF2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00A466-77D9-474B-8B6F-B6A25CB4854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054B37-0E57-48BF-A318-54AEF9C509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404925-A3DA-4072-AFD9-2B5DF70E4C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73B3B1-E9D6-47FD-B836-95A01333AA8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1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522C78-6553-45AA-9B7F-F1EADD5C89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149830-E80F-41D2-80A8-ED84792A153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B1D0F4-F634-456A-B19A-64A62628A97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B36E21-8242-4C7B-B52F-480A04F4FD1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EF35F2-2DD1-4AD6-BB25-1D0C6A7ADD9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2F40D3-A2BA-414D-9FE9-5222B09DA86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7DD914-D4CD-4C9E-AD00-BAE35B100E49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10DE23-EBE5-4232-AF75-DFDE2CAF8C4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18</xdr:row>
      <xdr:rowOff>0</xdr:rowOff>
    </xdr:from>
    <xdr:ext cx="1486059" cy="28575"/>
    <xdr:sp macro="" textlink="">
      <xdr:nvSpPr>
        <xdr:cNvPr id="1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9C52BB-FA97-4E81-946C-51CA63CD4B4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31CE43-8C26-48F6-8EDC-C4FE4460954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17AA62-B257-4B5C-83B5-25BDCACE1D02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6656F2-E4A8-454B-A4FF-2469F0FC4A25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E6BA8A-2C18-49B8-A3D4-11DCF0CD7B80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7713D1-B77A-4FFE-971F-835740680FFB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03D0F2-4F14-44DE-A6DB-79DC5BE8C061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CBC53A-FDD5-49E0-877D-E3612ADFD75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F7F112-5A09-4198-A318-A2C9969ED96D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FDC115-22B6-4706-B8A9-64D994EBD57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3E494E-D10B-4679-9863-9C08B84F5B24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51EEA8-554F-4A15-8119-C628FCA8CD1C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48CB59-4503-4CC2-A8A1-7B43DD8CEA95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6B8364-E5EA-4B8B-A64D-D0C19A2D96D6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62602CE-957A-4858-AC99-AB6D816671BF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4E91C6-7D23-4A2D-B4C1-CE164D380D46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04BF67-88EE-4781-BA14-55E4FF0B3BEA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F9F934-5DB1-4B38-9EBA-87955111A486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E50E22-6D4E-445B-B1B7-F85F588936C9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75AF9B-FDC6-476E-9B20-2D23FF7ABD30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1486059" cy="28575"/>
    <xdr:sp macro="" textlink="">
      <xdr:nvSpPr>
        <xdr:cNvPr id="1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FE0184-FBE1-48BC-B2EB-291976F689D8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218F25-A30F-4597-B13A-E336A536E3B5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45E63F-9F2E-4887-9B28-2F9B4B8ACBC0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060B78-0269-46AF-89B9-5340C7957D99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BA4FBF-F2D5-40B4-8521-8ABC1E90B271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570CC8-62FB-4F5B-A96C-5D034E39FC9D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095AA07-A1DD-43CB-8E2D-670D30A43563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D9613B-1A1C-4E36-B581-BAE20B2FAFB4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293F10-FA0B-4003-9F95-284F0FC3BFD2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FDB5A7-3A91-4A4F-B9A6-6707FF9F93E9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D5C7DC-9DD8-4E3E-A4F4-ED84BB5F0CE4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DB55F5-E5A2-43B1-ADA8-9D9F3134C20C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7EBAEA-B605-44B8-8615-9118B5E6E3B2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382CF6-37A0-4358-8006-9D70735592AB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2FCC39-89B1-43D8-A6FC-36BEB95F5864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48432E-5D3C-4320-B73D-4AA5EBD34E02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BFDAEA-9336-492D-A00B-8C18D5A22808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EE3D0D-A0E8-449C-8E73-AFAA71FA1127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03562D-C6DE-4D27-B2F6-895BF2429D27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3488928-7CC3-4CA5-A9C5-95EEC17A0C9E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18</xdr:row>
      <xdr:rowOff>0</xdr:rowOff>
    </xdr:from>
    <xdr:ext cx="609600" cy="28575"/>
    <xdr:sp macro="" textlink="">
      <xdr:nvSpPr>
        <xdr:cNvPr id="1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71D8DB-4D00-4174-876C-838C84919F28}"/>
            </a:ext>
          </a:extLst>
        </xdr:cNvPr>
        <xdr:cNvSpPr>
          <a:spLocks noChangeAspect="1" noChangeArrowheads="1"/>
        </xdr:cNvSpPr>
      </xdr:nvSpPr>
      <xdr:spPr bwMode="auto">
        <a:xfrm>
          <a:off x="641350" y="53403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BE9A9B-340C-4EE8-900D-889222BDFF3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16A5280-7849-47FC-A2C7-415B1FFBFC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7DF3951-DC23-4A2C-93A7-7053450BC4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0311F7-A845-46A4-A180-78612F3F25A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07720CE-074E-4D10-B3D5-C19FB90214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B73C14-5471-4E3D-A7EA-9A54B61E17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13CA6A-6BE1-4ACC-B7D2-ECBEF1E8416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43273E-86F2-47E3-9C60-BE5482284F1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600245-F761-43BF-994C-BBDC5CC7EC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19D37A-D079-4A8E-9532-959BEB9A0C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424804-A959-4A4D-B286-A84B353B76D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6DE69C-4171-41E7-ABC2-3607423BA8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D78016-E1DA-4EC4-B4FF-4F8DC3AB187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B764AA-D886-423A-910D-77743A46563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730D1F-7859-4297-B2D4-7356E6CB459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0B5FC9-FD3C-4171-A0B0-3BB6AD8D81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E0D738-BCE9-421C-97E4-AF58DFDCBFF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1D7306-0313-41DD-9906-731A8D89E6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3FCCB5-EA95-410C-9733-F96A78C463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515485-C7CB-4081-8DA3-C7016E37505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DD21DF-7A09-490B-8FAD-A63281B49B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BC792E-1B21-44A1-BAF6-22126F40ED3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725206-4B76-4B61-B1FA-DD62E355C9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CCF526-1A55-45D9-BAE5-EFC5AFC70C7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F336C00-8FAF-4B27-9617-597B59259A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4A8B5D-287C-4839-AFDB-35A06FEE7E0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07726CA-ACDE-418E-8EFC-B541C4DF27D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6368F7-D7BD-4FD3-8676-523A5A907E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72A1FB-6895-421E-B9F9-EA3FCB00B8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1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459001-7114-40FF-8C38-B2DF2F3D60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4A0165-BD71-476D-9063-428D4FA4C4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163AA4-D18E-4A74-9036-58F4667CFE0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85354E-A97A-4D07-939B-872BBACB493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6D6E48-EF09-417A-8F17-1ACCFBA1FC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393010-67DC-46B6-A1DD-32B7314606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726CB1-1F9D-4143-B9C6-8C97C61353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419354-D703-4577-B1DE-2C50C98715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BBE600D-A084-47A4-B621-D73A7C182BF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91150D-75D7-449E-8A94-C9E17C583E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A9A85F-6837-428A-A170-5D6FD20EC5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B32CBB-59EB-4F72-806D-141E8120B2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AECD90-82BE-4510-8CFF-F53D2D38D3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63EA50-0012-4D14-BB0C-D23848437D3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4B0362-025E-420F-A604-8E5BE49F8C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16B59F-7D37-444B-B969-B22ACB270D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CF6B79-B7DC-499F-BFCC-1A4C6FC0D6C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6953" cy="34977"/>
    <xdr:sp macro="" textlink="">
      <xdr:nvSpPr>
        <xdr:cNvPr id="2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381830-EC16-446D-A630-64FF8FCC53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6953" cy="34977"/>
    <xdr:sp macro="" textlink="">
      <xdr:nvSpPr>
        <xdr:cNvPr id="2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B2DA34-889A-48F7-BC92-979A5DE494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42684" cy="34977"/>
    <xdr:sp macro="" textlink="">
      <xdr:nvSpPr>
        <xdr:cNvPr id="2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FC9568-480F-4CB9-B7E9-E4BA0AA8BB1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83F420-CCF1-45E0-ACED-9290672C2A7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6B97E0-86A8-4A59-AFA0-46EE5502F9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BCAA49-CAE7-498F-A7E9-6667063EA0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684D2E-30BD-43EC-BF21-DE9807A6CB6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190E16-D45A-465F-8103-E969CFFD47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F51576-B941-400D-A4AA-B2365F885F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348077-03F2-49D5-9E69-4132F20E60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5C90A9-6338-423E-A630-2A887C1FE5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5B27A8-E26E-4F40-ADF6-F2995124C03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317F03-762A-41AB-AEDC-A27874B5B2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9C3351-98A8-46CA-89BC-D681A1C7A15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E66A31-668A-4F04-8351-2521EF2F426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F8AF63-2FF1-4CE4-8472-0FDF05BF78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998AEA-5A01-4175-A678-80B1C56743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787240-E63F-4B56-BB36-00D570C8847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B64224-E25E-46CB-B998-D3EF6A4D8CB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090E8A-0195-4FE9-B112-65E3F3D368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C16064-526D-4998-86BC-26FF1D8163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DC97C5-EDC3-49BE-9DB3-F4B13C62BAE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778FC5-445A-4420-93A9-A90AB0F1599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1E2B62-2709-4121-82C6-B2476B5CE7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11AFC4-2898-4703-89B3-EB69ECF192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4C922B-DB58-41EA-8929-DAE7226C0E2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8A848C-789B-4AA2-BC5F-FE791E87B0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8066A6-9167-4210-9BCA-2BEA5ACA0D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796189-678F-499A-881A-ADF5939EE7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56D3BC-8FC0-48D4-B898-2F1E518E3A0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BDC3DD2-F52F-4041-87E3-14DCE5909B2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0D3EEF-4882-4F81-B6C4-80206599DE0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740F9E-B0FE-49E9-959C-3E9BC83D554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B7882B-BAF3-426A-A971-08D3DD88989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74BE12-3719-4FE8-AA72-E49FB6BB8D5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D5BD0F-8C12-4E91-B82B-FC0D40DC05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8E3C8C-2249-4053-AD9C-25F611E019B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0F5307-672E-4807-B342-463A30F3D8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EF4CDA-337C-412C-BE54-A41DCB661D5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AA39EE-802C-439D-94D8-772CD4C2E67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6407CC-E3E0-44EE-8580-7A30FAEB94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31C6A4-75E0-4069-A6AA-152E7E015CA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67E474-3CBF-495A-B832-2DA94022676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5500DF-6E0D-4DDE-A234-5E3DA672A3C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8EB7CC-FB06-4A7D-B99F-60D94F4C515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AC6E80-3C10-4010-9F22-1BA40E4F37C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E4B186-E7D4-4F8A-B4D3-EA8D54F6506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438AA2-D4BB-4CB2-8E27-AE1D3DA495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92548E-C683-4D0C-92EF-ADDDCF0CFF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86F07F-1739-495A-8B3F-3406B82D863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520CAA-A352-497A-8E35-B58857A75FA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11CFF53-DBE3-4025-9065-A3CED7D215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F38D7E-26C3-42D6-83DD-535FB5D4833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5710C2-4BC7-4C82-BF58-5A51DCDAA5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9B7500-D1B2-4800-8FFF-659C93081E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7FA1AA-5D7C-4E8D-AA04-5244A029CA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E46122-758A-47F6-B597-D0F5AAA6DD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7A1F1F-F10D-4FFA-84C9-EF508C283CE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6888D1-A799-425C-BFD6-AF86DDE163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5E6D18-A75B-496F-BBF2-63F3CF7D327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592992-6AA2-4027-8BDA-2D991EAF96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8E4B4F-B90F-4024-B8B0-F07DE44DDC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D477F1-06FD-4AA1-82D4-D6FE2629942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5C350B-F647-47A3-92AE-3F16982A5A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42E22D9-6BA7-406E-B017-3ACD95D9D9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43F35E-5435-4B77-BC57-2F401CF276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905C34A-68A7-4C42-BF3C-59DDF94CACD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95229C-9A6E-49BB-8665-EA111EB5CB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640D93-5122-42B4-8B2F-286502FE20B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219B4A-424B-416E-8737-A550AA46F39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2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DEC89A-2FA1-4CEA-8BD7-4FC3786ABC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936D40-6108-4935-B3E2-F31DCCEF7A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094D86-25EF-4E1B-9AF8-492954D5D7E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3C4980-68B7-4A4E-B850-8487A65823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B364CC-0A0F-4672-A1D2-7EB15E6C19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849FB1-3480-4AFB-861C-AE7E96F754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0E0875-7FD4-4F1C-B400-4A6AC17739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AE4F17-C061-4E10-8F57-36BD3F5FAD8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AACA5C-F6DE-4144-B069-869CCE00B22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A18016-FC26-4D53-8BCC-4714CD4FC1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9D88F7-F12B-4ACB-9223-B8FB9244C0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2CE0C6-60B4-41E0-8282-4BA57DA8D2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208D5C9-E665-434D-8093-E56B3528BC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2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D4B784-8866-4CA8-9F57-F92E4B73E5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515B7A-7213-4625-BD4B-449BC6DECD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C28087-9891-4E12-B7DC-7CF1704E77D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766EA6-EAA5-4EEE-887C-A988D1D1703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60C582-CE51-4AEA-A4D7-21583DEF583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1BB82D-AEC0-4DFB-B7FD-E966F5DE318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DE8FAE-B75F-4457-B949-E70B3C7346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E016B4-9EC1-45C7-87BF-C8F2AAEACA7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FA5562-CA1F-4507-928B-6B9279AAD5C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147767-290A-4A2E-81D8-715064F9E05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077B5C-7709-466E-B9E4-FB3D9FF05D0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2AB017-DD51-4FF1-A710-F2B85F5E00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D84A60-A057-4515-9D43-BDE4D3ED861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0E843B-65D3-475C-9FCB-A2B01FE53C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2629DA5-74D7-4CA2-AF65-E2BC85EF28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AAC6F5-9BEC-4446-AD53-3892C87248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E810B8-DF6C-4DF0-AE91-1E5B58B4C8F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093D35-E26A-4B4A-93C1-2A1AA256B30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D767B6-ACB2-4C83-AD2F-6BF9F26F4F1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2D258C-AA07-4817-8A77-767E1A22499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B0F0AD-6D5C-4216-AA9C-1A7B4B2B3FC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08FE83-BE2E-48E9-9B57-65FD0286B89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6B8B6A-C181-4E6D-9ECF-9C4DB14677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40A459-B521-4F4F-B26D-880E202BE48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78D1BE-5B6C-4CA0-8E33-EC9CB9963F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56D149-82E2-4124-BAA4-3EAA734E6B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FC4BF9-EC14-4995-A408-257B9F1705D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F843FE-C0C3-4BDB-9170-1A43CF61E12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847696-5E50-4355-8DB1-C60F9A6860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3FD6B9-1F0C-4D79-90E6-CB02D43DC5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50AB2F-F7AE-4659-B3D2-90FF6EC1A27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5F6175-FB9A-469E-867C-EC43F5C7F1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88EE93-61D6-43AC-9E55-74A7413B80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832EC0-5983-4D1B-A788-72CACFA997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89819D-0755-4D8D-AD28-0A806A63270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21D29A-1B98-4796-B2D7-C7A23705D85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D70F97-4500-40B4-8EFC-4C4EF551CC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D4E064F-AC9E-47D5-8B0B-96603F7338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D701C7-560F-4A38-BD2F-415A4286DD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57260E-F045-4927-BBD4-943573E362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8E0495-9C36-4C76-833D-7CD6E4AEAEA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D1F5EF8-9E4D-4A35-BCF8-43C61DA528B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06CB8B-4AE7-41E8-BD68-7B6C000482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FB1D6D-EF2C-4454-9B67-2C2D2432609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61AE6B-1775-4B7E-8F89-B6DDF2B253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9251F7-DD93-480E-A7E3-202650CEF2F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D32738-9E1A-4066-9264-E39B892CFF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78E681-1950-4505-954C-D8C275DDCCC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B0AB16-F88F-4B94-9908-AF4059F8B3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54DAA3-0ACB-4A2F-BE38-FCB584E0FB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7A0BD83-1295-4416-8F82-183FEB01975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F94333-8B6A-4588-8D29-6444AEEA18C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63D3BB-5A17-4F2E-91B3-D0522D8AF75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21B663-3F2E-480F-B0D3-DA544D85A04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34C621-78B4-4CDF-88EF-7333E2A542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BE59E1-E9D9-49AA-B5D4-4DCD4788716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59932A-FBB0-481E-BBC7-D0C063C528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02DD4F-8F42-4BF1-BEFC-1B65784794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202B05-00CE-4413-9E44-1D4D300AD94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6E2547-AFF8-477F-BB68-B24B17BDD2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FA1434-6151-43E0-83FA-837483D8D6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4F9BE5-D678-41BD-B0EA-F5451951C09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DA60F3-C668-4B85-ACAF-82822C7C63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1E2027-20D5-473E-8D97-BE52550603B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0B64D6-82BF-4759-821A-BA8E39F1699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287EE1-8181-42A5-980A-79BD4882EC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09BD3A-B91B-4D05-8091-9BE92C82A5B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1B06DA-3B78-48EE-A61F-054300C376B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01D0BB-304E-49AA-A030-456754C685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BF89AE-B257-4237-A385-F969E79A48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EB2092A-8FB6-4526-BEEA-D26C23D503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6B9777-CFC9-438C-9239-EF8988067A6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564A88-3004-44E4-B994-C4FA23ECF6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4DD561B-DCC0-432F-ACAD-559C4E9B0C2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B42AED-F83D-4F17-988F-1153A19C6C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ADE37F-6076-427C-A37E-A59CE18394C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3F0D8B-9CFA-4A45-BCC8-89E96205951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79132C-F5EA-432A-BDC9-A9F4C8F578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25EAF7-6308-44C9-A3A4-B81743BACED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961C9E-14B8-405E-9332-8ED65DFE45D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9E07E8-5245-4B62-8E75-6D70C1AB37D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1B7119-6113-4674-ABD1-B182F3C1F7C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01463D-D77F-4CCC-9890-05F0124E2F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F9FBB8-CBAA-4F74-82AE-5096EE61777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A73F7F-0965-416F-8FDF-FF048086166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7F7977-3FF4-45BB-9225-2E1354AB921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073BC5-12DE-4DE4-BDD8-AE2B330E55D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4E7A2D-78C2-41BB-890C-667BF5C985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3CA89B-4CA5-425B-8233-B3095955E59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3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AA6305-F5AD-4E99-BA0F-B4C607194B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E747FDF-2E4A-49D7-9C14-DF2065FD6B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68618F-959B-4B7D-B3B4-8E1A10BB19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6F4A69-3B01-46F9-8516-56AACCFABC7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44AC53-E908-4F52-940A-67E2936FC0B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DDAFA0-C1BA-4DC8-AD07-21A925294E1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06BD1D-66EB-488F-9004-356ACEC120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6D5DAC8-B633-41B9-A824-806F54E60F0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8CC984-416A-44E9-8D54-9E7EF6C1480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707BDB-6F1C-45A1-81B2-4B2C6A9D60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17B788-7FB9-4A47-B615-17012A514C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3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96A500-A97D-4F50-AD2F-439FB1737DB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E5F9CD-97DF-4666-BB09-126769AD0B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77EFBF-6E7B-4A23-A8AB-D876B46C49F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51D3D7-C721-4843-9600-E60670C7B8D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E9C59E-D359-411D-9A41-0557FB3872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23A265-A922-4543-9C4A-25621DB51C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3F8A11-5DF3-44E3-83E9-D098A67F720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B8451E-3A8C-4E6A-99A5-DEC8FE2554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8B9343-C2DD-4CCB-95AA-B39328735B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F64DCF-1819-4202-8B9C-9DB7B041546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7516DD-A93F-4DAC-AC38-C757EEE9F58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44EDC5-1F10-4573-AFB1-8868A81606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8591D44-C302-44C9-A963-BC7FFCF761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F6FB3F-E70D-4520-AC7D-539C1A6C2B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3561EF-004E-4E68-9DAE-0FFE8CB8A2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2434B6-A1A1-4FC3-B294-D8B2C1C169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6E46F3-DE8F-4430-B25D-10C1130ADD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366D7C-845C-490C-8CCC-8823ACEF48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7387EB2-D9FE-4A0B-8BEA-D2CFE31275B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613C67-36CB-4DE6-9190-8C17BCA38F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F57365-CA15-406C-9C59-28A81C3CAE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02C230-CBC8-4BF7-A484-7F462674B4C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CF9204-1250-46E5-B23E-CBA7758013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F18323-43FC-4438-BCAD-64DD51C04F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09CA86-758A-468E-A9D7-17FE66D7AB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CC1BA0-F725-4E05-8BD2-6BA5143F303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1844AF-5B04-4D12-92A3-50778F4117D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33FFB1-7677-4A45-9D11-EBFB0DC44B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482370-FFDF-4F5B-BE2F-42C83C922A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3D5D42-E6B3-4284-A455-F04E940DAC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D552EE-14C3-466C-8DEE-391702C3D2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23CA8C-1BC4-44D7-A997-BF52322FFE1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B7D751-22F8-4645-8216-ACD2D0CFE02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6197A3-F212-4242-B6A6-5A995BABC8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612F0B-6E6D-4558-BAA7-4847C18BC2B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B5A4BB-AA98-442E-A349-9546EFDB4F7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167377-1A3E-492A-A579-7F578A92073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07F5F6-FD37-456E-81FC-9AF5471203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E7938B-3CDB-4CCC-B531-7C3E555A131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1E3471C-F4D3-4F6F-AFB0-5A08EE764B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F9DA2D-3F61-415E-BD5C-AB844EF577E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38677F-2247-4665-B187-F3F8B94874C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46C186-314C-4E8B-8743-3FD9923728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083C2B-8785-4976-9D4E-8B556AB9D5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B58754-620E-4630-AF7E-969FCE23E1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997E34-7FB2-4540-8CE3-C99507C7F6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E803C0-841B-45D7-A78E-3E00579B69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431847-3397-4118-ADB0-153283837DB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489675-38A9-4287-9BC1-C74A6240B79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8808C5-60F9-4F28-87DD-072FA2FF561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E48C5B-94A0-488A-9D6F-4E20247D9A9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A8B300-0A06-42CC-9814-53770E584C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3FCA6D-13D1-4501-A5E2-92B49569F77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48297B5-147B-4AA8-A1D4-ECE19408D7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297410-665D-4D27-91D9-29FA8478974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1034EE-84A6-4F33-982D-085F0A90890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013629-DBB3-4724-9249-65A79940F3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B7BAD6-EFB1-4A90-9E1E-F4A09643CBE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FCBE65-E38D-477E-9DA9-546C518D0E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C66BB2-6CEF-47A7-A8A5-B8B467D322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72C70C-D024-4301-8737-49CD54BE27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2325F0-0396-414A-9530-E4976D5094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1CA2AC-1604-4BEC-AE48-EFAE6E31C06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542EB9-082D-4705-8FEE-1177412343E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7AEEF1-EB7B-4A41-A450-931ADA88DC6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C52371-70F6-47A6-818F-9BC9136D8B0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357F36-FF4C-48D7-99C3-5C09BCD9CC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C61898-C79F-40BF-BA33-608D481756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85CE05-65A2-4177-A834-63384058883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29B8AB-E485-44CA-AAC3-FA36A8A0ABF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62BDA6-688A-48A3-814D-E5CA12FEEFB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21691A-FFC3-4DE6-9164-DAB51A348A0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01C576-E8FB-494E-B8C0-0E0B450E22B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D1575C-D9AA-4B21-99DE-E6F911AF86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9C2EA9-E46B-4D8C-9814-92120DDE73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36B975-4887-4B87-82FF-7E29EE3AAE9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C7ABBA-6918-4C14-8402-F9AB77FC8FA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E9A1ED-F6DE-4CF0-8BA1-0C11DB73C2B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EE3EC5-2620-43D2-AAD2-E0937731750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756AE5-A9D3-4C45-9933-4CB8494C3B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32F55A-1171-4281-9CEB-9BB11B6536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98E11C1-33F9-4772-B6BF-A68F34CCDF8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28F66D-A6E0-4BBB-84E1-3FFCEA407A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D991AF-C747-47E8-A31D-48F9B259A6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1EE267-83FA-4187-89F5-5E80AD59BAB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FFECDB-0489-42A2-BB02-B21042C0EB7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6A170A-C615-4D3E-81A8-FF833CEBC77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6F5379-4634-46D7-B962-15BEA5D462D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AF279F-7392-4454-87A0-6AECC5741D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A082ED-D9C1-4885-BF9A-2903A7D721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506A1E-A102-4E63-979C-A14E0572F83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4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071BC3-3937-45E1-BB76-8E4CEB27B5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B6938B-4AFC-4679-B9ED-93D55077A7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271215-3364-459A-9A78-201CE9D98D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658692-DAA1-49C0-8CEC-E780353D4B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BEACFF-1152-4B43-9110-BAB23E76007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EE97ED-4293-4495-AC4D-15B07026F4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80121E-1176-4B71-9B22-69478BAC351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DDE282-C7F0-4D5C-9DE6-4EA5534714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166BF94-8B73-4102-ACDD-8425DABEE4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4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DA5457-A69F-466A-88DD-876C49E83A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621E52-B6B8-4C79-9BA9-8539540ABE6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C05B32-5C7B-4996-B43D-EC7ED9194B7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C64443-ABA9-482E-B13A-FB96C4108C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2E2280-5401-422C-973F-1C8BDFCC2E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8" cy="28575"/>
    <xdr:sp macro="" textlink="">
      <xdr:nvSpPr>
        <xdr:cNvPr id="5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F9AC27-F398-4D25-BD6F-00086A7C858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F89852-7E10-414B-A443-570AB209CA3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CEE2FD-44E9-4235-B48B-2718D17E5B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40E914-B78A-473D-8EB1-FA3024979AB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57054F-E127-4080-9195-44A01FBF840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F53E48-385A-49C0-9A14-204BC7A9FB6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6ACF55-9431-4303-94F2-5244537FE5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2E3924-2432-4687-AA8C-94AA5E1CF5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164E3C-CDBE-4E3C-B73B-08A20C1B3F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2B3947-CEFF-46A0-894E-32ABD69653F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A81BC3-E55D-406B-9CE1-B828002C87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15DCD3-6E4C-4C3D-BF3D-F88E42FF144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EBA54B-7CBD-4DC1-96EB-95B708CF78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375EC7-64F8-41FC-8817-3C4E05703A3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C062E6-C13B-4694-AAD7-76E4107309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C9D2FF2-60DB-49F5-9406-8E2A9089F79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1CD9D2-CC50-41EF-900B-4191F53FF4E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405FAF-A71C-4B53-8E3F-29841717503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9F4C6F-7FA3-42D4-A1FA-0674A6337E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26745A-7BE5-4E82-9BAF-1EB068972C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631476" cy="28575"/>
    <xdr:sp macro="" textlink="">
      <xdr:nvSpPr>
        <xdr:cNvPr id="5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034AA0-069E-472E-BC5D-15F9FF75DCB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5340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197E8F-47BA-48F0-BCE4-2483E568317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B21FA2-A0F2-4263-A9AE-34746C19BE0D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7F240B-F273-47AC-9798-9DC994192C7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DF7513-7C25-43BD-B6BE-D881C0951E51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B73B42-0A8E-4464-99A5-27C8FD9799BD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7F795E-42E7-4E0F-8C0F-37BB8688162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AC65AF-3274-45B6-8267-94D5C567C09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9A15BE-FF46-4B74-9C02-B57E5CE3CFC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35027F9-3D0D-42E8-8113-3543B6D46EE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D6BAE5-7EEF-44E9-93DA-0A9196F7707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9E5EB7-7B15-48E9-B575-7ED2FDB1EEA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77DC40-55FB-4779-B621-902FBB72E8F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D22542-D508-4927-AE0F-2E3A7EF30FB7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24313D-F81D-4404-A52C-BE490FC5374E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EA5296-83FC-4DA4-9FCF-09290462050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CE8ED3-A381-43BC-9A5B-2D03EAABFF7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57E442-5A7D-4DC5-868A-8CC3D233F8DB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299CA1-9A0A-4C8B-8C43-7D8A82A10C3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CE63AB-FE59-49FD-8506-F00C55659A5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380387-2766-4F00-A4A9-E02068E9B98A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1F4026-8FEC-4614-9AF0-7D93272900E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24D263-F7B0-4A3B-A87D-6D2F3E7F80E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83C585-3D30-4129-A067-8E4D3C3244AE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68B9C3-812F-4F97-845E-A559BB6475C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306C4B-8A7D-444B-AEE9-9545025BB21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1E9242-2D18-4DDA-93C3-0EB937C1884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4C0D1F-EA35-4EA5-A6C5-E2C1C687AD6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059BDE-154A-4A0E-8FDF-F5AC084F2D7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C59655-38B9-44E1-8637-E207CFF3850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63751C-4697-40F7-8230-778D2016DC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BD765D-6948-4A9A-BB3E-8646D6F5E41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C4ECA6-D6B1-4BB3-AF0A-9C7B9C8F71C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88AA29-D834-4DA9-B003-BAACBB18BFE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0BA040-664C-4925-96BD-CF1705676A0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42D25B-43D1-48BF-8FF9-BF86F386366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89A7BF-1570-4E8C-A5A8-5977E4A19E22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FC1492-87BB-485E-8CB8-B080471719E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4C731F-57C2-41A7-A348-75EB071AC50B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AC9B47-16EC-40E8-B123-6D701A3344D0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CEF32F-4584-43EB-BD14-D0875C3DABD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58D00C-C52F-4C8B-ADB8-4C84F07DFEC7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9B5A196-D758-4533-B4D7-1550792C4FE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407A1C-1845-4238-9C8F-CB5881816085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DA82FF-52CF-40C5-B7F1-26ECB3F1900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3D0ACF-2FD9-4D84-A89B-68E4B9B5FA43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BB4004-021B-4FFE-979D-03BBEAFC5AA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4A5E85-CC80-404D-BB3E-B6FE03CF9450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2E1C4B-D610-43A5-8BA8-2C1A728D7B3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5325B5-21FC-4E2D-9A67-27FC419373F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4863FE-238C-4C8E-8720-C5EF73C2DDC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22D594-3C13-4050-86D1-4F0E3A9C340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B3FA40-BD00-41E0-A2E9-337A45705FC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68D1B0-0EB7-4C77-89F9-496B7BB7138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6AF373-3A8E-4ADF-ACB6-51A8DAF8516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2A97A6-911A-4A8A-9A3A-172A1FFE98A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C1B40E-7F7D-4830-B0BB-28004C638280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85D785-80D8-4A4C-AAFD-31C97034D4F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34CDFC-8551-424C-B574-F72868E5256E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FDAE69-3EC8-40C7-8367-075D7F90097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E779DF-0700-4B5A-BAF5-ED18312020E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912782-B811-4F3B-AE44-DAABF393975B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2CFC05-3312-473A-BD26-FD021EF0543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02DD0A-A27E-4EDA-ACD1-00E3012EF23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14</xdr:row>
      <xdr:rowOff>0</xdr:rowOff>
    </xdr:from>
    <xdr:ext cx="4607272" cy="28575"/>
    <xdr:sp macro="" textlink="">
      <xdr:nvSpPr>
        <xdr:cNvPr id="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47134F-9128-480E-A6D8-8F5924728FED}"/>
            </a:ext>
          </a:extLst>
        </xdr:cNvPr>
        <xdr:cNvSpPr>
          <a:spLocks noChangeAspect="1" noChangeArrowheads="1"/>
        </xdr:cNvSpPr>
      </xdr:nvSpPr>
      <xdr:spPr bwMode="auto">
        <a:xfrm>
          <a:off x="0" y="10509250"/>
          <a:ext cx="4607272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01DBAC-3BDA-4690-B096-9820A52ED8FF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120AFB-DEAA-4D52-8FB6-4866782FEC7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4A816A-4C9C-4D89-9BE9-2B51AB6C7D11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AF900B-8AAB-4115-B67D-23AB97F8FBB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AD7CBE-5D69-4818-9A53-004D9060EF9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38F3D39-21CC-474A-A747-A3BBBA8F8C50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2BCDCF-FAC1-46C5-BED1-E5C80D1AE2E3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E358D5-EF56-4BA6-8574-E84EFBF980F5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A8F53C-2786-44AE-B4D6-4FA9493A3F2A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69FE14-DBE9-445E-AE81-C5666ED35E4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02258E-4513-488E-8795-68DFCBC2506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F035A7-452E-4968-9B64-6207783A777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CB1391-9227-44B3-8039-C1428841F1F9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24F67B-7FDC-459F-81FB-8179DE732DA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B61E23-9921-40E4-9C6D-C8A327CAF9D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09600" cy="28575"/>
    <xdr:sp macro="" textlink="">
      <xdr:nvSpPr>
        <xdr:cNvPr id="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6E346E-EC5C-4EE2-8667-57C0EA974C8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1E3E1A-283E-4710-939E-D5EBFA3DEB1D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3DFFF9-F2B0-4CBB-93A3-C536C7160F8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374774-5C4F-4F0A-BECC-1E5B25C0729A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F934F67-3E48-4AE2-B01A-186E88F5025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FA1EFF-26D9-48DA-8544-426F27DFB932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99EB44-458B-49AD-8A7B-19269F175395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67454A-BB77-426D-8E7C-D60703BC311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646953" cy="28575"/>
    <xdr:sp macro="" textlink="">
      <xdr:nvSpPr>
        <xdr:cNvPr id="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1FB515-290E-41F4-94DA-43243D57DAB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8CE2FE-F299-4B93-9854-BCE4F10F420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83C0EF-AE33-4E92-9B48-91F8B309FA7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D21CFA-3511-4A42-89C3-14E4DB02175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4C312E0-2793-4AB7-8C55-B5DD7037A25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D56402-B873-4013-A1F5-8FCA856D24D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A5C186-EE31-464E-8A15-41F7CAE784D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3D15817-2FE0-4601-830B-9CFCE41D1FA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CDBACC-3F83-4B1F-8840-9CF75B308AD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0B024D-AF27-4FA2-905C-7640314EC0E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C15A15-D63A-4B9D-BB44-6D579087F75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22BD6F5-D1FF-45CA-9699-B28E29C2F16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CA7823-E7DB-4317-B459-76665F0AD3D0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2CE5E1-D8C3-46BE-A274-5DF6933DCAB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EE8CA3-1F89-4AD2-8992-C981282B56F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7D92D5-27CF-4F19-B597-B42B6F62B3A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16A3C5-E88F-45A2-85D5-2276C2CDEE0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9900F8-6B32-49EE-AAEB-9A886C332F81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74F3F6A-5152-4F7B-A6B7-EB3659FEBC2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E8E099-FCFD-40DF-860D-AB6EE09D6ED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FC3610-E099-48DD-B2EA-09A2327833D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6F2415-9FD7-498D-9DAE-971BC5091A7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13A9E7B-398B-4998-87A1-643233ED50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49370D-26C1-4AB5-A8D1-D8B1AF5B242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1D0007-9CF5-4E7D-82A3-399B975F86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7C808E-CD65-4019-AE4B-67647E8478BC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D0B40E-5D47-42BF-B797-7CE3408BCEB8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101E90-6875-4322-B95F-589FDC83EF4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D9B467-601B-40B1-9A33-93C4F55C494A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CDA5DE-09A4-4718-AAD4-09C950E1108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C2F28A-9BE6-4BE0-903F-D0A5A325B03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4D78C3-1497-4DF1-BD8B-47B9737A59A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D1C07A-F8D2-43E8-9572-BBDA1530A0E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49485E-E779-4CDA-9443-D93526D92C8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83A8C3-FE91-4C60-B63B-4918A651C729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DD6A51-9BC3-4670-90BD-6AA74B61EBAE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7AFF46-D552-45E4-B0C7-19156FFFD0BA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3DA510-9279-4CCB-A7AD-F17A685E8CB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355740-71FA-4CF8-BE5A-D3B6EBB3A003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DB77E36-FA65-4C45-8118-69F45E61FC7F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14</xdr:row>
      <xdr:rowOff>0</xdr:rowOff>
    </xdr:from>
    <xdr:ext cx="1486059" cy="28575"/>
    <xdr:sp macro="" textlink="">
      <xdr:nvSpPr>
        <xdr:cNvPr id="1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602DA9-8CCA-49FE-A4BC-8B1B00D4AAE4}"/>
            </a:ext>
          </a:extLst>
        </xdr:cNvPr>
        <xdr:cNvSpPr>
          <a:spLocks noChangeAspect="1" noChangeArrowheads="1"/>
        </xdr:cNvSpPr>
      </xdr:nvSpPr>
      <xdr:spPr bwMode="auto">
        <a:xfrm>
          <a:off x="452755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757207-9281-478B-AC13-9A6B5FF257B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7C739B-ED88-44A2-86D7-01EA6E674D3F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2B87DC-B5DA-4420-88C8-CCA7176B690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2A04E0-528B-4A38-8347-0ECF96AD710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582B4F-0B2F-4175-9483-964E4AF88C4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C92042-4DF8-463B-A5C4-1B157D6559C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E8C0055-82A7-41E7-B873-671E87620C41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BDCCC2-E971-45DF-94ED-C6DEBF9ED805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066976B-3BCC-4A93-9729-7DF62F25CF7B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B70269-45C0-42EE-90DA-979DE7FC345C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639860-9FF5-4005-AFB3-09B2D9F1EDA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4089EB-53F4-476D-8D00-E1791A8E83EA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F70D0F-1048-4D69-AA93-4316B186B96E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D1554B-5F06-4DDF-A937-3CFD41BDF2AE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4908B9-4725-41F5-B3AA-6EA422EDECB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C63261-0BEB-4C24-9679-52021BB6DE7D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8C106C-C973-47CC-9E67-13D2322F1EA4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624DF3-6FED-43B9-A16F-DCC8974483C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B96886-CC22-4EB4-9517-8515028656BC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8A9AC3-8DD2-4CD7-A2A4-3A35D106172E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4885FD-0E32-44DA-A088-C8905913ECD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857F6C-4665-4D35-860C-80641A78E1FA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B01D9F-D237-4F16-B0B2-DDD9555CA5EF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CD9FFF-CAB4-485F-8CEF-E6AF7C9D1F05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D6CD77-0A02-4CE2-B92E-5B6E9F0CBC8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FA0C9A-76B6-4C2D-BB15-2B835CD00701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56AE2E-A796-4A38-8437-E3A34B8F3D0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471970-CE58-4A9C-A18B-9337661FB3CC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D25EC2-0BAA-4F42-8B53-AF1D34ED7220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3EB914-84D1-42AF-96B6-62A3224A945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DCAA532-8FAF-452D-A062-34EA39E2BB8F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A3C2F3-0DBC-4293-948C-18E2FA379DB7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C6EC88-D8D5-4F22-B3EA-1F9011CE04B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C0C545-7AEE-4EC7-8719-841C078B1249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39F7A0-C318-48DC-8E04-F231A9730754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FC6D5A-FFD0-4AF0-976E-3459CBF52374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C78DF84-4FCC-4F48-A6BF-502002BE22C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F37AC9-CA94-4808-AB37-6AA5F0A042B6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E95BB4-9C55-4E80-9B64-FD66126525F8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18DFAD-0EEC-437C-A652-16A6C93DBC72}"/>
            </a:ext>
          </a:extLst>
        </xdr:cNvPr>
        <xdr:cNvSpPr>
          <a:spLocks noChangeAspect="1" noChangeArrowheads="1"/>
        </xdr:cNvSpPr>
      </xdr:nvSpPr>
      <xdr:spPr bwMode="auto">
        <a:xfrm>
          <a:off x="508000" y="105092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5EB899-E3CF-48F0-94C4-4FE62755634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A134A5-786E-4A75-9AC0-0FA7726E959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47B62D-3E33-4A86-9837-172FE73BA80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5BE3BB-3E89-4080-B889-6BC308FB1FE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BB5591-E8C5-4993-BF03-9D61855DB72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1037CC-8EBF-4621-852D-49144E4831E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D221B8-B7BF-4FA3-9B88-3B970B7F7ED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DCC422-9690-4408-A9A0-B49D837E40D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D6614D-7F86-4F59-AA73-AC717E4A2BB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0A36E6-3747-4736-A33D-1C3B1E29976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45BE92-1B97-4F10-9532-A814A227BCE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801F8B-1F6A-46E1-B927-70076FC3EE8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6B8A53-CA91-4FAF-849B-516BDDDD064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39376B-50D5-49C6-BB42-27479AB943A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5F749AA-53B5-4DA3-A40F-668E95A19A2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57433B-EA01-4778-9724-E8079F48BA2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E0325C-D224-4460-BA94-78D29A07650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DB185D-ED81-40DA-94B0-597C3FBF17E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C0155F-5469-4761-BF1A-453396316B4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C6109E-460A-44C0-8CA7-734FDC42E75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2F94ED-2B71-44C2-9CDC-1FA61EC30A8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F74684-5CF3-479C-9BAA-34642068045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2F8978-36C4-4BD6-91AB-BF5D6B56375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0E1994-FBB8-40AC-9A2E-5905D5668CF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EC724F-379D-41A5-A472-A5412A16DBC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20E325-DFB6-4E01-BDD3-D0DC21471F3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932B9A-B7BE-4BF6-83A1-90DB01B35F0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2FAC26-D07F-4989-877E-BD8E46766BF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DC7DF56-85C9-4F8A-A7D9-9796DAB71DF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B5BA78-25B4-44C1-BD83-9F5F27C8286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BC542F-7A67-47BD-8415-80D5771F4E6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FA1142-2C4C-4476-B8AD-E360C4F988A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2A307E-C693-4F0A-BE8B-1F678FD3547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C71382-7A01-4A7C-B9BB-BA056664F40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34952B-B223-40D2-8169-E896B8765FD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B059ED-D9B5-4D68-8FD4-A5108725429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1A6F74-BF4C-46A8-B573-68865932681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2EC3EE-A728-45D1-B2D0-DCE64529BA2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121D4B-DBA4-4D7E-868B-3F084CE0A3F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EFFAB9-1679-4062-B354-FB885A90E09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E52FC9-36D2-483E-81FA-B60E3EA57EE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3E2814-8A3D-47B3-9A01-8AF17DCEEC4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33BB1A-B27D-47F1-965F-317D1DE35D0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BB6983-0BCD-4DD3-BCD9-4C3141804EB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804C3E-293D-439E-98C4-723D59F36D8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9AA992-916A-449C-9ABF-DF9080F5AB9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6953" cy="34977"/>
    <xdr:sp macro="" textlink="">
      <xdr:nvSpPr>
        <xdr:cNvPr id="2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8065B1-242E-46AD-8684-5BA31903C6E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6953" cy="34977"/>
    <xdr:sp macro="" textlink="">
      <xdr:nvSpPr>
        <xdr:cNvPr id="2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59E839-86D6-4C07-BBE4-1E70F1098F7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35F5AF-576A-43A5-A36A-3B838F56B6F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51CF1B-264B-44AC-9536-F39AD7CFF7D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647898-D43A-4BCE-A7DC-86D0D3CCFDA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08818F-8E7D-495A-896D-8914F094F56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F2F112-9F7B-45C8-A219-74E151AC679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77D75C-967F-430D-940A-7671E5C91C9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0793B9-22F8-4D24-9DDB-C728FC347B0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567A25-F968-4F60-86AC-C7A2E6BDA1B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63E784-EC8C-455A-9767-A405853C561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308710-D2DC-4D1E-A2C0-97D5A004855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897DCC-3489-4973-9550-504A522AC5F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DD2E60-3571-45F8-9F3C-9DDB5E8FC30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B90664-2999-4AA2-9961-17363EB9F53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1DAA4D-ABD0-4513-82EB-45882A6E6B0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74243A-1EE3-4EEE-9A10-BD607424625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4E7695-1DA5-424A-BA98-4823CCBBDD9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6AADF2-AF05-45EB-8AC1-7C47450B77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708BB8-2797-4046-87E5-1E55F88B13E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1F8FD3-36C2-4064-9A31-D2559328E69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5AD9E0-0E72-467C-879A-D994B0A421C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F7CA08-67B1-4043-997D-C94C1B85D9B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4B6A16-A4F5-42CA-8B50-708545601BA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D5F611-23B3-4193-A4C3-BFBE752323F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5E7323-37F0-4FB1-82F2-16BF34E8CE5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6B8B51-A03D-414F-9652-CC6A54277AA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6A37CF4-2C99-45F9-9702-923FC1A2916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BB1C56-CF4A-491B-94E4-567ED6D394D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1FD095-B183-4712-90B7-C39B9904012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3E59F6-BC2B-48F7-8C06-638D05A37B3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2A5C16-2364-4EE4-94EC-6AF9D5BB6B3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78AA1F-368C-49E2-858D-C559439DAA1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4AC183-5A24-44D9-99F3-EB9D1F070DF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90833A-316F-4D16-AA25-90E7471F2CD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3AF997-AA90-41D4-A494-60969E9AED2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602C06-548E-469D-827D-2945A58A74B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DABEBF-F344-49EA-9CC4-883AE96A4DA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37580F-11FD-426A-B4F9-3F3544B221F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3246AD-63C5-4139-9046-B980BC159F3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1D2B5B7-F599-4ED5-9294-3A9D9EA168D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1E884BE-EE0B-46E3-8DA2-9A57882C68A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F3A005-8923-44FE-9AA0-2FF9EB4DE7A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0F9A76F-17A4-4A06-B526-5865BD6D1C9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6315BD-7C5C-46B2-8749-279FB89A661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E6AB04D-2C0B-4601-83AD-9B9D6F44C7E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9B61B70-6B60-40E0-B770-7C044F32DBE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F96136-29AD-41E5-B7FF-DAD7E01F15B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3965AC-0C0B-41E8-8B66-8E07D057436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7FA87A-100D-48C4-8CD0-2772BA78551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9F8974-03FB-48F3-AEA7-30882F70E1A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010E38-B306-45D0-BDB9-6D66FE8652E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E0B9B0-3499-4408-8834-DDBF0EB2C12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949241-4739-472C-9247-930A529B924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9391D9-7FB0-4354-AA28-C6EDC5D017C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52AE3C7-3CBE-4AAE-8D9A-6DB25BDC2EB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619B22-399B-4505-B98F-F9D88147EFA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519750-44F4-402F-9F05-80DB73C6779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448E15-38A8-4C4E-9B26-5F4D41ECAF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C4621FC-360C-4D6E-B0FF-CB1CBB0C90F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84939A-1C34-4110-81EE-84713634B00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F0F98B-6367-445A-A0AF-6A4F1B283D4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BCB687-285A-4D97-995A-58B170C6F4A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C67CB3-D9FA-4634-9720-533CCEED9B7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BB64E8-AE96-4B54-8D5A-5C9ABE91689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AE5092-9A1E-4E2D-96B5-4400119473A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95F4C2-9210-44EC-94C1-19DA95D7393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09CA8D-502E-4ACC-860D-A6F4A5FC352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B2767A-82E3-4EC5-918A-38552A756ED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5791842-613B-4AC3-BCC4-97060174C71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87EAD3-9F2F-4213-883C-DD38AA4287F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BB2E38-795F-42CD-ADE5-9D6B9568507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F3F5DC-1F3E-484D-AC44-8F486E6E1E3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E55751-5A7C-4E12-BA14-C49AC5AB042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7D1299-C44E-48BA-97E9-6D220915962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552360-2F21-463F-9E49-6B76CAFDEEE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EB7D40-1DC1-4955-815E-BF09D4551C7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30639B-67E8-44B0-BD17-BEC44EE2B34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272D57-52EF-4BE6-8F67-DEB13A593BF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93C14F-986D-4324-B1B4-EB034725C29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4C2035-FE5E-460D-8486-9B75CB888F3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27B8F6D-0C18-43EE-8716-34395331CF9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159EDC-63FD-4E71-8742-E4B8E20B569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55B0A1-1CA4-4D9F-84D8-7F1B5EE2BAB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BACE13-CE2B-416A-9439-FD646B2C3C8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495EA3-CCD4-4D57-B3C0-230C453C2F8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CF82D2-6CED-40B8-A73C-EFF9CE307FC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D765AF-3DF1-4CE2-8D75-30137107A55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2B39CE-5301-4EF8-BD61-BF7CD0501CE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DF631A-95FC-4487-B3DA-5543CFB548A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94085E-BCC2-4BBF-B4FB-B18A3B7AB7B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561918-FC21-4BCF-AB6D-A1B0C4D89C9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4C0F49-9DA3-47A6-886F-DB7F30C56DD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9A02CA-EDCD-4FAE-9C9C-8A9C8E04F36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2AF79D-EBC4-4B50-B2E8-C60FD518F1B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F763A1-1AE1-43A6-BF79-6940563FA22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461041-001C-465E-A97F-E6B90F094CE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45E68E-C7DD-4097-886C-6BC8497D82E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BE8959F-F8BB-4BFA-A8CB-EF8138ECEF3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4A2795-BA8A-4693-82FD-552C8795D48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CD30BC-9BCD-4A06-B022-ED6DC7491A7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7DBFA5-A3C7-4A30-96EA-7A911E07CC2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198ABE-7903-42C1-9199-0842D561ACA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E3B596-9251-4618-9CCA-A60BC5B4225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B0C42A-5D1E-44A0-8F7A-49C945DD46B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4700EE-4FA0-4604-A8E5-CA1B6B3A073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D0D9E0-E79F-4ECE-ABD0-98F9A5976E3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C4C313-964B-42F5-A4A7-D2C2876BA66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B9E654-9D14-4747-BEF2-1B3FEE60018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B20752-1A8D-4EB5-8F66-A3D1368B1B2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C67B4B-1554-47CF-BCA4-5E9E5D86729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513126-045D-4B91-8075-FA8B94E4E16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F662CC-F141-4C5D-BB99-47AE7E002F4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6F53CB-7EAF-409B-97A6-01720578BF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6D2C81-DCC0-4897-B59B-10A71A0921C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E08F87-C084-470C-9195-FCA247AB084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837892-FF1A-4F70-9E34-60D9E7897FA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4E0E00-7E9B-4FEF-82FD-0EFD429AAA7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9DC55CF-2E71-43C8-8A7A-C9F0B92909E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C6211A5-07A5-449E-8115-9EC4FEF954C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BDD9A4-CAC7-4C6D-B1C8-ABEF59E2918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269CF3-BEB3-464C-86A6-BD06E8FC620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5A036A-C106-4EA1-959A-F7BC8C85ABC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5C5549-1C86-4951-A181-8F3AD5587A3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1256EC-EED0-4A87-9838-6D7115F4837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B8281D-7EBD-4B7B-A2D4-F560EED1BAC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F35D081-9194-4208-86AD-AC80596DDAB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3D4044-769D-4D52-9428-C8AC5B175C0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56F44B-8618-43FC-B4CE-80E5F8B7C3B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E20E8A-5616-4B1F-B9C7-02632413E40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1B11D2-4968-4E3D-8E8B-A75B6441341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6AFFF0-FEB8-496F-8802-9B6C52B682F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2C73E7-65FA-45EF-B7F6-CEDBD59C6F7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04BBF2-B1D8-47FC-8499-F1C8BDBCB9D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FD11AC-44D3-4164-B3F4-017D722C31E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26E3F1-8D63-4427-A245-EE1F1928B1B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0B63C7-FC28-4794-A73D-0FEDE03F2F0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0FB60A8-A2B6-4ECA-A02F-81DF53525F8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B5B6EA-FF2D-43DE-AA22-731E658E587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17FF3D-EEEA-449E-9E05-E6297053AE8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5F2C31-E9F6-4931-BD39-F0236642D2D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4494FC-ED6C-46E3-B136-962BF69B576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9D3AD2-4027-47BB-809E-B4D19734BB1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B3C7EC-93FA-4C91-A9A3-C1B7587824C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0CA73F-7BFD-45C2-B031-084ADD9058B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461959-76FA-4716-959B-E5F6F284A00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E96C69-DE75-4B3B-A69D-C3E79A943CA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DAECFB-17E2-4F59-9BDC-F774C6A4D89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6B310D-7D62-448F-9BDB-8D36B052A54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E6CD12-5184-4197-952F-ED9FA58C687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0D6DAD-1428-46B2-A7B3-DFBD225C8AB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BC3BB8-CBF9-46E3-8731-96F4700861C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D6574C-A1E2-4602-B6DA-7088FE0BD94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5C1AF2-F7C5-4A01-B15D-3327896A3D2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1600F7-1319-479A-AED4-7B53B8526B5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BD6799-FBCC-4753-9D0E-A7A3DC47653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9D3595-F663-48F4-AC0A-594E41754B2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74CC6C-9996-4328-869B-B0173764398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6BF797A-FB75-476F-9F0D-1F013CE9D96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BC4B47-B3A4-45FE-855F-6CC2B37F7F6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00B49F-AF9A-41CB-A04E-D7CD3E49702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549896-23A3-4026-A1AF-655B6CC3321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5AE641-D70E-4115-9B6D-2DD12039C22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B0FCA5-A781-46B2-B020-2E257F71F29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143559-3883-4128-89DB-C3FF5F469D6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0FBE48-AC1C-4965-BB49-432E47ABA84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B2A36E9-1D9B-4E95-B76E-F5452563F81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15B384-605B-4431-A17F-8C3A8A3051E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1F97075-955E-4AE3-8150-22084805997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2B2CCE-A335-4D1F-9B3A-5D6FBB32363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8C304D-8C11-4A85-9BA1-0D01DDF1B94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05237E4-B5B3-4D6D-B2F8-51A8383D4E6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CB5896-4BB1-4090-B283-A26EC322C89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5B924B-9838-4D27-8580-C0013AFBBED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0429CF1-43C3-4288-BFBA-27FFFA89DB3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871207-35BB-4C07-9684-CD079A54D45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EFF4A5-7796-4835-8D5C-C61E59D5F28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A677FE-AD8A-457C-90BB-D7168748AF1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1DECDB-713D-4AC3-953C-DF8CA24960C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38F8C3-E74C-4E32-B5CE-76C2FF13F7D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00E6EB-0459-4E42-B5EA-28911E0C488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95A369-31CE-48C5-AFA4-C4BDAEF0786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BE514A-609F-49FF-A992-D04604FD14C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D4A9B6-BD67-49AE-B3E2-D906B47AE2E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A1FA9F-F843-4DE2-AE19-74BE2394FBF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B1F9FB-0B97-4A93-B83E-80CD7C9DCDA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7DF2ED-3DEE-4167-B6A1-A2B3359E9A2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E00F15-5D59-4129-AD0D-45A67716B12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F37E69-6CED-4AA3-AD06-A1A1B7AD25A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C7FEFC-8F35-4E7A-9A0A-9EDF37EF6E5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E5EC00-F1C4-4EB7-AAC4-793FD07D978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594E15-2B28-4AB0-A5AE-914ECAC7F08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7B4D5F-49C0-4F5A-8D0B-604A5778FD0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CB79B0-77D3-4885-9D8A-9A7B5EE20DC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22DE24-CA81-4399-A046-CD1D0A52559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FAB1B8-C7B4-41A0-B511-2EF145FE787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2222A0-D216-4B99-9FF8-CAD4022ADF1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755B1E-78FA-439D-86FB-20234C47EF1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B9DBA7-F4A3-4E80-B586-DC9B0ECC80C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7295F8-4E43-4F5E-8D03-DC0C51FC07E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B1A63A-B3DA-49E0-81EC-37F2EB3A294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EE1017-AB0C-4004-94EE-7FF9A8B9C8E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33C0E0-D9D7-46B0-96A9-7D2FAE5D217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E696BA-1FEB-4F30-A6D9-25D374B64DE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22D008-218A-4AA6-B09C-FD1A9B659A2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B4AFCA-B2D9-4DE1-BAB9-838D021CD3F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A1CBD9-2507-4D85-AB82-FB24842E7CE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9B47DDD-470A-43A1-B948-D48D8495B9D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9BEA58-5DAF-4097-9CB5-7B27F3BB725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627B00-3675-4531-AA0E-5869E025880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33DD07-78EF-4223-9093-61D6B5D78E5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BCD744-8C99-4FA2-87EF-7E08327B307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337E29-1BDB-47F9-9FFD-BD3C9A8FEB8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F11B5C-1B96-4534-9BB1-35669F3AC9B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8AE0EF-1EA9-4AB6-8478-4D0EEF69814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079C62-8164-4936-987F-57589D7C108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4E8ACC-E79B-4A1A-A721-A51A4DEBBD7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48889D-9814-442B-9CCB-CA37CBACDB0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891E54-A731-4739-8DB9-C41D2329D2C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B33A58-2E64-499E-98B9-3C421254160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24A189F-22C2-4100-9E30-B0F422AF44A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195BC9-D8E0-4B13-8333-CB717C8C08E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114598-C830-4672-BA56-1F639298328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A4ADC8-276C-41C0-BAAA-81141125620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AB3ADD-CAC6-443C-80F1-AB6D0BE01A0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56C4AD-C191-454E-B60A-FDFE5F861EC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DEB009-4AFA-451F-A0EC-DECD5DE0E53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B96455-14F7-4783-ADF4-0D966C60A5C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DC1E3F-25F9-4A0F-A30D-357E6FC6D7F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6E6244-1410-46A1-87CB-D5E4C91E58B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41C8A8-A3A2-48B8-B1CC-0D4C72A675E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25051E-9F60-4CB2-A32E-2413F64CCE0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548538-64B6-4034-842E-3FA99CB2A4B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533720-6F43-4A4A-9E75-6C3660B6B59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F73DA0-E60A-4479-A307-090F7747325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56DCDC-206A-46B9-9F01-0A11E3C453B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521C172-26A8-43DF-AC9D-A047B97B31B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3EF1C46-40F8-4AC5-A9B2-C2FD83F6018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C1D4EE-C22D-42C7-9C0E-D907CE29464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5BC05A-4E5D-4E6B-AB18-BB29E58D0E4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796F83-3C1E-4D7A-866E-30B711D29AF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F77DB2-C21E-47B0-84A3-00A1D762007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9F3FFF-C22D-448F-B9C0-1D511FCE870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D3CB38-C9C4-4632-81D1-3013803565B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DD168A2-793D-4FF5-AA3B-B4293392479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8A5FAE-9C46-41AC-9031-95B79073BB7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36FD62E-BDF2-4881-AA85-BD250A78EAF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1BF050-670B-47A7-975F-F3C50F2F92E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6827AE-9A67-42D8-B2CE-2B39E74E677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22FE53-6227-46EE-B10F-FEA50273296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DD72C6-3957-42BD-8E77-83E033550EA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354FD4-8713-4328-A6A9-3B944647E2F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1C4A74-486A-42B3-B431-BE2FBA00107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C6DA45-5016-4B1F-B9E3-BBBAB711584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4E297E-6BD7-4BCB-B3C0-731976C9D93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6849B8-1E72-4CCD-90E8-2F278D427FD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1C7F70-678C-473D-B062-37DC81F3790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497B7E-1662-42C3-BF99-131FDB3B2CC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99CC9A-6A14-4EBE-8E0E-E162B0496D5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048188-E89C-456D-ACFC-1845B67BE70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0A5FF9-C727-4634-9BEA-8A121F971ED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D48A9B-3AAB-4B62-81C2-2285D206469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FA96FF-7786-4295-BCC8-9FD9B152CDE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E880DE-8EB6-4194-8B17-B1FD4E24E19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F8CC4B-0317-432C-98F7-72B445A43EF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164AF2-7D69-4485-A4A9-EB029DA7631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80B860-E3C8-491A-9A6A-D84AB451B7A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77A255-8801-431F-B529-CC7B0583256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4D6232-151C-43A8-8E09-061705994E8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746F7A-741A-462D-9C89-9AA27565719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2B5AAD-F989-445A-B267-CA3ECDDED02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161118-13B6-414D-937E-34EB961553C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F64C2F-9742-43DE-AF1D-4DE9F84D593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ACD5C5-C14C-426D-922E-43753B8305F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45DA41-B6BE-4B1F-9A61-6F0A1EE4F08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AE3E35-6A54-494A-A6FF-EE1E701E1D8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6DC1BB-BDEB-47C1-BA8D-D2701D22A41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ED6B6B-07E5-40B8-BA37-6CCD9D9A3DF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DCEA5B-97C7-4778-AA04-50E294ABFBC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7D0948-246A-4C5E-BD35-357BA349A9E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11872E-C33F-4970-A15E-F07C1727CB59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F68748B-F724-4B05-BBF5-5DF3BFD21BA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3D5C60-50A8-412E-9E35-30B1777F55D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E338B5-FBDE-4B83-89CA-33A91AA2705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3A0D13-10EA-43A1-972B-D05CE28E001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944EA7-5E34-4ABD-B06E-9F270128FF5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591B86-E6CD-47B9-BC72-03272031239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0ABBE0-9FB9-40CC-A137-B5B046D3506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580251-36F9-4A23-9339-4C3F741E3D7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F0D6A1-2C7C-4E27-A8D8-4C78F2FCC3F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E5B0C10-94DD-4F20-A007-F2CAB394C94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0B31A7-8FE3-4A18-A67E-E28668C9552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366D61-F7D1-4DAE-B1D3-339FB888A97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489BE1-6F53-4642-8D76-B37684D4192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646BB6-6D64-4E43-8A0E-3B760FA4FEB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E031701-DE28-4B94-BB53-55686207E85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5B7E18-1EF3-42FE-8644-6AA815C5CEE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56B198-23F7-4651-B383-6E7EE364E0A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FE9D0E-CA58-4EE4-B043-9F8B2B91D73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41F850-98BE-4F7A-9941-0E1803F2BB4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98D40C-A2D3-4CE0-AD82-49371A97569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83C195-61AB-422E-87B3-6D60A8BB53A7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63ECC5-8D1A-47AB-90A1-9ACF7F4E5B0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F30721-90E3-48E4-8654-C4A3B48A01FF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5D430E-76C2-47DC-B683-8573C9EA446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B912C1-7246-457E-A30B-AD1F0777655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B8A620-E5DD-4C79-A2EE-9613CCFA7DE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67851F-D1CF-435A-965A-2300FC44B83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E8F3A2-3E50-41BE-B872-C6D9DE5C38E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3591" cy="34977"/>
    <xdr:sp macro="" textlink="">
      <xdr:nvSpPr>
        <xdr:cNvPr id="5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AF8F50-9600-409F-8650-D55680D0CC8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0509250"/>
          <a:ext cx="643591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BF10D8-27E2-43E5-AFD7-69F59653BDC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8A07D3-8117-4165-986A-79A81DAEAB29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E71177-DCE7-427C-9788-1CDDE787154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58DCD4-E649-4E11-B6E7-81F70B0E3E18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16B1C6-8FDB-468E-8A28-0876403F07A7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4B2EEA-34E3-4900-9E71-965AEA84AAF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C094FB-0A6F-4582-A3DB-2363B75D88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8FB09B-3DB7-4013-9FE9-6B778BEE36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4EFD33-AD7E-479C-BC61-5DEBD4EA27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42EF93-FECE-4DE0-A25B-AC7E39FBCF0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76971C3-6A8D-4A37-A875-A73D38AEB23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E43844-21EB-4F1D-B358-374C95A937C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F4DD2D-5A64-42C7-8658-4C56EFE225D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B442D8-80F9-4B90-8820-4AEFAA6FC6A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7EB1D1-224F-4AAB-895E-F557C38652A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F179AA-BE0E-4833-85CC-9F48634D9F6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3B3FD62-F770-4846-A9B5-6DCFFF7EC2D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031B59-8449-48ED-8EC4-E71506BFADA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BF97FAD-0755-4B43-9780-E50165B874C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FF3169-87D7-48A0-835E-F84F2A25AA6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44EB781-ECB7-465B-A9C9-66F50591F4E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452E50-8FE1-4033-8400-BEB5217F0BB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FFB1EC-0670-4F82-A112-F0549F69C03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917E6A-BF5D-4FC8-8A5A-78A723B702D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7DFD1B-87F0-417E-9123-1960735A9AF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8394A8-7847-4A73-B8EC-20C21DF973D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8AE654-5DD3-49CC-82AE-640E09B37B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B3C87B-8235-4AD0-842C-62625CEE181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A0553B-33AD-4C33-AFE2-0ABADFB350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2F1113-4F0A-401D-9951-8353A9732E3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C4B4D5-0F4A-4D6D-856C-1BF1782453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362A0E-E3B8-460F-A627-AACA39E812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647CA0-74EA-46F4-924A-EA4EA6FEBE8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A99AB3-0D47-4210-A228-FEFC7847EC6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08BE79-0F7C-4B8A-B9F8-B3C2D6D98200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926635-ADFD-404E-AAE8-84BE3794477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665523-7418-4CE3-8919-7160D4633D4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879DC5-77DB-4570-9636-09E021BA9CF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A411D3-0E7E-4680-A942-256DA68B2EF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BBE898-3BF3-485A-B7E5-5C5D7D076DA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A58DBC-0950-4417-8F7F-ACE129E18D0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978852-0647-4E23-A90E-8CBC9A3B15D3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A38D1C-AAB8-462D-9A6F-4FB1953271AE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8342C9-85B0-493E-BD6D-E4A91BA7A2C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A0E945-8700-45F6-A44D-9C3EDF621D56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BA82E0-8E87-4F8C-973B-BE3655DFBFC8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6C0C80-885C-4886-9688-F2995B0BF7CB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134221-1FF7-4977-A8C8-230FB45586B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306DF4-676E-49B3-B0C7-81D0C06AFE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1E5D0F-5B9F-4C74-ABBB-D34B5D1C2C3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AB7BE1-5C71-4E98-AF5E-CEC39B87B4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79E53C-2018-4A05-BEA8-5421D159E64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E55B86-F02B-4E6D-8712-77FDF4D91A4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B0DD2D-B581-4BCE-BD90-3BF9B0474B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A7B0C5-7B24-4280-9689-7B59327EC15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141D01-4236-40AC-987E-31389BEAC41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D3A0DC-D31A-47AF-89FD-4F250E8AA1E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D7D8DE-DBAE-45D1-A583-5736D88F6560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87E720-C6A4-4D76-B726-7A42A9EAAC4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630ABE-1CF6-436B-86D3-D3C47648529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9D66C41-9C56-4734-B01F-55C1FF60296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AB14C2-E447-411C-AC66-33DDF9F0DA7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0DC015-3CAA-408B-9F6F-F390502908BC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4607272" cy="28575"/>
    <xdr:sp macro="" textlink="">
      <xdr:nvSpPr>
        <xdr:cNvPr id="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AB41AE-0487-486B-8B80-9D6767579EDF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0"/>
          <a:ext cx="4607272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D8AA5B-C89C-4FD4-A839-9217E843F381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DE4354-88BD-4D7B-8703-F526F444A74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49A407-90B9-4E7C-996A-CFC88A967A4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A81E39-91F8-48E3-933F-6736F84C6AE8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37B90C-415D-4DCE-836B-78E730C2595B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17A73E-5892-486E-87B1-CC445C54AD26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3D3771-1152-4993-B529-0F9AC4A82CEB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11BE62-3A6D-4400-8647-AFBF0FECA20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FE8F36-D5CB-4B81-A2AC-4BF14C9AEF2B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C12D2A-E576-4BB4-965A-5E0633720289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932C6E-D165-4169-BB74-5712AAB09CE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7888A0D-F66D-47F1-AD44-FD18E5311220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9014A2-6F00-4033-8709-BBA5F8FAF9D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A72E37-5C62-456F-A9BC-63D3EB50FB29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5901915-C861-46F3-896D-B6737250E2B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09600" cy="28575"/>
    <xdr:sp macro="" textlink="">
      <xdr:nvSpPr>
        <xdr:cNvPr id="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8EAE79-3FA8-46CC-8755-FC41C75B2D0B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D5D881-6CA9-4572-B581-EE5E0EA2799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1387C4-840D-47D5-A21A-1581566BEAE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AF0A76-1488-4045-AB95-51895A41844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522EA9-184E-4E66-88F9-280E181D2AC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2BE6E6-1FF6-40D0-87E3-2C6B338A07A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4D26C7-BB6D-4BD7-92DD-1F0E0F1F3B4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FB0A56-799C-4C23-927D-08222367494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646953" cy="28575"/>
    <xdr:sp macro="" textlink="">
      <xdr:nvSpPr>
        <xdr:cNvPr id="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05292D-655C-4961-891B-83B6442524A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27B53A-EFA9-4526-A538-061AA0348E4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4E4F7A-2DCB-4282-B22A-50A11048A0FD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1CBF4E9-7B19-4CC1-87F0-AF25CF5678D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22E42C-E7DE-493A-895B-6587E3DF3B4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E36C2C-13AD-4206-A97C-FBE7EFA0B9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A02B71-9537-454D-A645-6419AF1BBE9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763E94-DAFE-4541-961D-8EA32967D4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3B4A12-1678-4D08-A0FA-61F614C7AD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66557A-2156-4A5D-8098-077C7EFA1FF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3CDF9F-58DD-4D05-9557-08AEE791A546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037E3C-448F-44C8-AC04-068F9818A9C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A13A19-A02E-468C-9589-A5AC3C2A7AF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D8A9E4-A62C-4327-B1B5-7035F66E7D4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95B354-9E39-4E46-9BAE-E796D09908D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37933C-3F35-4C96-929F-A44923F9E4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4406FC-34F3-4E8D-BAD6-02B7EDE9E5F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C614CA-09B5-4CF7-B2FF-E18859F8933C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26A75D-AB52-4694-87BC-EDD7C29FDB04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022166-9A68-41F0-AD1C-CF08CC86832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96E0355-1C4F-4FE6-9CFF-11B4F9E9330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CC181CC-622A-4A0A-8900-3AE69479C07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F1A941-DB5C-4A93-8E48-2F0A874E6C3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9A242AA-CD7B-4CD6-BF60-EC64550EF50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16A584-8287-42F2-866B-794B6B168BA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943D3A-62A7-4891-87C5-61CA00DFE74E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BEBCC8-AD26-4D04-A630-B29CFA38A783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783163-E091-4678-B823-4A721CB3069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65EF81-BD75-40F2-9EB5-31886E30A66A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D3C4E18-30DF-4D9D-837C-033C44634EE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01BC7C-0961-42D5-9AB6-F4966471E5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ED06A2-49AE-4F24-ADEF-E0FB2ABE15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1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6CDC6E-3CCC-4F85-9CFA-094A7B8E15E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44C83F-EF1B-4F87-A23F-457926007015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29753C-A5A5-429F-AC67-FD9AF80373B1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28050A-E4A2-4B7F-94E3-37F085ECD8F2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FB8150-DDDE-452B-B45C-917DB11A1C0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17764A-F91B-4599-8663-80A070AAE148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DD035F-D42F-4614-A03E-EF1546AA592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EC0A47-F46C-4FB2-B281-2FCB16999647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95</xdr:row>
      <xdr:rowOff>0</xdr:rowOff>
    </xdr:from>
    <xdr:ext cx="1486059" cy="28575"/>
    <xdr:sp macro="" textlink="">
      <xdr:nvSpPr>
        <xdr:cNvPr id="1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5DE375-0EF2-4727-A1EE-94A174F09BEF}"/>
            </a:ext>
          </a:extLst>
        </xdr:cNvPr>
        <xdr:cNvSpPr>
          <a:spLocks noChangeAspect="1" noChangeArrowheads="1"/>
        </xdr:cNvSpPr>
      </xdr:nvSpPr>
      <xdr:spPr bwMode="auto">
        <a:xfrm>
          <a:off x="19240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15A40F3-8937-41B2-9FF3-E0FBB300FA1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F235B2-E588-44BD-A115-425DDF2EB631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B47F17-9080-4743-ADE4-7627A05C120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33619A-3988-4DB1-868E-03EFBB453870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F8F850-3018-4F0C-A5F9-CCB15552BC31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730F92-9143-4D61-B048-6D5BEE08D97F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B541D0-1097-42CD-858C-7A86556BBA83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004131-B0EB-44DC-B008-BB73D0D2E1F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52296A8-FB2D-45C7-B2D1-8F1F2378584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58634E-1460-4E5C-80FC-E81ADDF89133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32EAB9-6E02-4062-95CA-F9B37319609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30136A-F2DD-4F18-B7F8-CCC57109934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EEEC8F-6F12-42E0-BAF4-2622AA263C4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AFE489-1D59-4A21-B478-37470F2D6990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C4B1B2-35FE-42A2-806F-34CD2DFA069F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BBC1E7-9EEB-41FA-9FAB-A52521AA7998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E64388-1514-4A31-BE1B-E77E0BDC7014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CCC68A-DCA0-46CE-8726-8AFDEC07F3A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17399C-9196-4BBE-BA67-76611B16B91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1486059" cy="28575"/>
    <xdr:sp macro="" textlink="">
      <xdr:nvSpPr>
        <xdr:cNvPr id="1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D8568E-4AA2-46D7-8640-4A63609BF96E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146C69-8672-4932-AF9C-FCCA7134C779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AECC71-6CE1-41DB-80AB-C46F6EDFAC7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7D2F81-C8EF-474D-A568-E4D4D82D937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FC7B92-D081-4949-86E5-C78687B0A74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902756-2DF2-4797-8895-C4551BD2C96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AE654B-9C33-48B2-B63C-8B6767A0FF6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FF28E2-9C5B-47F4-BBD8-B4E57006CED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862139-D32A-4590-B705-D4958ABD3B7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EEF626-7CD0-4E42-9510-BEE14DD2E098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683260-E8FC-4D30-A852-6C3531BC648D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A2E002-A786-4098-81E0-E1D7F314F9B0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20FDF0-B5D8-443B-89B3-AC5012810387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ED03F0-0F6E-48B5-9A9B-DD378FB9413A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6C21C9-59FE-4A72-A136-45399DCFB4A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062B75-0890-4D2B-8F37-27E483BF4413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6FCEC8-1377-4298-9615-A460C9F397EB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9B259A-A4B4-430A-848D-095445CB189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3C44E1-7AFA-43D3-BF91-816AC0CB2359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DC58A5D-8B72-46DB-9A91-D1CECB7E928C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95</xdr:row>
      <xdr:rowOff>0</xdr:rowOff>
    </xdr:from>
    <xdr:ext cx="609600" cy="28575"/>
    <xdr:sp macro="" textlink="">
      <xdr:nvSpPr>
        <xdr:cNvPr id="1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BE19D4-A46F-4407-A470-F4848B261D62}"/>
            </a:ext>
          </a:extLst>
        </xdr:cNvPr>
        <xdr:cNvSpPr>
          <a:spLocks noChangeAspect="1" noChangeArrowheads="1"/>
        </xdr:cNvSpPr>
      </xdr:nvSpPr>
      <xdr:spPr bwMode="auto">
        <a:xfrm>
          <a:off x="641350" y="147320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11949D-841D-480C-8497-C4DF80B1233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0071B7-394F-42F6-96D8-2DB941EA8F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74D7D35-F5A9-404B-B629-493767BFED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20233B-3739-4D53-A384-384A2C99E6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5D9ACE-F585-4CAC-A7DA-88E7C3E6A5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B4394A-2605-4528-8420-722A789A947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C31952-E189-40DC-996D-CD0A41D3E00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5A7ECF-EB06-4D1B-AFB9-DD02FC4E747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DDB8C9-A634-4A87-99D4-2253D5B4EF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212E0C-87E6-4DA9-BCD3-291F813B201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060900D-11A3-4C32-9377-6809E86ACB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4DFC1F-D688-462C-B7A5-FFDCB09F176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066DED-A9AA-458B-A2A7-B4D8A93026A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65FBE9-ECF4-41E1-89F3-ED03CDFD68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BEF9DC-1954-4EFC-B26B-859E41FC2F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94D2FF-AC71-4DEE-9166-FB7A363A151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9806E2-74C6-48FD-93EA-6F19B70452B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29023D-6BC2-493B-BD59-E73E53BBCBA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BF5C17-204E-4AA0-AC36-87EF651CD73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6DEF05-16AE-42E9-8CAA-1E3F481F62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BFAD19-2A4D-4EB8-890B-A391B31095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540D45-C817-469A-90CE-408C70FA43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70B7504-B9AB-4FAA-B028-0B98026C9A3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A5A1B2-F04C-4372-92D7-161655DC80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C7B3B3-F4DE-47DF-A174-9DBE8303EA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DF4B6B-4D1E-4ED3-A9D7-C09968ACFA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2470DCC-3E6F-4E98-8F03-D3C958FCCE6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A061B2-ED45-48C2-957F-854EC87EFBE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C5BE51-0660-475A-A1F3-056203A37D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1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2E8E9B-95E1-4485-BA9F-4F3D96800F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8072EC-88E1-4C23-9BD7-7E26BB335A5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77CB87-4E03-44DF-A6D8-324E941DE3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DA396E-1999-4CD1-82BB-FE0C8294FD5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876D99-6D25-4841-8278-8DA5902F78D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DAABF7-9A3F-411E-A712-FA9FF550CA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5C3E50-7942-4A1A-9564-AF144A408E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042F58-49BF-4A12-8307-ED815E2A53F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EAB332-3490-41A4-9C56-1B49187E75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6D0213-EAD2-4F0D-A16A-F8A46A4F167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42BE9E-9ED8-4F8F-8291-77D2137E33B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DD0A91-860A-4330-87BF-EC7DA0E109E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BA1AD5-5676-428C-B671-74BDBF16D8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4E7694-F6D8-4779-8A9D-39F65754536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D5B98A-3F6E-4E98-B604-B723D4733B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512147-35F3-44E6-B5F2-AAAB78B6FA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76CD18-C243-44AE-B3A5-8ABC74F68DA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6953" cy="34977"/>
    <xdr:sp macro="" textlink="">
      <xdr:nvSpPr>
        <xdr:cNvPr id="2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F4F6F6-D4D1-48E0-B752-46B2AE9771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6953" cy="34977"/>
    <xdr:sp macro="" textlink="">
      <xdr:nvSpPr>
        <xdr:cNvPr id="2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A9C241-1A41-4D4E-8641-892F345B4A9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42684" cy="34977"/>
    <xdr:sp macro="" textlink="">
      <xdr:nvSpPr>
        <xdr:cNvPr id="2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B3E29E-005F-41DA-B014-8926A54F44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0FE762-E991-4580-8288-0E79A6A741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D7A6B13-5E82-4A44-9B19-EF2317E56E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966EC2-F0BE-4888-B25F-E6C22EFE09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0C49A6-121D-4B42-8B2F-592D6D7DE7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71DC4B-0240-4F4D-BAE7-DF1911AE796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55A490-85CE-424E-BDED-7112EA5F7E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C9AC46-9BDB-415F-ABB8-D57AA9F811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5D806C-78FB-4861-8DC3-DD81A9A64B6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C00B47-42F6-41F8-B494-5642DCD5CA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31662B-1FA8-478F-AA5A-5ED789EC655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D7C632-B4CE-44CA-80C4-731EEBA38E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1DC180-0AA6-47E3-94B8-070F96D41F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3160B8-BAAC-40CF-AD0D-0047D5A4359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2F3B16-E631-43DA-9154-10D3ABB1B0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6A6A7F-19D9-4784-8132-5BBABA304B7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3E6F5E-28CF-46EC-9D7E-DBFFAAB8D0F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4732C0-66FF-44F5-8411-AF1A785252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61B28D-A5DF-43AD-970E-02C4AA2C6CE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71A022-BCB8-4976-ACB4-4FB377CCC3F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1ACC76-224C-4285-A5B4-529E53627F3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A9D5F6-EBA6-473D-A4C8-DFF2AEC20E6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DDFFAD-B1C8-4406-88D3-55526617E4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59CB43-434D-41BD-B2C1-C18EE5EF929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F8FFB7-C70B-4972-90DE-A9AB0AE6CD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A685D9-9B96-4872-8D5B-05BA4A6001B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F60785-FE43-47F1-98D3-ECA133ADD7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9F36ED-3CB6-48BC-A92C-6DAFCB5A15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5AA276-95E6-4FAD-9C07-E4293E5F0D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000650-9054-4CD3-AA06-DD364DCB40D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B00ECC-A770-4910-8AC1-238D815710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EEEB48-403E-4CF1-B32B-22074488BA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CD9E79-5BAA-42A2-B3EC-DCB5F35C44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F833A6-BA5D-4BE3-A48D-88A71819E1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E46C6F4-BCAD-4178-A2B1-E9F3201046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83556C-262B-4D16-839C-40CF8E82D2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CD432C-A35C-4805-9768-E7FDCBDFA0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283342-B2C3-438E-B9B6-7659BF74AF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DFEC8F-AB93-4D62-803C-0C5479E993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1CE98CB-127A-49A5-98B1-A1374D7A89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B84C44-DD94-4966-ABCC-938F4065EF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8ACD59-280E-49C6-8965-9CA043D802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39356E-32D6-4168-A3A8-5088912662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485EFE-65EC-4685-8DCF-CE3590CBA6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64FF42-9B26-40B4-84A7-E2C0B9E929D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375677-538F-4CAD-85F7-96BA0F7A6B9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51FF5B-422A-453F-AB5F-D975B9462D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7A7940-5472-4810-91F6-2CFF350FA3B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F3C520-67DE-479C-96FA-954F94BE13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1EA82A-81DA-477D-B7F6-3DF16CD092A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576ED8-91DD-493C-B4DC-EB4FBA30CB3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6A17A2-FA27-48C1-9604-59712721B5D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613FC40-033E-4388-931B-D880C3DAD7C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075ED4-7D1C-4619-8633-BC7DB19382C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CBFE2C-BCB9-4F08-BB40-DE2F7D46C51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A08D0C-0499-4BB3-B260-3B93043075C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9E2951-ED6A-4F5F-B995-2B73D2C123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A83326-523D-4C6F-9607-368A23E230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0B60AD7-77FE-40B3-8C64-6D065F6969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C7E2186-0CB2-4455-92AD-10AAE39879A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879998-0E38-4F10-A2DD-56BA93963D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57FAD2-45DD-45BD-A3A5-582D7631149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7865FB-1505-46BD-B948-819AC22C9D4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5AB0AC-0A4C-43A9-8C1F-C701553AE69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EA48B0-4FAA-46E6-A033-9ADD2E4BA5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2B84E9-EAD0-4410-9D02-401DC14B0D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5BAB01-0583-40B0-88E0-771E09C65FE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31E498-D421-4D77-BEE1-EDEA22AFE0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2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B7AE2E-674E-40A9-B386-2081505D6B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7CD7EA-10DC-4949-915C-6A0A4DA8210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5D866E-EF09-4BF4-BA8D-309D795FBB4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6DEB59-681C-471B-8A9C-90A83098FB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94B6A8-661D-4CC8-9252-C403140A67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368C45-7E38-49E7-812F-8805336A54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7D4117-25DC-4A0B-81F3-E1BBFA499A1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474C4C-1A8B-45DB-A68A-8AE864F1597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DD27D73-7E9C-4666-8652-F2E925BB822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45D53B-01E8-4E81-94D3-D43F2B10309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121B06-469A-4B5A-A818-EC9FA37D1F0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8D9F90-9B35-4CBB-8186-6901B3876ED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880D31-A547-45C8-BBF4-66384A40497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2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35C34D-C172-4C15-A011-0A99E6AACEC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0389F5-E43D-4045-8112-C93E46402B4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D9A906-FFC0-47A6-8F51-85B8FEA65A3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3A4549-FCC4-482F-8B34-B762D4BC5D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9F5066-FFE9-48DC-845F-1D6DFACB48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BEB8B1-2E7E-47A9-9598-69903CE8A70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9067E11-75A3-47F7-BAD1-EF99A7DE8E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47FFB1-EB07-4BF5-B47D-C0B78745934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93AB0DD-38FF-4C2D-863D-E4706BA3077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3FC8D0-2149-475E-AF9F-9C83747195A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4D0F70-A0BF-4008-9542-0AF364792BD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6B6491-3ADD-4731-88E4-88FA6BD390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ADB713-10EE-4FC6-99E0-05E3265298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CFA491-7484-4D9D-BCA5-FA40BD7BA56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EFDDEA-6D5E-4737-AC43-9603DF6B60E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F0C1FF-2570-40E4-8F4E-855C579A108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994DC6-BB3C-4E27-9179-02EB74B049F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E61F65-4D17-4E8D-BCD6-C4A6903352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99E74E-2FBF-47EC-9EB0-DE45DF16F4F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0B7271-F187-4B27-9C57-878B633E016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6C079D-6C53-4065-8CF5-0D96C8E8DFE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0B99E84-C634-4E0B-892C-E3C69E6E60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E2826A-FF4B-43A5-93B8-D5E5A264AD7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97D67E-7D4F-4B13-9020-EC23937FCBA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B09276-D0F2-4B63-B09F-35D91B34931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6B24DE-E64A-4EAC-9F1E-1B029A67F6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D92C78-BCB0-48F3-87DA-77A48B8F3FE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77C02C7-CC23-4713-8BCB-D302E5E076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B682DD-25F4-453F-8A60-AA543792D10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69D778-CA3C-47D6-BFBC-723E13EAAA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9DD15B-5A01-4577-B169-7348261D46A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3F6E45-320C-4BAD-B7D5-2ADD43BCC1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6281A5-1D5B-40E4-88F0-8012971F0D9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ABA479-D188-448D-8D52-5D34791022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97918C-F26F-408E-AF86-7C6C3C8DB76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BDBAA5-D2F4-4FC8-BF1B-3697FC82768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4252F2-2E59-4A4E-9985-4D6DFA46A94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D2871E-911D-40B3-8590-B7B91C879AA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CAE040-EBC0-40DD-AB1D-192FAB2C9AC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D03FCA-0FC5-4BF7-9C96-FA8EB68E34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FADE84-D101-4711-9F1C-C875AA23548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4510F1-4EB9-4DAD-94E4-C72DFD44331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C234DD-2402-4DF9-934A-97C7ADF389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C714A2-8F65-49A1-B6ED-D9D684C3ED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F1FCF0-69D7-465B-B6AD-0840C22188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808FBDC-F54E-42CF-AFF2-C791A520D74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A5625D-A5E7-4927-A2FD-2689BD4342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DE2D27-E0E5-40E7-8F9A-925847ABF07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2E72091-E1D2-4F96-AF24-04BF6BE4A8C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9CAE200-AEE9-4B46-8005-A77CF0F88FB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29CE06-2820-4777-BFA9-24B708DDD43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F86FAE-5C69-4D26-8466-8250CBDD45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532C3F-0078-4CDF-B1B4-8F057BF94A2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608D34-C125-4F85-9927-EBC3BC7D950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EB0B6F-2AE6-4A2F-8D4B-E1D7018336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4D2650-E440-45FB-A23C-F8B1E976CA2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246209B-668A-4A5E-B522-8E7D585630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418837-4603-45AF-9D43-9F6626463FA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96EB02-8945-40FD-B1C3-F1150810F6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4BBC7F-2853-44F7-9E25-21A5CF2A57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8" cy="28575"/>
    <xdr:sp macro="" textlink="">
      <xdr:nvSpPr>
        <xdr:cNvPr id="3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F63E0B-4181-408A-B6C4-D2349CC566B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8" cy="28575"/>
    <xdr:sp macro="" textlink="">
      <xdr:nvSpPr>
        <xdr:cNvPr id="3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344309-780A-447E-83E5-73BFF77FAD7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5A6C6D-ACC5-463D-A3FC-6AD87EED31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6CA3E3-BEA0-4961-A7E5-7F3A2E86AB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4E14C9-9A56-4EC7-8FF4-BBA76A6CD98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B49D6A-C941-4194-8401-8270BB3FB54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9CED6B0-B436-464A-AE88-00D55E18C9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C7CF7E-DBF7-45A7-A8D4-0AB8D581A2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2C3846-E437-4E1A-84E6-432C1F3B05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FB4833-A6D9-41E3-910A-4A15DD30ABA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1FD379-B28C-4BD5-8935-F3FC5AC2BD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51D06E9-C3BE-4C13-A99C-F037EBD1298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882C48-13D0-41C9-A3F8-4CD24DEBD1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5191FFC-1A03-4455-8EDB-4CC653550F2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27D5F48-C06A-4B56-8BEC-FA0A2A1596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FED728-141F-4980-A2A7-20B4540F4E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FA2ADA-5F31-43E1-8B11-5A7FF91335B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36ABE7-CC04-4461-BB10-D04A8CB64DA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BA59AA-72CE-4269-A1A6-680F6B704D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DFA43D-1565-4977-A4FE-F9F4BB176F5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8F9D13-2860-4467-96D4-27A50BA1AA3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597353-E745-4D97-9DA5-29B1C4C9F0D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50B09C-DEE5-4723-9918-A086D8AB95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479EDA-2EF0-4ACA-8863-6C74248D9AF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D79C35-D291-4FCC-B35F-7B2905443A5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A0647E-9E1B-425A-A904-6E2B74BEA1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B1193F-9004-4C79-A6CA-35FF0D6A6A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EDD45A-AA4D-4007-BB4B-FC7EF3382C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B45E4F-9917-4361-B10E-BEF1A18C21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3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5B4D79-DFBF-4B00-8F31-732DF387AB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B5474E-0BE7-4EF8-813D-F93CA86C47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9DBDA6-BB96-4574-88BA-534D8DCA7F3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4C98EC-F237-449B-AD22-3A1086C659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BC500D-51DA-4911-9C9E-9AE2A73B10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7A0D1E-43BF-4929-8294-9C507DD178F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BB9CDB7-5FDD-451B-8D38-DD86FF697CD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794EAA-92FF-4671-90F1-7AF895580EA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9D759D-FE4D-4178-9633-8C612EDB523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89677E-B22D-4DEA-B342-6984DFF896D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8E3E225-FB68-4A47-B6BE-E03690CA99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3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D8B569-3D9C-4927-87D1-D9080F1FD04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AEFDDE-C960-4DE6-BD69-FEA8CCBA2F3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28CD8B-EE13-4051-A86C-013ED5C76C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92324E-2A4B-4A1C-92F5-32A03F60F5D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197263-D093-4F05-B31A-EE285544380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76E93B9-E92D-4D67-B6B5-C97FE93832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0F55AF-D89A-4EDB-9405-76F3D7C20E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EF5517-C891-4752-B810-493ABDC091B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47E437-5BBA-45E5-A27F-47DCDBF277B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96E68C-18FA-47C5-A528-7E912C96473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FB2897-C1A4-4CEC-8019-5A1C945046C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B0FB27-60E3-4E25-8A25-49B8A43F295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31C426-E86C-4D82-A23D-1A01E765B1D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DD46D8-C5CB-4EC1-93CD-4E5F025172D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E8CB95-B57A-4658-A208-453046E445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03B29B-69F2-4E60-86FA-5F7E79E9A35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260322-E5C8-4F15-9708-10250450ECF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D3B738-E304-4980-B716-3787BCC6A9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B79A64A-437F-4B9C-8D54-5B8C90CF9B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DCE048-4F02-46F5-A33E-C4E1D01005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55EDD9-5812-4295-9E39-8698B6537A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ABD441-77CC-4B5E-B2A1-9456F8B24E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68E87F-7982-4BDD-AD70-D76441F655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E925215-0746-4A2D-8719-5C9DC31241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B943FB-19FE-4067-8E98-F5B56D0EE76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F991B8-BA83-419F-8C8C-4036835062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EC547AF-134E-43F8-BB37-89A162BC87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0A0351-7A94-4069-9A12-A75CFD06AA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0376A5-EA2F-4E1F-A7F8-7CE60BEBD2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37FBAF-D1B9-474D-B37C-C44645D9502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0C1D3A-D0D6-46B7-8C7E-47114FF626F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ABC0E3-6DF0-4C8F-8777-33B40B725A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269A48-6905-4A4B-979E-DA92F51BD4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F47DF01-8194-44F0-87C0-F9CE21F4C21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561D5A-53DE-4A34-9E80-100B0D8B981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3A20B43-586D-42C0-A6E3-2990983C5D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1C5CB2-F77A-4173-B71B-7B45F08CFA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35E152-D593-4890-96A6-61186F04B4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6FC0FBC-F1A8-4ACD-8A6B-83BD1ADDA36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417263-EF3C-4BE1-9EC2-3FA3A7C7E7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131307-A2CF-4DAC-B942-CDC4E87DC3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ABA3CB-43F6-44BD-B271-09EA95A0F5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5CC64F-BE6F-4CAD-B276-1BF686E3B8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483CEB-9A49-4B2C-B901-C17CD156C0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B6E010-64CC-42F5-AF4B-0966F98A80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1D99E13-AF86-4043-9C84-239E1C504F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4E3090-AD73-4DEF-9889-4566C218B7D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870895-C246-4BB4-A39F-186BFC0AF2B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E4175A-DE7E-4A04-BFEA-569D4AFA29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D9015A-B439-427B-A8EE-30F2789041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E1F2E6-8230-454B-AA7E-C7BC3B6C49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3E5D7F-AF38-4773-A746-12DE53D23C2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4D1C64-7719-433D-B079-BE8A659760F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AC09B0-586B-48D3-B1F8-B84BAE8C24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B0ED5E5-974B-4A24-A8E5-98C4F74911B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2EAA2E-11B4-4A7A-BA26-CA4A580060C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487A100-EAF4-46A9-9E10-CDAB8182DA0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395BDF8-D8B0-4998-86C4-4FFD62512D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BE037F-577C-4FA0-9D5C-CEB4AC55A3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FC4C36-032E-4D02-941F-769F317AFE1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41C0B4-EA09-406B-9ACF-E610E8C5544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3CFE01-4F3C-455A-99E1-6A9401378F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81BD19-46AC-4DA0-9B93-06A7B8DB32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80BA14-7074-47C9-B203-A5E5DE0B63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906E47-4EE0-40FA-8D4F-35FA967701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C3946F4-78BA-4709-AAFC-B63F24BC64D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9C8EB6-0685-4137-A2AC-25D38CF1EB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F59FE1-519D-4820-B4A0-6DC5AF630D9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5E1C000-8C99-4F1D-884C-A4999405923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DB9743-DF47-4DFD-AD96-E99C96D31D4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B1FDD7-1245-41D9-9AA8-163046A12E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F412D3-F8DB-470C-94DB-2A38CE4F27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A1AD4C-93D9-4949-9822-91D5B72681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0D0753-9B8D-424C-AA34-77565D022A6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746A89-829B-45FD-A55D-A71A7F4C3E0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BCC716-451C-45DF-811E-418D7E076A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01857C5-FE73-4E30-9D1B-95DAAAACEF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315907-6614-48CD-954D-219FE07F6F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7CBC68-28C2-494B-8431-E0C816F76D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DAC052-F28A-4625-BA5F-0D17D6A3DF3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D7E26E-A2CC-403C-889A-55A7C116C4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EA1838-B46A-4092-8170-E78796544AC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CDECFA-1411-4B7C-991D-A83ECCFF0DE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BC55F1-DD26-4A3B-8153-E76CC4BF7F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2FD1BF-689C-48A8-92F7-15D0A102FD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48FCB3-0560-4DCB-9AF7-CEDB7EE70A9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8EFE4B-590D-4D45-BC36-BEF26F24A5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659CAE-8827-4941-A885-71C17641A86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6276DB-C533-4AC8-B649-B9AEDD2751B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3F3A3C-F1B0-48A1-9E8C-CF8E81D41D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CFAC159-1AE0-4DE8-AE02-6E02A50EA2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4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07CCFF-5A0B-465E-B25C-4D454595FB5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7976F5-4B56-4856-8124-6C463BF9D81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D3A32F4-7613-408B-AFAB-61FF64A78F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D872EC-208A-4F32-8BC4-0AB19D035C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F60C20-D82D-4625-9F2F-156AA1452CF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F202CA-767B-4384-8B7C-AB556DDB16A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65803E-52CF-49DF-8A33-A7C7C3A2428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7460EE-5A24-4DCB-82DC-55D89B822CC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772411-49B3-4258-B3BC-567E820E68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4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4C60A8-29D4-4F21-BC9C-668C0B97CC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F27D09-0447-4480-9343-7A92ED8CEA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C24B76-3C46-4C12-81BA-A99291ED8E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C68640-F11E-4A4A-9B7D-4D8A8EFECC6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DF140D8-7E15-4467-9D66-5865BE835F8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8" cy="28575"/>
    <xdr:sp macro="" textlink="">
      <xdr:nvSpPr>
        <xdr:cNvPr id="5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FC346A-7D76-47D4-8C91-B6E84CE71B0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23C8B57-9684-4D45-AABA-68D86B7D33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0D98C62-D867-49B6-8978-64C36DD5556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BDF2B7-ADC9-4BCF-8055-CA38C59228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6A931B-FFA9-4158-B2D1-DDB0A35AF4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548700-618C-4586-B1BA-A9AD9D5B6E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200DF5-D5CF-44A3-A316-AD89873F43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720574-226F-43AF-917B-B02E329FDD0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95</xdr:row>
      <xdr:rowOff>0</xdr:rowOff>
    </xdr:from>
    <xdr:ext cx="631476" cy="28575"/>
    <xdr:sp macro="" textlink="">
      <xdr:nvSpPr>
        <xdr:cNvPr id="5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CF250E-C351-457E-B160-EFF72A9B422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47320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CF7DE8B-A5B7-47AA-945D-D308FA806D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D46E7E8-8D43-454A-BD90-BDD61D92A9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D5DC42-0AF4-4455-8FCC-C0611D0B8D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A20E8A-C013-4BDB-A172-B404D3A2779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A3DFB9-CCD2-489D-AE68-DF9E6916A2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CB02CA-420A-412E-AA58-A3A295A917B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E5D778-7FB9-4B01-9F87-060313E3448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CAC2A4-0222-421C-828C-C4C5228B97B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CCBF9D-65E1-4FDD-BFDB-F9005409CE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890D4F8-6747-4EE3-8043-4F126449854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386DE6-7B4B-4B44-988D-728AAE12511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31476" cy="28575"/>
    <xdr:sp macro="" textlink="">
      <xdr:nvSpPr>
        <xdr:cNvPr id="5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FA6BCF-667B-4CFF-856B-9C2CEB20D0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59</xdr:row>
      <xdr:rowOff>0</xdr:rowOff>
    </xdr:from>
    <xdr:ext cx="643591" cy="34977"/>
    <xdr:sp macro="" textlink="">
      <xdr:nvSpPr>
        <xdr:cNvPr id="5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A94DAA-3D87-4BF4-B324-F18081587B9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9023350"/>
          <a:ext cx="643591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717494-94B0-4EE6-B02C-82FFE741990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FC8949-3CCA-4E0F-83F3-136ED5530CE3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9EE851-3DEB-435D-897C-07310495F08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3B81C0C-ED8C-4873-9547-34F972FD6CBC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AF180B-C51F-4AA6-923A-49614D843ED5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3014EC6-2981-4AD9-A78D-E87C3FF1EAB8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8858FD-728A-44A5-AA4C-D52EE5E128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B8AAF56-F7D1-4726-8877-D99697E45AE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72D8A0-FA35-4B64-B919-C6BEBBD7CB8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85EBB6-1C00-4A23-959E-94E031EFEF07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554E461-4FB8-4585-9738-6BC5FADB0D0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8FE848-95A2-49EC-809D-84FFCDCD3082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97BE3D-A019-4132-87CC-8BCA9796470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BD3578-08EF-47D2-BA16-5F88C42E631B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7CB6EF-43B9-4636-813A-3CF8DBA16450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B2D397-DA80-4973-911E-B90FA493E5F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17D4C7-C700-49E9-9FC7-7BD40D2D929A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2B6245-FEC0-4D38-A7FD-271E03C65E7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9A9E0C-DFCD-43D5-A01F-48B4126D23AA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E1E833E-F946-47FD-BE96-D8B1C2C6060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504468-0107-42EB-87DB-C6268C0F8BFF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0083FC-03E3-46CA-9924-07D75C37756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29BE2CE-1D67-4AB3-8560-A260D4C32742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66796E-9B20-4A88-BFF0-A38881A9C82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D2F388-52BC-41BB-819F-8F6B65468F77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BA1767-E177-41EC-996D-E0450007B8B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5D5FC6-B842-43BB-A2C2-76791F7556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E09355-2E36-494E-8A0E-4A6CA4A4CA3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AC3A35-BA0C-4D0F-BEFA-ECFDC39077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B4FAC0-C3DB-4E15-B670-4BAD1C0EEB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E6DD66-ECB9-4B8E-A4DF-057DF81DF5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5D2637-E912-4939-ACCB-A853A9D135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99E9C1-E95E-454D-A358-40B33B8725C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711BEF-B8C9-46E0-A38C-E23EAA12A41F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7E1D08-ED94-4638-A026-726A400BE04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48E18A-F10E-4E18-8E12-A31A43B1D6B3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9056586-42FE-428D-9749-B89971E97F78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EACD63-7FD7-4350-9EEC-8FD25D81DED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0A9785-A833-4A58-B3B4-AED0595E423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B5B7E4-97C1-4693-8BC3-7C76BE91AB36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6D5FD5-49D0-455B-BCBF-ACDA274FEB2B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CB5AD5-FE4B-465C-B1EA-5C433D5A3CE3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0C2F97B-11D6-4DE0-8E58-8B35D87E73B1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F7DC56-6D06-4398-9199-D8A058630BF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C259244-F19F-49DF-B046-968CFEE9A7F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532E4C-717A-4AB4-BBF1-031CC569F70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F6E479-6CBF-4025-8D36-B7B4D5830484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73A1727-41FE-4C19-86A3-C68A5BBB15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5415FC-4858-4FF5-A97E-4A58D97A01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D41CA5-1840-4691-A274-CE160E4D06B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F4FB91-A541-4D1A-ACC2-ABCE9E31AC7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D62C77-9299-40A1-ACB6-C1773A6AC1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763C62-13CD-4AC3-99D5-CCD06E9CBC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63858D9-6000-424A-9AA7-FA4E406F4A7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0A5848-107A-4E23-BDE6-6541FDECB1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FDE3E4-DED0-46B6-ACE2-440A8587961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CEEF8D-8796-40AB-8748-F3294D961A4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75F600-4C2E-49F0-91E3-4FC62E52C81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408636-C7FC-4766-8271-C0734EACE5B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C822A8-0F68-4589-BB1E-BE1874EC5617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980C37-BEA5-4A04-B439-6E0071705F9A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275249A-0C9D-4119-9958-389E79A7D231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8E1B14-7AB2-4AF9-B2E0-F7BE2A2F011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14</xdr:row>
      <xdr:rowOff>0</xdr:rowOff>
    </xdr:from>
    <xdr:ext cx="4607272" cy="28575"/>
    <xdr:sp macro="" textlink="">
      <xdr:nvSpPr>
        <xdr:cNvPr id="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18C2C3-CA5C-47B7-B567-5CCFF76E540B}"/>
            </a:ext>
          </a:extLst>
        </xdr:cNvPr>
        <xdr:cNvSpPr>
          <a:spLocks noChangeAspect="1" noChangeArrowheads="1"/>
        </xdr:cNvSpPr>
      </xdr:nvSpPr>
      <xdr:spPr bwMode="auto">
        <a:xfrm>
          <a:off x="0" y="2578100"/>
          <a:ext cx="4607272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5942219-5145-47FC-AA1D-AC2C565D225B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6580DE-1DA9-4403-9D93-9991F21B425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07EB4F-78EC-40DA-BDD5-E964F217600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DF16A4-E73F-412C-BBC6-20E60BAD1241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4D7ED9-C52B-4261-9D37-38B5D32BA2D7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97A7FF-6753-4108-B77C-69F09C7BC7AE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55E28C7-E718-4F3E-9503-FD347B3ABED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9DA6F2-2EDA-4157-BDBF-AB9983BB360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54AA06-3517-427C-91F7-ADBEA6D30D08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F317FF-EE39-4570-B4D4-AB6960B4E52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2661A3-314E-4B64-929A-6BC47ED1FF6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C862B1-36FC-4330-927B-09A01A157082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AD3E91-DECD-48DA-A7C4-7DC02A7E899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0309EB-EBA0-4915-AEAA-CD14E290B560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20011C-E6AD-46A9-BF72-4F0420FACB3A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09600" cy="28575"/>
    <xdr:sp macro="" textlink="">
      <xdr:nvSpPr>
        <xdr:cNvPr id="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BDF48A1-7276-44E8-99C9-B4DD0B932BD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E73F64-18EC-4AE9-8AA8-D0F314D1F5E1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D6EDF38-AF57-427B-A881-5D16D6F97BA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E7A9D9-7F78-41AC-93DC-12E58D05A2BF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DB8ABF-D5EE-4248-A2D7-D628543B07A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99D0F4C-FF50-400B-B203-BE822201B23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8277EB-8740-4511-A31A-AEF66DE8F61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E9D3757-8012-4DC2-AA2F-314273731D9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646953" cy="28575"/>
    <xdr:sp macro="" textlink="">
      <xdr:nvSpPr>
        <xdr:cNvPr id="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1A623DC-3B7B-47E8-9473-227A7CD53011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646953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F1E9D3-6ADC-4064-9E71-C75914F30E00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61CFCD-6BAC-4FAF-87BC-F1D06892ADAF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5170A5C-279F-4208-82BE-7AA1008A2C0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04FC93-FBA3-4B9F-83EA-7C6022CD59D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60AC61-F8C8-419D-961C-0C88EA288A3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B3A242-A39F-45C8-BE7F-985408EAA3C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09103E0-E4A2-4F91-85E8-8D77B2DA43C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F424A43-F82C-4AE5-BF23-7284538E3F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AB0E40E-E28A-4800-B554-E6B1A2D91C96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C9B373-2978-4E48-A2E4-B5DA02D68C0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C76BAE-4064-4699-B04C-77708BD14962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ECBAB2-EE71-4A09-A5F7-127FE81877F9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72D867-ED2F-4A82-A7BF-DF3FC824B6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5749FB-3BC6-4ACE-B144-C84E5CCD655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6C7B13-E9FA-412A-8B12-9348476E9A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9E84A1-8987-42CB-84E8-E9067479791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9076219-44CE-482A-8347-CDC10F33853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05FB71-1D39-4AD2-B89A-CBA8A288F13B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2A9BE5-DA3A-4E2C-A02F-02760C63FF5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5F3DFE-4325-475F-8047-A563FAFBBFC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F5A206-A271-424B-B8E2-344B6ED2FA9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0E3A82-817F-44CB-8948-4A829BEF69D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AB61E3-5092-4057-9B51-86F903285A5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11680D3-D1B8-4B14-A788-C3920136A89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027E5A-23B4-4CC5-9017-5CBA82203716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CA523EA-789F-48AA-A033-CDBA4463AC6F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CF4F9F-DD52-4C5B-869A-22AC47E22E0D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3DDAF3-0076-4E2E-B14B-17E16528F223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6B35DAE-A898-4FEB-9594-9868D269EF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329956-D7DD-4DB0-B43D-07FB5BEE32A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076CCE-033F-4773-9FC6-95CC1F021A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1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ED9DAB-160D-46E4-BFBA-404AC70AC06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4F4714-66EA-4E36-88E7-C351EF24B813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538BCE-84FE-43F4-A578-E7489A56DAE9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D1E054-36D8-4A28-A1AF-6D09EABB5F3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D3FA45-7CD5-4850-A56C-79BA59B018BC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7A3A19-50D8-42EF-8173-CE7217615BC5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96B308-C2B7-466D-8905-6E9F29B09D55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C22B97-7A94-4263-A699-BDAB0E0704FE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14</xdr:row>
      <xdr:rowOff>0</xdr:rowOff>
    </xdr:from>
    <xdr:ext cx="1486059" cy="28575"/>
    <xdr:sp macro="" textlink="">
      <xdr:nvSpPr>
        <xdr:cNvPr id="1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BF4DF3-AAA3-4394-9625-822817A44024}"/>
            </a:ext>
          </a:extLst>
        </xdr:cNvPr>
        <xdr:cNvSpPr>
          <a:spLocks noChangeAspect="1" noChangeArrowheads="1"/>
        </xdr:cNvSpPr>
      </xdr:nvSpPr>
      <xdr:spPr bwMode="auto">
        <a:xfrm>
          <a:off x="256540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A6CCAF-5E28-49EC-9B96-7688869B2EBA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BB8B19-FF74-4EEA-9EFE-D285044872A5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E068F5-782A-48CC-95FD-6BBC8373B569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C9DBA8-7478-4A96-BFB5-5C7763A57FFC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7921B0B-373C-435B-94B8-5229E646EA97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55E96F7-161D-400D-9EC7-83EF5F108F09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3D9B96-6418-47F3-B86A-CCECB6BF9E13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E71DCD-7CDD-4A51-8030-FBB45C66C399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AE8258-C2C0-480C-AE76-CBF258ED626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1FE5D0D-3115-4E68-AAAC-DDF2C4299A3F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6304BF-ABE5-4380-B04C-722C41E884FA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F7B823-152A-41EB-B446-19EDE50D7D04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1E4845-9552-4EA4-B098-A6BB0B99EFD8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118633-A64D-457D-880F-D9208E43B80B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E16A966-DD18-43B6-83D9-387BE3BB5477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86A16C-3E2E-4D01-B2FE-22F4D5B7CF22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F2FF9F3-417D-4414-B564-8CB33A850F5A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DB088F-0882-4DD3-B80F-A2037759AED1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3A399D-317C-481E-B4F1-B52442AFACF5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1486059" cy="28575"/>
    <xdr:sp macro="" textlink="">
      <xdr:nvSpPr>
        <xdr:cNvPr id="1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A260385-21BE-468C-8966-4492012BD267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1486059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3B3C5D-17D3-4170-8FB1-DE87B5578B6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B761AA-5D75-4596-84EB-9D8CCF1A696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84466A-9D60-4121-9B40-BFA1881E1462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4CCD22-6A16-43BA-B3FF-7349530C66B2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9C424C-4616-4AAC-8A0D-71B8FEBB8D4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E67BEE-B595-450F-AF69-126548CCE470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36B5BE1-3302-45A7-A3B5-C5A534F1F3AA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968D70-9EF0-4CE4-B8B4-256093CF0C9C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3E5D97-63A8-412A-92FE-963F34436249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AACE85-9D2A-4AB2-90D7-7CE427D478BB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BCEB064-8ED3-4437-9089-66930AA97ECC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5F0A16-467F-43E9-9FA4-90789593AE34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1D31B1-A56C-4026-AC87-52243FFD2A92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472EAA-F700-4868-8E21-F749C3907344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8A4F89-FF7E-4385-8C57-543C37823BE6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39696A-ADB8-49CB-9DB5-7309EDEABCDD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3EA2F8-E41D-45CD-BAAF-6840523A2F63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E7A2F02-6676-4859-8BF4-2A0214861B37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FB95257-483B-44F6-88A3-1B327EFAE9C1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14</xdr:row>
      <xdr:rowOff>0</xdr:rowOff>
    </xdr:from>
    <xdr:ext cx="609600" cy="28575"/>
    <xdr:sp macro="" textlink="">
      <xdr:nvSpPr>
        <xdr:cNvPr id="1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288D4A-D91D-4575-895B-9739AEE4FE05}"/>
            </a:ext>
          </a:extLst>
        </xdr:cNvPr>
        <xdr:cNvSpPr>
          <a:spLocks noChangeAspect="1" noChangeArrowheads="1"/>
        </xdr:cNvSpPr>
      </xdr:nvSpPr>
      <xdr:spPr bwMode="auto">
        <a:xfrm>
          <a:off x="641350" y="257810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132B5AE-5C81-4504-8EB6-334886C7959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A1F9A8C-6D19-4460-BB35-6A12192D84D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506DBF-12D5-4F9D-8A5A-EFE59797A5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7E5EB4-568D-457F-9C4D-E234C814B0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B4CF1A-5FFD-488B-A7D4-AD99B969EE3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6FFFFE-30F5-47CB-B7B5-D696989E991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3655EF-7F74-49AC-A35B-AED7AAB012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4409DEA-17BC-45C2-9ECF-53313879DA9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268BEB-BDA2-46C6-BB51-B5A03EB3D1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D0A3E6-DCFC-4B2D-A700-8A40BCDC899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4BBBFE-0523-46C7-BFF9-E145646A66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5E8966-953A-4AA1-968F-D0C83F1AC65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16CE47-F419-4D5B-94B4-128FAD4EEB3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41D14C-15B0-4B61-8A7D-C7CC8F6C71F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B86AEFA-C660-418E-BC75-BA7E844380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B8A5110-0DCF-4CB5-9C9C-DBE1D427B26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61715A-EE38-4024-8C3C-270F6A2C99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3BBED3F-EA0D-4534-B33E-2176A248EC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0FA3F1-70F6-49AB-BAC1-9DC3C364C4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B7C67C-5682-45DA-B5EB-158AE5442A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8FDF7A-466F-42D3-9172-566A2DC826D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00C3FA-0C38-4BBD-BF89-0C1BE13A63D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94E946-BE87-46A7-9B37-A34014344E5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425023-FF87-441F-B0A2-8D7F3B4D3F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8C9949-808D-40D8-9923-67D1E4B93F7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A7CBB8-1422-4B99-814F-601F0960221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AEC82BA-5481-4FBC-BEB1-69D21D42FE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005068-0FB5-48BA-8E6F-C0AE5AA1F0B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201C4A-C63C-4C74-BDCA-A50CD2472D9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1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E87A65-E0C9-4DA9-BAB8-5DCEB9CFC9B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2AD18D-C1E0-4852-97F1-4682DBC827A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F80640-ECE0-4F69-A623-B05E8CF0A53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95B5A4-E629-44AF-A04A-E2B265F4E9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9D3A3A-F187-4773-A59A-3F74E88F408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06BA1C-73EC-4C4E-A46D-8794C9C0932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7CF7BD-A9E3-4325-B03C-7B8DADCCAF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13A377-D440-40DE-8F03-92B00B4537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511D94-EA76-4EB9-BC32-A4126F628A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5FDA54-6DC6-43A3-B68C-2D42FC3816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225FE92-C27E-4737-BD66-6E793ADD9E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809458-6D92-4398-B56A-48C005E4A22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A0B67F-76EE-4ED2-B49F-788362BF68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82C88C3-16D1-4D89-B238-016FDA6FFB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296F6E-CA69-485D-BDB7-529D4D435A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46E625-FC4D-4B98-8E8C-F83E7D54D2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D7D885-5CE4-4377-BEB6-20648B34558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6953" cy="34977"/>
    <xdr:sp macro="" textlink="">
      <xdr:nvSpPr>
        <xdr:cNvPr id="2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F10C82-E99C-454D-A3AD-651D6DD4FC4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6953" cy="34977"/>
    <xdr:sp macro="" textlink="">
      <xdr:nvSpPr>
        <xdr:cNvPr id="2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D607E9D-9A23-4612-BE46-7D711EFC4AC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6953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42684" cy="34977"/>
    <xdr:sp macro="" textlink="">
      <xdr:nvSpPr>
        <xdr:cNvPr id="2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594954-3CC2-4F48-A9EA-1162126839F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42684" cy="34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2E3D45-D288-4901-BBCA-4C2AE7A0654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3A98BC-57F0-418E-8F07-A4EB866AAE5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0A4B28-A33D-4332-8B51-683A1E41C8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9DC7C7-DD59-448D-BE61-879FEC43150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62C8ED8-0D84-4A98-A793-762B2B15F2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B7D600-9625-4622-AC2E-5EDAE89352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FDC410-6549-4FEF-98AD-FA52AB8FE5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D5D02A-27C6-41AF-BFFE-13FABCB0CD2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C06F242-CA35-4FCC-A1DB-8A6A67E5BC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43A5FE-E666-4FC9-B42E-F941065C49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9EEDF15-B040-47E7-A2CB-C5C53EEC9A5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04DD66-4C69-48C2-B0EC-1E8FAADDD3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B2440B-4970-4416-9D28-B076CBB1A4E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C16E01-DC51-420C-9088-17DC02D663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549D7F-B70D-4418-81EF-23FC281C02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A0C0EB-BF48-41DA-B1AD-9A27FFB356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4A8C47-7A34-4A61-B2C0-060114513B4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011BF2E-13A6-4391-AECB-591C9B43EE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718501D-6E71-4380-A68E-A9CECA7718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7C340A6-7581-41C1-9124-7F31618B80A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73928E-B649-4C84-AF6E-E1B571D96F1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EFB44A-8971-4CFB-A79D-EC923DEA293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A1515F-B9A8-438F-A2BF-8E2A89285E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7A68F7-A878-402F-9140-A0B0190D355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83EB0F-527B-4601-8EF3-BE1AF589CD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13C73E-7A38-47DD-B68D-35FFF22071E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4E90E28-7600-474F-B01A-56729645AC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2A97A2-FD41-493D-B281-5F10155F1DA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31582E-9F94-40C7-928B-6C46F4E4DB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D6FDABA-68F5-4E72-8065-75FA394789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655A49-875A-49C4-AE3C-DB10293E2EE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4B5E55-42D9-444F-AF7F-9FDAA5D58A9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4E47131-6B2E-4017-94CA-A6B8477332B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816FDDF-1AB2-4789-9900-0E8F9A562DC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436774-6AFA-4ECF-A67D-471491503BC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5404AF-BA4A-4341-96F1-D12908FA42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B0013E7-6B04-4A58-A128-6FCF4895A4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3449A2-62BF-4966-BEE1-6E11AAB17B9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7F4279-6263-4BD3-A8F4-9AA6E340B28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89E698-76B9-4A62-A96A-B54137602C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8BD8AE-85C7-4A91-935C-FD35D216D06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1BF51C-9635-4940-BC73-7DAD819C18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B2DAD6-9A25-4897-B5F3-352ACDC87E2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6704FA5-6EA0-4611-9FD4-847D282F95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54C7B1-0D1B-4BD0-B4FD-01FD53F37D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1753F9B-4953-468B-A4EB-46EBCD19BEE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139085B-3306-4A14-A5FE-ED81AA1C7F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247DA7B-08FE-46D0-9D3B-A5EDD9693DB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228341-D447-4305-BF03-79FD6103D6A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6732BC-91B2-4325-9EA5-6EEACF91859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56DEA79-34B0-4D8B-8369-B6385729E6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4EA5D7-F0B3-4D78-8166-2F25AD350B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ED43926-B3BA-4E0B-9CE9-8BDAF3BBA74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94746FF-5BEF-4C03-9F20-7370CE52D95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FEA6B57-06EC-4177-A827-0733A3C790B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20F0A7-B546-49D3-BA40-AAE7570AC1B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C06F04-2D7E-4705-AC9A-EC1DA6971AB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BD3F095-EF91-418F-BBFD-2F60BDA4ABF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F580D79-DEE3-449D-9FE4-099BAD53F7B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CCC213-E143-4C11-886C-B63F4A6AEEB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18AC85-45BA-4D92-802B-735CC66AA7E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FB24F0D-DC49-4626-A977-EABDD826412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B98ECC-AA81-4741-846E-3390FEFDF8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4412C0-9FE4-496D-BCD3-65CE57FDD3C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8CBD705-D930-412F-8D94-90A0D8D44C8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A2495F-B5E7-48FB-80CA-4A5AD1F255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5C9039-C63D-4EFB-A497-28C6D548B30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2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E4BC2F-10E3-473C-85E7-1A0F14814D3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8A7CC8-120A-4CC9-80B1-259B301FE8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DAC296-A0AD-46D2-82FC-CA86312984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BA02EF-8FCE-425A-9917-74646307A86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97EB8C-56CA-4BEB-A414-D32492AAB60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1C78AD-8E83-4A5F-B6C2-AF6B3F896A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6F4161-6F3A-4793-8D37-E9985BAA5D2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7FD61F-9C5D-4C1B-96CB-D4930C1E301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A6B1D8-BC30-440B-A31B-DBD5888C49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F29000-FD0E-42EC-80B9-B3B667A3717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D26619F-35B1-4A47-B676-EFEDEFAFF20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575BFC-4770-4B48-B1FF-14ECBB6C818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91DEA7-E7A0-43B8-8025-6A63CC719C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2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E5BD88-A0E3-4FF4-B277-C6F3C1005F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2869514-6AFF-443F-9A60-85BE9D18395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98FD5B-3776-44E8-A8E3-6ACEB81ACA9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6E49F2-6ED8-41FD-B8A2-07D2484E6D4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5CD32A-DC26-4B9C-AA17-F812C667A35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C85D826-17FB-48AA-A7F7-0EAB71828E1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DA1A466-EDF0-4C1E-9545-0F1EDD6C37A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8E9AFB-A30E-4358-807C-13EAD72C2E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795257-5A57-491A-9F3F-E922A96499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CC0934-A5DF-453C-9C0F-D1898AD5664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867E6F-25E0-40FC-98EE-A4C283EE49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B5FAA2-A1A2-4B21-BD1D-414FB03B9A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DBFF02B-C1DD-4E12-9E6E-30A1FF85E0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FFC2DE-74B9-4497-9118-85ED3B21E2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0F8015-B229-4DE6-B519-88E607848A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F293D9-89E2-4A4C-9E5E-5E26D943C4C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E9E126-875B-4BD9-978A-896A26AA4AC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7ED6A2A-5A02-46CA-9298-BC9E7807ED0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82408F-2743-4E0A-A2EF-0FA674ECA5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9DA801-593C-46E4-A506-3B8FCF0DF5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8A484F-94A3-4FFB-AA06-8389698FC6D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A6D0A80-CDB4-4804-B836-6FEBE89D2F9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741700-54AE-420F-B728-746A275FC60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A1ED6A-CB61-4CB0-B9CC-691EF1E078B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26ED7EA-BB3A-4E23-9D51-7A3E484F884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9DF6DB-7611-4CBD-8360-77E0E4815A3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6B817FF-9641-4751-AFB1-6778B1D2CC3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611EB6-2D58-4235-8FCA-124DD2E3280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CDFAAEB-2C3F-458B-BB7E-C5DAB9467C9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039A42-FAE5-435C-8A1D-6196B46417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D17AED5-17FC-446F-8C87-FE9A3EF3646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BB74A3B-0881-4142-9176-0B66BFCF185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D9ED9A-DFFE-4868-B9C1-0F485DA6389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A5663F7-12E6-4C03-AD01-E1F5DFD971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304DD77-439F-4E6D-91EF-919616AE7DF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879203E-957C-45D2-AB29-4C6D06F76FE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F12169-ED33-4267-B102-748A7FB698D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F16CFA-722D-442E-A798-797398AD5AC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6642E20-3985-48EB-A3FD-50A1264073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32F74A3-68F9-46A1-B1E4-66979CC2AF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9799A4C-0B0A-489C-A72A-9EB3E86A2D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D2AF68D-51CB-4E79-897D-3409F94327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A4E6A8F-8CFF-451F-A375-B265FC3D63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96BAAA-7C4E-4123-A6DD-8A11937F863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789D004-A4C8-4390-947D-29CB8D16DB1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7FE4460-BD50-4ACE-9AB5-EEA72128410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24695C-A0BE-4578-B6F1-6B5FCFE9579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156D2E4-9052-4BA6-A36B-E94911C2EA1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A7195FB-4843-483F-880C-13D73FAAA68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7F00521-336C-49CC-8AB4-828228C4FF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1F7DBC-B790-43A6-BD2D-C8CC1AC784C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E135EDA-D52A-4F47-BF7A-F6DA0C1AC5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3673F3-FD7F-4B5B-BD45-1223F3D803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6E45B6E-8711-4F09-8CE3-24B745FB514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475CD4-AAAB-42CD-869B-39571808928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6A5B7F-ABF1-4F5E-8879-0A72BA17757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82502F1-97D7-4929-B520-5016762855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06E33DA-CB8C-4B1A-9D8E-4074BB2042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A9AC92-0582-4FF2-9EA3-619614B5C7D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C2CB3BD-9EE8-4BC1-BB73-4CC6465741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10FEA28-918E-40FF-90D9-C034F52E899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7A8D24C-3C27-4394-BCD8-D8D190030E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B15D60-FC35-4040-A349-27115DCAAAA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42392F-DAB2-4BC8-AA50-161E1A0D97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784465-A74A-454F-8125-BDA98EE1D4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57D2FCD-9E9A-4EBF-9257-89266DA5968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42FA1A-6193-432B-884B-FF034EF4844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A1B1415-C15F-4631-9230-EE83462A036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CD4723D-6325-4E86-B1C1-FB327B5E8D4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AB4C09-371B-4D7D-8F0F-1F5D6A0120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EF9A1FA-ACFB-4FA3-86C0-379650A727B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7C26442-5256-42CE-8390-8794D0ED97A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8B44BB6-ECF6-4C8D-88D4-6203CCA1F27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B5717C5-5BD6-4D46-BF08-DA524EE8CE1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74B6FB-FEBA-46DA-ADC8-491A80D472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AA0F7B-5E22-4EC5-A769-BB685A0D10E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9D03EFE-7BEE-4468-8E1D-3DDB9E07D9A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24FC11-5FC9-4ED5-BE70-4C50BE2342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196FE7C-AA49-4975-86E3-37CF8630B9F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6A227C1-D134-41FA-9DEB-4BD453BC03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A7C056-724D-4223-83A4-197479A5C58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0092FB0-BE3E-4069-AA0A-F66B25FE102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FE8F68-BDCE-4FC2-8785-8B45CC7A425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45B688-A60E-456A-A2A8-9D06CD4C459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C52BDB-D806-48F5-82BD-55B9F6712C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0EF4CF4-E2B3-4213-84A6-A141F7A5812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DA0704-A496-4A28-9CA8-42B9FF1DD77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9631662-D8F6-4CF8-8F8E-AAEDE3035F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47748DA-BDA3-4F00-A88A-271E411339D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3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7A854C-8C77-4E64-BE90-293A0653F2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441E127-F623-4D10-AB5F-5F3888F1EBA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A5BC96-4978-4556-AC8D-9B2C71711A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2AEBA22-8F56-40C4-BAF9-C1BDFECCADF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52277E-ECB3-435B-8DFD-47397021A8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ADD82C-F25B-4164-B9D5-A312E2700F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D385F1-7573-4185-A7BB-F79941DD314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E702C98-AB40-4BA7-BF00-6C21FC9B9F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82BC60-5B59-496C-9AF3-73C309075B9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DECFFE5-6466-4E42-BD9C-B22412C730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DE5C93-224F-4728-8D4B-A06D6F7F21E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3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2FE64CA-C02E-4A37-B63A-7866FAD7F1B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41A89CE-25D2-4F55-8EBE-7D9E7E65C72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003D8E-A91C-4B4E-BD59-00F7E37C5EE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F646D4F-63D7-4727-A20F-7EBD77D850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74DE15D-2AEB-4D9D-8CAC-08F87B392D7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8B64EAE-ADB1-4225-ADCA-4A4B946450A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81B2B5D-64E4-4B45-9E52-8D5B0CEA305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44D48B3-F1C0-4DC2-9ADF-9BF74837DE8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C7CF7CA-DE36-4E9B-9C74-35A3E80657D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63BB66E-FDD2-457A-864F-3514D8D0300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ABC97F5-EA27-4996-9072-3D07D49580C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58C28FC-3202-4138-8D16-C873B23E72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EA9C1AF-5475-4F8D-B0A8-F5A0A06D837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F56391-88F6-4B97-B42B-4DE6478B39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7526286-6A9F-40FA-B199-16C3BCDD44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47F0926-5F45-4C4F-ACE7-614D76574D5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448B5AA-08A2-41E3-B09B-BF4D9B286BD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F91228-5D0B-4CC2-8B61-9C223C9BECA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A344146-6C74-4825-ACDE-D71274D8E1D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42A9EE-4ADC-440D-BE21-81775BECD72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0EFCF30-02A2-4F4C-BF74-597E04D03CD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FBC0CF9-0E16-4C18-8C92-9DCAAFDC8BE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58A07D2-7C53-4D98-AC4D-16273D254D0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36D6ADC-D3D1-4190-85AB-7C6CAB61B54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C6453F-3833-4C5B-9D26-EFCF9F5F14E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1D8A7DC-9BB6-4BD2-AA27-C2F929DA8E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BFCF27-D95A-4611-9E24-2D2504F372F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6D538A7-C4ED-495B-B057-E4B001CC48E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5A10A19-30F6-4A10-88D6-E15D1D9549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BA0ABB9-0D54-4413-9869-A2D7F535BE9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2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82147B-48CD-4FAC-9BD3-F76985B7D0A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2D2A931-AB11-4B5F-A078-6F056DE2398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35E87DD-E44E-489F-AD27-FF8F8510B7F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F82B411-E5D5-42B9-B142-67DA1440F7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155B0CB-2B02-4C37-9395-2190667CB17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171506A-C919-4F40-85EC-6331FAB8EFF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6DC713D-22BB-4E28-B461-058F946DAD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3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7647CB7-FBEA-4260-AC03-DD918D760F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82C90CC-4AFB-4701-A1C9-B33C44AEF47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4CFE159-0F2A-42F5-A797-4A11F848CF4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3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D408CDB-9642-4973-A9D0-F59F56EBD8F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AE9C07D-EA8E-4B64-8A1E-57610D502B1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9E09E8-6A12-4100-B66B-35D8346A31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F5332BE-586A-4A15-9350-96B1A15BBD5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6B63E2-9601-4F50-AAE9-E939012888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B021A7C-5174-4C70-B1E5-D5835DF2CA5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0B7F802-8402-4601-8F96-5E26D9A28F8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A89F24-1DEA-45A9-95E2-010E885356D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DB8D8F-3105-4084-8ACD-FE30EB2D551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A03E723-32C6-463F-97C4-9703538BB86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4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A470C6-9908-4537-8184-B3AC37C8D9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C7110DB-79AF-4EA4-85C6-E37B8FE3D7A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CBB2075-9DC5-4983-BA5A-A033DA21EF6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06336B5-68F2-46FC-8090-EF2EAB016C5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8618E90-27F1-4772-9F9D-6CDA047C016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259C5D6-F73E-4479-B541-8648ABC105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0A733D-D808-40AA-9336-947659C1D3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5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BD45E37-167D-4796-9851-CCAE1A369AE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CB5855-7982-42EE-A361-E13391C0ABA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95423A6-7738-46CC-97F0-D6035F65007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5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358CBD7-4A03-4601-A60B-F19475F8AE5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D9424E-D0F8-4309-A975-1AE11BBD83E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D1CE02B-B289-47A9-9A2D-405D443F243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7E6741-9AEF-4690-8B6E-F55D70C8D04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C40C111-528E-47C5-98E2-4F8532AFDAC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9DF0F59-8891-4CEA-AE39-AD03F7B3537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4F4BE0A-4E4F-46E8-95C7-B8E35412C92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8BF9014-0635-4BB6-B613-F67A8365F02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E028507-A1DC-4FD8-AA60-BE171CA3D72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D53600A-9A2D-4E28-9388-0B83B8C42DF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6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12DD9A-03FA-4BC7-8F30-7E8BC1F51A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7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26F7D15-A894-4433-A14D-5CB028A3C07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5D76880-F785-4ABC-8E63-B922BE03101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35C5808-46DF-42C4-9541-6DDC3FE0CA5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AD5BEB6-BD4C-4C43-9AD4-84B5CC0879D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1BE959A-007B-445F-AAEA-B158AAEB683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8488C47-41CA-41CE-98C1-8E49140B4E0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A9B3A84-4F42-4302-AD92-C8FE4D7D2F9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EF9D1AA-C484-4FEE-99FE-839D15E6A89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BBC023E-A9A9-47E5-B1F1-5CBB9A98C34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7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88E61DD-4D71-493E-875F-ECB5ACE41D0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2A4395B-D3FE-4A36-B6EA-EF65757CC00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F1B6D7C-E519-490B-9685-770AE728930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F9C15FE-328C-4B39-9BD5-561424EE808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C609C70-953F-4B8D-AF42-829E1C2A076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09E823F-D016-4809-BD23-A058E0AF95F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A33349E-EDEE-4B02-96A1-EDE5529F851C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428CFC2-4E48-4F3C-8FE8-4102C670985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E63EB3C-0614-425D-977E-11D8322C14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DD13611-FDBE-4C95-AA78-EE83B609BD1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8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00A5E9E-DB8B-4B3E-B407-CF819591DED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49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6A61E73-ECC6-40DD-8A3D-4CADEEAEBF3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5161EFE-9A88-4430-8439-16FF0F3EF458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320A54B-2F24-4B5A-9A7C-3042606AA21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12A3E01-D4EA-4D53-9854-18EB39E78AE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4B09177-36DE-4D63-9999-D50455D3070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5DF6C69-7935-4348-94CC-7774B0F3F3D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34681DBE-F996-4913-BB26-63BF23854113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67A2648-39E1-415E-85B1-C930359D6F6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8D942B1-9008-478B-A26B-5D851A0CCF8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49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FAA1F31-6758-4AC7-B393-135D75D0AF0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92E568F-7CC9-401E-B6D4-763FAA7E7316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9CC0C75-F675-467F-8CE0-4045C1B6049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E383BEC-B533-4172-8FC6-FD21FD59ECC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9B27F60C-6645-4EEB-8CDC-231C2B02547B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8" cy="28575"/>
    <xdr:sp macro="" textlink="">
      <xdr:nvSpPr>
        <xdr:cNvPr id="50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B81F6B4-623F-4543-B5DF-8FFDD2F3E69E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8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F65EA1-0D76-4E43-9DDF-9A0D441EBAF1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619F9C89-F41F-4C2F-9F8B-7C4B4F012F4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E3A5558B-99E0-4134-AB75-6DCD93CCA09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E67E88A-B554-4DD8-B409-BEE6E56ECFC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0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3A35A27-A5F2-423E-B4A4-AD134263F36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A9BAA6CE-ADB7-4D6B-A0FE-49E4405F78C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FFF84E4E-21DD-448E-806D-B6B006A123A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102A2B0F-CDD3-47F9-94E7-7F2307C72C29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73AF9CBD-249D-4ABA-A233-9771FE4C7F6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DE5072A2-AF73-449B-B378-E33B31AF7A3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5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449DBA86-D225-459D-8019-F957D3E7C27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6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8667ED-5502-49E4-B7F2-3374AC34AC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7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E485645-40C7-41B6-94B6-9D98B9E77D1F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8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58408838-0C49-4EC3-B47E-921F0C3AB34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19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0585E39B-37F5-416F-BD39-0BCC081113F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0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C4FA8C30-A83D-42BD-8FC7-E246C0CB5F12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1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2E7BD2B8-0F2B-41A5-9496-BFF98A1811F4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2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27D7270-CBFF-46A9-896B-8D1018A107B0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3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BDD41EA9-87D5-4801-887D-F39EA76EF81D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631476" cy="28575"/>
    <xdr:sp macro="" textlink="">
      <xdr:nvSpPr>
        <xdr:cNvPr id="524" name="AutoShape 1" descr="https://docs.google.com/drawings/d/s0iyBRWirN7TTrM_31qdkcg/image?w=389&amp;h=68&amp;rev=1&amp;ac=1">
          <a:extLst>
            <a:ext uri="{FF2B5EF4-FFF2-40B4-BE49-F238E27FC236}">
              <a16:creationId xmlns:a16="http://schemas.microsoft.com/office/drawing/2014/main" id="{8B480999-9487-4877-851B-A6BA0369A867}"/>
            </a:ext>
          </a:extLst>
        </xdr:cNvPr>
        <xdr:cNvSpPr>
          <a:spLocks noChangeAspect="1" noChangeArrowheads="1"/>
        </xdr:cNvSpPr>
      </xdr:nvSpPr>
      <xdr:spPr bwMode="auto">
        <a:xfrm>
          <a:off x="1282700" y="2578100"/>
          <a:ext cx="631476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NGEMBANGAN\Jabatan%20Struktural\PENGEMBANGAN%20KARIER\BAHAN%20MUTASI%20PROMOSI\BUKU%20JABATAN%202024\BUKU%20JABATAN%20JANUARI%20(Autosav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KPSDM%20Tanggamus\BIDANG%20PENGEMBANGAN%20SUMBER%20DAYA%20MANUSIA\1.%20DATA%20RAHASIA\1.%20PEKERJAAN%20BAGIAN%20PENGEMBANGAN\SPT%20Plt.%20Pejabat%20Kab.%20Tanggamus\SPT%20Plt%20Tahun%202025\Data%20Jabatan%20Plt%20Tahun%202025.xlsx" TargetMode="External"/><Relationship Id="rId1" Type="http://schemas.openxmlformats.org/officeDocument/2006/relationships/externalLinkPath" Target="https://d.docs.live.net/BKPSDM%20Tanggamus/BIDANG%20PENGEMBANGAN%20SUMBER%20DAYA%20MANUSIA/1.%20DATA%20RAHASIA/1.%20PEKERJAAN%20BAGIAN%20PENGEMBANGAN/SPT%20Plt.%20Pejabat%20Kab.%20Tanggamus/SPT%20Plt%20Tahun%202025/Data%20Jabatan%20Plt%20Tahu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Januari"/>
      <sheetName val="07"/>
      <sheetName val="rincian (2)"/>
      <sheetName val="rincia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J3">
            <v>1</v>
          </cell>
        </row>
        <row r="4">
          <cell r="J4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t. Kab. Tanggamus"/>
      <sheetName val="REKAP Plt. Bulan Mei"/>
      <sheetName val="REKAP Plt. Bulan Juni"/>
      <sheetName val="REKAP Plt. Bulan Juli"/>
    </sheetNames>
    <sheetDataSet>
      <sheetData sheetId="0" refreshError="1">
        <row r="69">
          <cell r="J69">
            <v>45782</v>
          </cell>
        </row>
        <row r="92">
          <cell r="J92">
            <v>45799</v>
          </cell>
        </row>
        <row r="118">
          <cell r="J118">
            <v>45839</v>
          </cell>
        </row>
        <row r="139">
          <cell r="J139">
            <v>45839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EF4C-76BB-46EB-86BC-168CC5FA3B66}">
  <sheetPr>
    <tabColor rgb="FFFF0000"/>
  </sheetPr>
  <dimension ref="A1:AG1041"/>
  <sheetViews>
    <sheetView zoomScale="89" zoomScaleNormal="89" zoomScaleSheetLayoutView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5" sqref="C5:D5"/>
    </sheetView>
  </sheetViews>
  <sheetFormatPr defaultColWidth="9.1796875" defaultRowHeight="10.5" x14ac:dyDescent="0.35"/>
  <cols>
    <col min="1" max="1" width="5.453125" style="7" customWidth="1"/>
    <col min="2" max="2" width="10.81640625" style="7" customWidth="1"/>
    <col min="3" max="3" width="5.81640625" style="7" customWidth="1"/>
    <col min="4" max="4" width="50.08984375" style="6" customWidth="1"/>
    <col min="5" max="5" width="35.54296875" style="6" customWidth="1"/>
    <col min="6" max="6" width="11.08984375" style="9" customWidth="1"/>
    <col min="7" max="7" width="19.1796875" style="10" customWidth="1"/>
    <col min="8" max="8" width="15.54296875" style="6" customWidth="1"/>
    <col min="9" max="9" width="18.81640625" style="10" customWidth="1"/>
    <col min="10" max="10" width="11.453125" style="7" customWidth="1"/>
    <col min="11" max="11" width="8.453125" style="7" customWidth="1"/>
    <col min="12" max="12" width="8.1796875" style="10" customWidth="1"/>
    <col min="13" max="13" width="9" style="10" customWidth="1"/>
    <col min="14" max="14" width="8.1796875" style="10" customWidth="1"/>
    <col min="15" max="15" width="9.1796875" style="6" customWidth="1"/>
    <col min="16" max="16" width="8" style="1" customWidth="1"/>
    <col min="17" max="17" width="9.1796875" style="1" customWidth="1"/>
    <col min="18" max="20" width="10.1796875" style="1" customWidth="1"/>
    <col min="21" max="21" width="8.81640625" style="1" customWidth="1"/>
    <col min="22" max="22" width="8.81640625" style="2" customWidth="1"/>
    <col min="23" max="23" width="10.453125" style="11" customWidth="1"/>
    <col min="24" max="24" width="9.1796875" style="11" customWidth="1"/>
    <col min="25" max="27" width="11.453125" style="11" customWidth="1"/>
    <col min="28" max="28" width="12.81640625" style="7" customWidth="1"/>
    <col min="29" max="29" width="13.1796875" style="7" customWidth="1"/>
    <col min="30" max="30" width="17.1796875" style="7" customWidth="1"/>
    <col min="31" max="31" width="25.453125" style="7" customWidth="1"/>
    <col min="32" max="32" width="15.81640625" style="12" customWidth="1"/>
    <col min="33" max="33" width="22.36328125" style="11" customWidth="1"/>
    <col min="34" max="16384" width="9.1796875" style="7"/>
  </cols>
  <sheetData>
    <row r="1" spans="1:33" ht="39" customHeight="1" x14ac:dyDescent="0.35">
      <c r="A1" s="266" t="s">
        <v>3141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18">
        <f>193-31</f>
        <v>162</v>
      </c>
      <c r="R1" s="18"/>
      <c r="S1" s="18"/>
      <c r="T1" s="18"/>
      <c r="U1" s="7"/>
      <c r="V1" s="11"/>
    </row>
    <row r="2" spans="1:33" s="178" customFormat="1" ht="7.5" customHeight="1" x14ac:dyDescent="0.35">
      <c r="A2" s="19"/>
      <c r="B2" s="19"/>
      <c r="C2" s="19"/>
      <c r="D2" s="19"/>
      <c r="E2" s="20">
        <v>4</v>
      </c>
      <c r="F2" s="21"/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  <c r="R2" s="20">
        <v>16</v>
      </c>
      <c r="S2" s="20">
        <v>17</v>
      </c>
      <c r="T2" s="20">
        <v>18</v>
      </c>
      <c r="U2" s="20">
        <v>19</v>
      </c>
      <c r="V2" s="20">
        <v>20</v>
      </c>
      <c r="W2" s="20">
        <v>21</v>
      </c>
      <c r="X2" s="20">
        <v>22</v>
      </c>
      <c r="Y2" s="20">
        <v>23</v>
      </c>
      <c r="Z2" s="22">
        <v>45946.308217592596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3">
        <v>30</v>
      </c>
      <c r="AG2" s="217"/>
    </row>
    <row r="3" spans="1:33" s="179" customFormat="1" ht="33.75" customHeight="1" x14ac:dyDescent="0.35">
      <c r="A3" s="198" t="s">
        <v>0</v>
      </c>
      <c r="B3" s="199" t="s">
        <v>1</v>
      </c>
      <c r="C3" s="267" t="s">
        <v>2</v>
      </c>
      <c r="D3" s="268"/>
      <c r="E3" s="200" t="s">
        <v>3</v>
      </c>
      <c r="F3" s="200" t="s">
        <v>4</v>
      </c>
      <c r="G3" s="200" t="s">
        <v>5</v>
      </c>
      <c r="H3" s="201" t="s">
        <v>6</v>
      </c>
      <c r="I3" s="200" t="s">
        <v>7</v>
      </c>
      <c r="J3" s="200" t="s">
        <v>8</v>
      </c>
      <c r="K3" s="202" t="s">
        <v>9</v>
      </c>
      <c r="L3" s="200" t="s">
        <v>10</v>
      </c>
      <c r="M3" s="200" t="s">
        <v>11</v>
      </c>
      <c r="N3" s="200" t="s">
        <v>12</v>
      </c>
      <c r="O3" s="200" t="s">
        <v>13</v>
      </c>
      <c r="P3" s="200" t="s">
        <v>14</v>
      </c>
      <c r="Q3" s="200" t="s">
        <v>15</v>
      </c>
      <c r="R3" s="200" t="s">
        <v>16</v>
      </c>
      <c r="S3" s="200" t="s">
        <v>17</v>
      </c>
      <c r="T3" s="200" t="s">
        <v>15</v>
      </c>
      <c r="U3" s="202" t="s">
        <v>18</v>
      </c>
      <c r="V3" s="202" t="s">
        <v>19</v>
      </c>
      <c r="W3" s="203" t="s">
        <v>20</v>
      </c>
      <c r="X3" s="203" t="s">
        <v>21</v>
      </c>
      <c r="Y3" s="203" t="s">
        <v>22</v>
      </c>
      <c r="Z3" s="203" t="s">
        <v>23</v>
      </c>
      <c r="AA3" s="203" t="s">
        <v>24</v>
      </c>
      <c r="AB3" s="203" t="s">
        <v>25</v>
      </c>
      <c r="AC3" s="203" t="s">
        <v>26</v>
      </c>
      <c r="AD3" s="203" t="s">
        <v>27</v>
      </c>
      <c r="AE3" s="203" t="s">
        <v>28</v>
      </c>
      <c r="AF3" s="204" t="s">
        <v>29</v>
      </c>
      <c r="AG3" s="218"/>
    </row>
    <row r="4" spans="1:33" ht="32.15" customHeight="1" x14ac:dyDescent="0.35">
      <c r="A4" s="26"/>
      <c r="B4" s="27"/>
      <c r="C4" s="269" t="s">
        <v>30</v>
      </c>
      <c r="D4" s="270"/>
      <c r="E4" s="24" t="s">
        <v>31</v>
      </c>
      <c r="F4" s="24"/>
      <c r="G4" s="28" t="s">
        <v>32</v>
      </c>
      <c r="H4" s="3" t="s">
        <v>32</v>
      </c>
      <c r="I4" s="4" t="s">
        <v>33</v>
      </c>
      <c r="J4" s="5" t="s">
        <v>34</v>
      </c>
      <c r="K4" s="3" t="str">
        <f ca="1">CONCATENATE(DATEDIF(J4,NOW(),"Y")," Tahun ",DATEDIF(J4,NOW(),"YM")," bulan ")</f>
        <v xml:space="preserve">1 Tahun 6 bulan </v>
      </c>
      <c r="L4" s="4"/>
      <c r="M4" s="4"/>
      <c r="N4" s="4"/>
      <c r="O4" s="4"/>
      <c r="P4" s="4" t="s">
        <v>35</v>
      </c>
      <c r="Q4" s="4" t="s">
        <v>36</v>
      </c>
      <c r="R4" s="4"/>
      <c r="S4" s="4"/>
      <c r="T4" s="4"/>
      <c r="U4" s="29"/>
      <c r="V4" s="30"/>
      <c r="W4" s="30"/>
      <c r="X4" s="30"/>
      <c r="Y4" s="30"/>
      <c r="Z4" s="25"/>
      <c r="AA4" s="30"/>
      <c r="AB4" s="29"/>
      <c r="AC4" s="29"/>
      <c r="AD4" s="29"/>
      <c r="AE4" s="29"/>
      <c r="AF4" s="31"/>
      <c r="AG4" s="7"/>
    </row>
    <row r="5" spans="1:33" ht="32.15" customHeight="1" x14ac:dyDescent="0.35">
      <c r="A5" s="26"/>
      <c r="B5" s="27"/>
      <c r="C5" s="269" t="s">
        <v>37</v>
      </c>
      <c r="D5" s="270"/>
      <c r="E5" s="24" t="s">
        <v>38</v>
      </c>
      <c r="F5" s="24"/>
      <c r="G5" s="28"/>
      <c r="H5" s="4"/>
      <c r="I5" s="4"/>
      <c r="J5" s="5" t="s">
        <v>34</v>
      </c>
      <c r="K5" s="3" t="str">
        <f ca="1">CONCATENATE(DATEDIF(J5,NOW(),"Y")," Tahun ",DATEDIF(J5,NOW(),"YM")," bulan ")</f>
        <v xml:space="preserve">1 Tahun 6 bulan </v>
      </c>
      <c r="L5" s="4"/>
      <c r="M5" s="4"/>
      <c r="N5" s="4"/>
      <c r="O5" s="4"/>
      <c r="P5" s="4" t="s">
        <v>35</v>
      </c>
      <c r="Q5" s="4" t="s">
        <v>36</v>
      </c>
      <c r="R5" s="4"/>
      <c r="S5" s="4"/>
      <c r="T5" s="4"/>
      <c r="U5" s="29"/>
      <c r="V5" s="30"/>
      <c r="W5" s="30"/>
      <c r="X5" s="30"/>
      <c r="Y5" s="30"/>
      <c r="Z5" s="25"/>
      <c r="AA5" s="30"/>
      <c r="AB5" s="29"/>
      <c r="AC5" s="29"/>
      <c r="AD5" s="29"/>
      <c r="AE5" s="29"/>
      <c r="AF5" s="31"/>
      <c r="AG5" s="7"/>
    </row>
    <row r="6" spans="1:33" s="6" customFormat="1" ht="32.15" customHeight="1" x14ac:dyDescent="0.35">
      <c r="A6" s="4"/>
      <c r="B6" s="32" t="s">
        <v>39</v>
      </c>
      <c r="C6" s="269" t="s">
        <v>40</v>
      </c>
      <c r="D6" s="270"/>
      <c r="E6" s="269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270"/>
    </row>
    <row r="7" spans="1:33" ht="31.5" customHeight="1" x14ac:dyDescent="0.35">
      <c r="A7" s="26">
        <v>1</v>
      </c>
      <c r="B7" s="4" t="s">
        <v>39</v>
      </c>
      <c r="C7" s="264" t="s">
        <v>41</v>
      </c>
      <c r="D7" s="265"/>
      <c r="E7" s="24" t="s">
        <v>42</v>
      </c>
      <c r="F7" s="24" t="s">
        <v>43</v>
      </c>
      <c r="G7" s="3" t="s">
        <v>44</v>
      </c>
      <c r="H7" s="4" t="s">
        <v>45</v>
      </c>
      <c r="I7" s="36" t="s">
        <v>46</v>
      </c>
      <c r="J7" s="5" t="s">
        <v>47</v>
      </c>
      <c r="K7" s="3" t="str">
        <f t="shared" ref="K7:K70" ca="1" si="0">IF(J7="","",CONCATENATE(DATEDIF(J7,NOW(),"Y")," Tahun ",DATEDIF(J7,NOW(),"YM")," bulan "))</f>
        <v xml:space="preserve">1 Tahun 9 bulan </v>
      </c>
      <c r="L7" s="30" t="s">
        <v>48</v>
      </c>
      <c r="M7" s="5" t="s">
        <v>47</v>
      </c>
      <c r="N7" s="3" t="str">
        <f t="shared" ref="N7:N70" ca="1" si="1">IF(M7="","",CONCATENATE(DATEDIF(M7,NOW(),"Y")," Tahun ",DATEDIF(M7,NOW(),"YM")," bulan "))</f>
        <v xml:space="preserve">1 Tahun 9 bulan </v>
      </c>
      <c r="O7" s="4" t="s">
        <v>49</v>
      </c>
      <c r="P7" s="4" t="s">
        <v>35</v>
      </c>
      <c r="Q7" s="4" t="str">
        <f t="shared" ref="Q7:Q70" si="2">CONCATENATE(IF(MID(G7,17,1)="1","Laki-Laki",IF(MID(G7,17,1)="2","Perempuan",)))</f>
        <v>Laki-Laki</v>
      </c>
      <c r="R7" s="4">
        <v>1</v>
      </c>
      <c r="S7" s="4" t="str">
        <f t="shared" ref="S7:S41" si="3">IF(E7="LOWONG","0","1")</f>
        <v>1</v>
      </c>
      <c r="T7" s="4">
        <f>R7-S7</f>
        <v>0</v>
      </c>
      <c r="U7" s="29"/>
      <c r="V7" s="30" t="s">
        <v>50</v>
      </c>
      <c r="W7" s="30">
        <v>78</v>
      </c>
      <c r="X7" s="30">
        <v>79</v>
      </c>
      <c r="Y7" s="30">
        <v>80</v>
      </c>
      <c r="Z7" s="25"/>
      <c r="AA7" s="30">
        <v>2022</v>
      </c>
      <c r="AB7" s="29" t="s">
        <v>51</v>
      </c>
      <c r="AC7" s="35"/>
      <c r="AD7" s="37">
        <f>IF(TRIM(G7)="", "", DATE(LEFT(G7,4),MID(G7,5,2),MID(G7,7,2)))</f>
        <v>24826</v>
      </c>
      <c r="AE7" s="3" t="str">
        <f t="shared" ref="AE7:AE70" ca="1" si="4">IF(TRIM(AD7)="", "", CONCATENATE(DATEDIF(AD7,NOW(),"Y")," Tahun ",DATEDIF(AD7,NOW(),"YM")," bulan ",DATEDIF(AD7,NOW(),"MD")," Hari"))</f>
        <v>58 Tahun 8 bulan 12 Hari</v>
      </c>
      <c r="AF7" s="38">
        <f>IF(TRIM(AD7)="","",DATE(YEAR(AD7)+60,MONTH(AD7)+1,1))</f>
        <v>46753</v>
      </c>
      <c r="AG7" s="7"/>
    </row>
    <row r="8" spans="1:33" s="306" customFormat="1" ht="32.15" customHeight="1" x14ac:dyDescent="0.35">
      <c r="A8" s="180">
        <f t="shared" ref="A8:A71" si="5">A7+1</f>
        <v>2</v>
      </c>
      <c r="B8" s="181" t="s">
        <v>39</v>
      </c>
      <c r="C8" s="260" t="s">
        <v>52</v>
      </c>
      <c r="D8" s="261"/>
      <c r="E8" s="194" t="s">
        <v>53</v>
      </c>
      <c r="F8" s="182" t="s">
        <v>43</v>
      </c>
      <c r="G8" s="195" t="s">
        <v>54</v>
      </c>
      <c r="H8" s="181" t="s">
        <v>2983</v>
      </c>
      <c r="I8" s="196" t="s">
        <v>55</v>
      </c>
      <c r="J8" s="185">
        <v>45917</v>
      </c>
      <c r="K8" s="183" t="str">
        <f t="shared" ca="1" si="0"/>
        <v xml:space="preserve">0 Tahun 11 bulan </v>
      </c>
      <c r="L8" s="186" t="s">
        <v>56</v>
      </c>
      <c r="M8" s="185">
        <v>45917</v>
      </c>
      <c r="N8" s="183" t="str">
        <f t="shared" ca="1" si="1"/>
        <v xml:space="preserve">0 Tahun 11 bulan </v>
      </c>
      <c r="O8" s="181" t="s">
        <v>2984</v>
      </c>
      <c r="P8" s="181" t="s">
        <v>35</v>
      </c>
      <c r="Q8" s="181" t="str">
        <f t="shared" si="2"/>
        <v>Laki-Laki</v>
      </c>
      <c r="R8" s="181">
        <f t="shared" ref="R8:R22" si="6">R7</f>
        <v>1</v>
      </c>
      <c r="S8" s="181" t="str">
        <f t="shared" si="3"/>
        <v>1</v>
      </c>
      <c r="T8" s="181">
        <f t="shared" ref="T8:T77" si="7">R8-S8</f>
        <v>0</v>
      </c>
      <c r="U8" s="188"/>
      <c r="V8" s="189" t="s">
        <v>50</v>
      </c>
      <c r="W8" s="189"/>
      <c r="X8" s="189"/>
      <c r="Y8" s="189"/>
      <c r="Z8" s="189"/>
      <c r="AA8" s="189"/>
      <c r="AB8" s="188"/>
      <c r="AC8" s="188"/>
      <c r="AD8" s="190">
        <f t="shared" ref="AD8:AD71" si="8">IF(TRIM(G8)="", "", DATE(LEFT(G8,4),MID(G8,5,2),MID(G8,7,2)))</f>
        <v>24734</v>
      </c>
      <c r="AE8" s="183" t="str">
        <f t="shared" ca="1" si="4"/>
        <v>58 Tahun 11 bulan 13 Hari</v>
      </c>
      <c r="AF8" s="191">
        <f t="shared" ref="AF8:AF71" si="9">IF(TRIM(AD8)="","",DATE(YEAR(AD8)+60,MONTH(AD8)+1,1))</f>
        <v>46661</v>
      </c>
    </row>
    <row r="9" spans="1:33" s="306" customFormat="1" ht="32.15" customHeight="1" x14ac:dyDescent="0.35">
      <c r="A9" s="180">
        <f t="shared" si="5"/>
        <v>3</v>
      </c>
      <c r="B9" s="181" t="s">
        <v>39</v>
      </c>
      <c r="C9" s="260" t="s">
        <v>57</v>
      </c>
      <c r="D9" s="261"/>
      <c r="E9" s="192" t="s">
        <v>878</v>
      </c>
      <c r="F9" s="182" t="s">
        <v>43</v>
      </c>
      <c r="G9" s="193" t="s">
        <v>879</v>
      </c>
      <c r="H9" s="181" t="s">
        <v>880</v>
      </c>
      <c r="I9" s="184" t="s">
        <v>46</v>
      </c>
      <c r="J9" s="185">
        <v>46260</v>
      </c>
      <c r="K9" s="183" t="str">
        <f t="shared" ca="1" si="0"/>
        <v xml:space="preserve">0 Tahun 0 bulan </v>
      </c>
      <c r="L9" s="189" t="s">
        <v>56</v>
      </c>
      <c r="M9" s="185" t="s">
        <v>711</v>
      </c>
      <c r="N9" s="183" t="str">
        <f t="shared" ca="1" si="1"/>
        <v xml:space="preserve">4 Tahun 11 bulan </v>
      </c>
      <c r="O9" s="186" t="s">
        <v>49</v>
      </c>
      <c r="P9" s="181" t="s">
        <v>35</v>
      </c>
      <c r="Q9" s="181" t="str">
        <f t="shared" si="2"/>
        <v>Laki-Laki</v>
      </c>
      <c r="R9" s="181">
        <f t="shared" si="6"/>
        <v>1</v>
      </c>
      <c r="S9" s="181" t="str">
        <f t="shared" si="3"/>
        <v>1</v>
      </c>
      <c r="T9" s="181">
        <f t="shared" si="7"/>
        <v>0</v>
      </c>
      <c r="U9" s="188"/>
      <c r="V9" s="189" t="s">
        <v>50</v>
      </c>
      <c r="W9" s="189"/>
      <c r="X9" s="189"/>
      <c r="Y9" s="189"/>
      <c r="Z9" s="189"/>
      <c r="AA9" s="189"/>
      <c r="AB9" s="188"/>
      <c r="AC9" s="188"/>
      <c r="AD9" s="190">
        <f t="shared" si="8"/>
        <v>25082</v>
      </c>
      <c r="AE9" s="183" t="str">
        <f t="shared" ca="1" si="4"/>
        <v>58 Tahun 0 bulan 0 Hari</v>
      </c>
      <c r="AF9" s="191">
        <f t="shared" si="9"/>
        <v>47027</v>
      </c>
    </row>
    <row r="10" spans="1:33" s="306" customFormat="1" ht="32.15" customHeight="1" x14ac:dyDescent="0.35">
      <c r="A10" s="180">
        <f t="shared" si="5"/>
        <v>4</v>
      </c>
      <c r="B10" s="181" t="s">
        <v>39</v>
      </c>
      <c r="C10" s="260" t="s">
        <v>63</v>
      </c>
      <c r="D10" s="261"/>
      <c r="E10" s="182" t="s">
        <v>731</v>
      </c>
      <c r="F10" s="182" t="s">
        <v>43</v>
      </c>
      <c r="G10" s="183" t="s">
        <v>732</v>
      </c>
      <c r="H10" s="181" t="s">
        <v>303</v>
      </c>
      <c r="I10" s="184" t="s">
        <v>383</v>
      </c>
      <c r="J10" s="185">
        <v>46260</v>
      </c>
      <c r="K10" s="183" t="str">
        <f t="shared" ca="1" si="0"/>
        <v xml:space="preserve">0 Tahun 0 bulan </v>
      </c>
      <c r="L10" s="186" t="s">
        <v>56</v>
      </c>
      <c r="M10" s="185" t="s">
        <v>325</v>
      </c>
      <c r="N10" s="183" t="str">
        <f t="shared" ca="1" si="1"/>
        <v xml:space="preserve">1 Tahun 9 bulan </v>
      </c>
      <c r="O10" s="187" t="s">
        <v>2987</v>
      </c>
      <c r="P10" s="181" t="s">
        <v>35</v>
      </c>
      <c r="Q10" s="181" t="str">
        <f t="shared" si="2"/>
        <v>Laki-Laki</v>
      </c>
      <c r="R10" s="181">
        <f t="shared" si="6"/>
        <v>1</v>
      </c>
      <c r="S10" s="181" t="str">
        <f t="shared" si="3"/>
        <v>1</v>
      </c>
      <c r="T10" s="181">
        <f t="shared" si="7"/>
        <v>0</v>
      </c>
      <c r="U10" s="188"/>
      <c r="V10" s="189" t="s">
        <v>50</v>
      </c>
      <c r="W10" s="189"/>
      <c r="X10" s="189"/>
      <c r="Y10" s="189"/>
      <c r="Z10" s="189"/>
      <c r="AA10" s="189"/>
      <c r="AB10" s="188"/>
      <c r="AC10" s="188"/>
      <c r="AD10" s="190">
        <f t="shared" si="8"/>
        <v>27633</v>
      </c>
      <c r="AE10" s="183" t="str">
        <f t="shared" ca="1" si="4"/>
        <v>51 Tahun 0 bulan 5 Hari</v>
      </c>
      <c r="AF10" s="191">
        <f t="shared" si="9"/>
        <v>49553</v>
      </c>
    </row>
    <row r="11" spans="1:33" s="306" customFormat="1" ht="32.15" customHeight="1" x14ac:dyDescent="0.35">
      <c r="A11" s="26">
        <f t="shared" si="5"/>
        <v>5</v>
      </c>
      <c r="B11" s="4" t="s">
        <v>39</v>
      </c>
      <c r="C11" s="264" t="s">
        <v>70</v>
      </c>
      <c r="D11" s="265"/>
      <c r="E11" s="24" t="s">
        <v>2864</v>
      </c>
      <c r="F11" s="24" t="s">
        <v>43</v>
      </c>
      <c r="G11" s="3" t="s">
        <v>2865</v>
      </c>
      <c r="H11" s="3" t="s">
        <v>988</v>
      </c>
      <c r="I11" s="33" t="s">
        <v>2920</v>
      </c>
      <c r="J11" s="5">
        <v>46087</v>
      </c>
      <c r="K11" s="3" t="str">
        <f t="shared" ca="1" si="0"/>
        <v xml:space="preserve">0 Tahun 5 bulan </v>
      </c>
      <c r="L11" s="30" t="s">
        <v>56</v>
      </c>
      <c r="M11" s="5">
        <v>46087</v>
      </c>
      <c r="N11" s="3" t="str">
        <f t="shared" ca="1" si="1"/>
        <v xml:space="preserve">0 Tahun 5 bulan </v>
      </c>
      <c r="O11" s="44" t="s">
        <v>81</v>
      </c>
      <c r="P11" s="4" t="s">
        <v>35</v>
      </c>
      <c r="Q11" s="4" t="str">
        <f t="shared" si="2"/>
        <v>Laki-Laki</v>
      </c>
      <c r="R11" s="4">
        <f t="shared" si="6"/>
        <v>1</v>
      </c>
      <c r="S11" s="4" t="str">
        <f t="shared" si="3"/>
        <v>1</v>
      </c>
      <c r="T11" s="4">
        <f t="shared" si="7"/>
        <v>0</v>
      </c>
      <c r="U11" s="29"/>
      <c r="V11" s="30" t="s">
        <v>50</v>
      </c>
      <c r="W11" s="30"/>
      <c r="X11" s="30"/>
      <c r="Y11" s="30"/>
      <c r="Z11" s="30"/>
      <c r="AA11" s="30"/>
      <c r="AB11" s="29"/>
      <c r="AC11" s="29"/>
      <c r="AD11" s="37">
        <f t="shared" si="8"/>
        <v>29380</v>
      </c>
      <c r="AE11" s="3" t="str">
        <f t="shared" ca="1" si="4"/>
        <v>46 Tahun 2 bulan 24 Hari</v>
      </c>
      <c r="AF11" s="38">
        <f t="shared" si="9"/>
        <v>51318</v>
      </c>
    </row>
    <row r="12" spans="1:33" s="306" customFormat="1" ht="32.15" customHeight="1" x14ac:dyDescent="0.35">
      <c r="A12" s="180">
        <f t="shared" si="5"/>
        <v>6</v>
      </c>
      <c r="B12" s="181" t="s">
        <v>39</v>
      </c>
      <c r="C12" s="274" t="s">
        <v>73</v>
      </c>
      <c r="D12" s="275"/>
      <c r="E12" s="197" t="s">
        <v>74</v>
      </c>
      <c r="F12" s="182" t="s">
        <v>43</v>
      </c>
      <c r="G12" s="187" t="s">
        <v>75</v>
      </c>
      <c r="H12" s="186" t="s">
        <v>76</v>
      </c>
      <c r="I12" s="186" t="s">
        <v>77</v>
      </c>
      <c r="J12" s="185" t="s">
        <v>78</v>
      </c>
      <c r="K12" s="183" t="str">
        <f t="shared" ca="1" si="0"/>
        <v xml:space="preserve">5 Tahun 11 bulan </v>
      </c>
      <c r="L12" s="186" t="s">
        <v>79</v>
      </c>
      <c r="M12" s="185" t="s">
        <v>80</v>
      </c>
      <c r="N12" s="183" t="str">
        <f t="shared" ca="1" si="1"/>
        <v xml:space="preserve">13 Tahun 7 bulan </v>
      </c>
      <c r="O12" s="186" t="s">
        <v>81</v>
      </c>
      <c r="P12" s="181" t="s">
        <v>35</v>
      </c>
      <c r="Q12" s="181" t="str">
        <f t="shared" si="2"/>
        <v>Laki-Laki</v>
      </c>
      <c r="R12" s="181">
        <f t="shared" si="6"/>
        <v>1</v>
      </c>
      <c r="S12" s="181" t="str">
        <f t="shared" si="3"/>
        <v>1</v>
      </c>
      <c r="T12" s="181">
        <f t="shared" si="7"/>
        <v>0</v>
      </c>
      <c r="U12" s="188"/>
      <c r="V12" s="189" t="s">
        <v>50</v>
      </c>
      <c r="W12" s="189"/>
      <c r="X12" s="189"/>
      <c r="Y12" s="189"/>
      <c r="Z12" s="189"/>
      <c r="AA12" s="189"/>
      <c r="AB12" s="188"/>
      <c r="AC12" s="188"/>
      <c r="AD12" s="190">
        <f t="shared" si="8"/>
        <v>29829</v>
      </c>
      <c r="AE12" s="183" t="str">
        <f t="shared" ca="1" si="4"/>
        <v>45 Tahun 0 bulan 1 Hari</v>
      </c>
      <c r="AF12" s="191">
        <f t="shared" si="9"/>
        <v>51745</v>
      </c>
    </row>
    <row r="13" spans="1:33" s="306" customFormat="1" ht="32.15" customHeight="1" x14ac:dyDescent="0.35">
      <c r="A13" s="180">
        <f t="shared" si="5"/>
        <v>7</v>
      </c>
      <c r="B13" s="181" t="s">
        <v>39</v>
      </c>
      <c r="C13" s="262" t="s">
        <v>82</v>
      </c>
      <c r="D13" s="263"/>
      <c r="E13" s="194" t="s">
        <v>83</v>
      </c>
      <c r="F13" s="182" t="s">
        <v>43</v>
      </c>
      <c r="G13" s="195" t="s">
        <v>84</v>
      </c>
      <c r="H13" s="181" t="s">
        <v>2988</v>
      </c>
      <c r="I13" s="186" t="s">
        <v>2965</v>
      </c>
      <c r="J13" s="185" t="s">
        <v>87</v>
      </c>
      <c r="K13" s="183" t="str">
        <f t="shared" ca="1" si="0"/>
        <v xml:space="preserve">4 Tahun 8 bulan </v>
      </c>
      <c r="L13" s="189" t="s">
        <v>88</v>
      </c>
      <c r="M13" s="185">
        <v>44561</v>
      </c>
      <c r="N13" s="183" t="str">
        <f t="shared" ca="1" si="1"/>
        <v xml:space="preserve">4 Tahun 8 bulan </v>
      </c>
      <c r="O13" s="188"/>
      <c r="P13" s="181" t="s">
        <v>35</v>
      </c>
      <c r="Q13" s="181" t="str">
        <f t="shared" si="2"/>
        <v>Laki-Laki</v>
      </c>
      <c r="R13" s="181">
        <f t="shared" si="6"/>
        <v>1</v>
      </c>
      <c r="S13" s="181" t="str">
        <f t="shared" si="3"/>
        <v>1</v>
      </c>
      <c r="T13" s="181">
        <f t="shared" si="7"/>
        <v>0</v>
      </c>
      <c r="U13" s="188"/>
      <c r="V13" s="189" t="s">
        <v>50</v>
      </c>
      <c r="W13" s="189"/>
      <c r="X13" s="189"/>
      <c r="Y13" s="189"/>
      <c r="Z13" s="189"/>
      <c r="AA13" s="189"/>
      <c r="AB13" s="188"/>
      <c r="AC13" s="188"/>
      <c r="AD13" s="190">
        <f t="shared" si="8"/>
        <v>27250</v>
      </c>
      <c r="AE13" s="183" t="str">
        <f t="shared" ca="1" si="4"/>
        <v>52 Tahun 0 bulan 23 Hari</v>
      </c>
      <c r="AF13" s="191">
        <f t="shared" si="9"/>
        <v>49188</v>
      </c>
    </row>
    <row r="14" spans="1:33" s="306" customFormat="1" ht="32.15" customHeight="1" x14ac:dyDescent="0.35">
      <c r="A14" s="180">
        <f t="shared" si="5"/>
        <v>8</v>
      </c>
      <c r="B14" s="181" t="s">
        <v>39</v>
      </c>
      <c r="C14" s="262" t="s">
        <v>82</v>
      </c>
      <c r="D14" s="263"/>
      <c r="E14" s="197" t="s">
        <v>89</v>
      </c>
      <c r="F14" s="182" t="s">
        <v>43</v>
      </c>
      <c r="G14" s="187" t="s">
        <v>90</v>
      </c>
      <c r="H14" s="181" t="s">
        <v>91</v>
      </c>
      <c r="I14" s="186" t="s">
        <v>86</v>
      </c>
      <c r="J14" s="185" t="s">
        <v>515</v>
      </c>
      <c r="K14" s="183" t="str">
        <f t="shared" ca="1" si="0"/>
        <v xml:space="preserve">4 Tahun 8 bulan </v>
      </c>
      <c r="L14" s="189" t="s">
        <v>88</v>
      </c>
      <c r="M14" s="185" t="s">
        <v>515</v>
      </c>
      <c r="N14" s="183" t="str">
        <f t="shared" ca="1" si="1"/>
        <v xml:space="preserve">4 Tahun 8 bulan </v>
      </c>
      <c r="O14" s="186"/>
      <c r="P14" s="181" t="s">
        <v>35</v>
      </c>
      <c r="Q14" s="181" t="str">
        <f t="shared" si="2"/>
        <v>Laki-Laki</v>
      </c>
      <c r="R14" s="181">
        <f t="shared" si="6"/>
        <v>1</v>
      </c>
      <c r="S14" s="181" t="str">
        <f t="shared" si="3"/>
        <v>1</v>
      </c>
      <c r="T14" s="181">
        <f t="shared" si="7"/>
        <v>0</v>
      </c>
      <c r="U14" s="188"/>
      <c r="V14" s="189" t="s">
        <v>50</v>
      </c>
      <c r="W14" s="189"/>
      <c r="X14" s="189"/>
      <c r="Y14" s="189"/>
      <c r="Z14" s="189"/>
      <c r="AA14" s="189"/>
      <c r="AB14" s="188"/>
      <c r="AC14" s="188"/>
      <c r="AD14" s="190">
        <f>IF(TRIM(G14)="", "", DATE(LEFT(G14,4),MID(G14,5,2),MID(G14,7,2)))</f>
        <v>25105</v>
      </c>
      <c r="AE14" s="183" t="str">
        <f t="shared" ca="1" si="4"/>
        <v>57 Tahun 11 bulan 8 Hari</v>
      </c>
      <c r="AF14" s="191">
        <f t="shared" si="9"/>
        <v>47027</v>
      </c>
      <c r="AG14" s="307" t="s">
        <v>3145</v>
      </c>
    </row>
    <row r="15" spans="1:33" s="306" customFormat="1" ht="32.15" customHeight="1" x14ac:dyDescent="0.35">
      <c r="A15" s="180">
        <f t="shared" si="5"/>
        <v>9</v>
      </c>
      <c r="B15" s="181" t="s">
        <v>39</v>
      </c>
      <c r="C15" s="262" t="s">
        <v>82</v>
      </c>
      <c r="D15" s="263"/>
      <c r="E15" s="194" t="s">
        <v>92</v>
      </c>
      <c r="F15" s="182" t="s">
        <v>43</v>
      </c>
      <c r="G15" s="195" t="s">
        <v>93</v>
      </c>
      <c r="H15" s="181" t="s">
        <v>2989</v>
      </c>
      <c r="I15" s="186" t="s">
        <v>86</v>
      </c>
      <c r="J15" s="185" t="s">
        <v>87</v>
      </c>
      <c r="K15" s="183" t="str">
        <f t="shared" ca="1" si="0"/>
        <v xml:space="preserve">4 Tahun 8 bulan </v>
      </c>
      <c r="L15" s="189" t="s">
        <v>88</v>
      </c>
      <c r="M15" s="185">
        <v>44561</v>
      </c>
      <c r="N15" s="183" t="str">
        <f t="shared" ca="1" si="1"/>
        <v xml:space="preserve">4 Tahun 8 bulan </v>
      </c>
      <c r="O15" s="188"/>
      <c r="P15" s="181" t="s">
        <v>35</v>
      </c>
      <c r="Q15" s="181" t="str">
        <f t="shared" si="2"/>
        <v>Perempuan</v>
      </c>
      <c r="R15" s="181">
        <f t="shared" si="6"/>
        <v>1</v>
      </c>
      <c r="S15" s="181" t="str">
        <f t="shared" si="3"/>
        <v>1</v>
      </c>
      <c r="T15" s="181">
        <f t="shared" si="7"/>
        <v>0</v>
      </c>
      <c r="U15" s="188"/>
      <c r="V15" s="189"/>
      <c r="W15" s="189"/>
      <c r="X15" s="189"/>
      <c r="Y15" s="189"/>
      <c r="Z15" s="189"/>
      <c r="AA15" s="189"/>
      <c r="AB15" s="188"/>
      <c r="AC15" s="188"/>
      <c r="AD15" s="190">
        <f t="shared" si="8"/>
        <v>29411</v>
      </c>
      <c r="AE15" s="183" t="str">
        <f t="shared" ca="1" si="4"/>
        <v>46 Tahun 1 bulan 23 Hari</v>
      </c>
      <c r="AF15" s="191">
        <f t="shared" si="9"/>
        <v>51349</v>
      </c>
    </row>
    <row r="16" spans="1:33" s="306" customFormat="1" ht="32.15" customHeight="1" x14ac:dyDescent="0.35">
      <c r="A16" s="180">
        <f t="shared" si="5"/>
        <v>10</v>
      </c>
      <c r="B16" s="181" t="s">
        <v>39</v>
      </c>
      <c r="C16" s="274" t="s">
        <v>95</v>
      </c>
      <c r="D16" s="275"/>
      <c r="E16" s="182" t="s">
        <v>96</v>
      </c>
      <c r="F16" s="182" t="s">
        <v>43</v>
      </c>
      <c r="G16" s="183" t="s">
        <v>2990</v>
      </c>
      <c r="H16" s="181" t="s">
        <v>97</v>
      </c>
      <c r="I16" s="186" t="s">
        <v>46</v>
      </c>
      <c r="J16" s="185" t="s">
        <v>98</v>
      </c>
      <c r="K16" s="183" t="str">
        <f t="shared" ca="1" si="0"/>
        <v xml:space="preserve">3 Tahun 0 bulan </v>
      </c>
      <c r="L16" s="186" t="s">
        <v>79</v>
      </c>
      <c r="M16" s="185" t="s">
        <v>354</v>
      </c>
      <c r="N16" s="183" t="str">
        <f t="shared" ca="1" si="1"/>
        <v xml:space="preserve">6 Tahun 9 bulan </v>
      </c>
      <c r="O16" s="181" t="s">
        <v>81</v>
      </c>
      <c r="P16" s="181" t="s">
        <v>35</v>
      </c>
      <c r="Q16" s="181" t="str">
        <f t="shared" si="2"/>
        <v>Laki-Laki</v>
      </c>
      <c r="R16" s="181">
        <f>R32</f>
        <v>1</v>
      </c>
      <c r="S16" s="181" t="str">
        <f t="shared" si="3"/>
        <v>1</v>
      </c>
      <c r="T16" s="181">
        <f>R16-S16</f>
        <v>0</v>
      </c>
      <c r="U16" s="188"/>
      <c r="V16" s="189" t="s">
        <v>50</v>
      </c>
      <c r="W16" s="189"/>
      <c r="X16" s="189"/>
      <c r="Y16" s="189"/>
      <c r="Z16" s="189"/>
      <c r="AA16" s="189"/>
      <c r="AB16" s="188"/>
      <c r="AC16" s="188"/>
      <c r="AD16" s="190">
        <f t="shared" si="8"/>
        <v>31382</v>
      </c>
      <c r="AE16" s="183" t="str">
        <f t="shared" ca="1" si="4"/>
        <v>40 Tahun 9 bulan 0 Hari</v>
      </c>
      <c r="AF16" s="191">
        <f t="shared" si="9"/>
        <v>53328</v>
      </c>
    </row>
    <row r="17" spans="1:32" s="306" customFormat="1" ht="32.15" customHeight="1" x14ac:dyDescent="0.35">
      <c r="A17" s="180">
        <f>A16+1</f>
        <v>11</v>
      </c>
      <c r="B17" s="181" t="s">
        <v>39</v>
      </c>
      <c r="C17" s="262" t="s">
        <v>99</v>
      </c>
      <c r="D17" s="263"/>
      <c r="E17" s="182" t="s">
        <v>100</v>
      </c>
      <c r="F17" s="182" t="s">
        <v>43</v>
      </c>
      <c r="G17" s="183" t="s">
        <v>101</v>
      </c>
      <c r="H17" s="181" t="s">
        <v>102</v>
      </c>
      <c r="I17" s="205" t="s">
        <v>103</v>
      </c>
      <c r="J17" s="185" t="s">
        <v>515</v>
      </c>
      <c r="K17" s="183" t="str">
        <f t="shared" ca="1" si="0"/>
        <v xml:space="preserve">4 Tahun 8 bulan </v>
      </c>
      <c r="L17" s="189" t="s">
        <v>88</v>
      </c>
      <c r="M17" s="185" t="s">
        <v>515</v>
      </c>
      <c r="N17" s="183" t="str">
        <f t="shared" ca="1" si="1"/>
        <v xml:space="preserve">4 Tahun 8 bulan </v>
      </c>
      <c r="O17" s="181"/>
      <c r="P17" s="181" t="s">
        <v>35</v>
      </c>
      <c r="Q17" s="181" t="str">
        <f t="shared" si="2"/>
        <v>Laki-Laki</v>
      </c>
      <c r="R17" s="181">
        <f>R16</f>
        <v>1</v>
      </c>
      <c r="S17" s="181" t="str">
        <f t="shared" si="3"/>
        <v>1</v>
      </c>
      <c r="T17" s="181">
        <f>R17-S17</f>
        <v>0</v>
      </c>
      <c r="U17" s="188"/>
      <c r="V17" s="189" t="s">
        <v>50</v>
      </c>
      <c r="W17" s="189"/>
      <c r="X17" s="189"/>
      <c r="Y17" s="189"/>
      <c r="Z17" s="189"/>
      <c r="AA17" s="189"/>
      <c r="AB17" s="188"/>
      <c r="AC17" s="188"/>
      <c r="AD17" s="190">
        <f t="shared" si="8"/>
        <v>31250</v>
      </c>
      <c r="AE17" s="183" t="str">
        <f t="shared" ca="1" si="4"/>
        <v>41 Tahun 1 bulan 10 Hari</v>
      </c>
      <c r="AF17" s="191">
        <f t="shared" si="9"/>
        <v>53175</v>
      </c>
    </row>
    <row r="18" spans="1:32" s="306" customFormat="1" ht="32.15" customHeight="1" x14ac:dyDescent="0.35">
      <c r="A18" s="26">
        <f>A17+1</f>
        <v>12</v>
      </c>
      <c r="B18" s="4" t="s">
        <v>39</v>
      </c>
      <c r="C18" s="258" t="s">
        <v>99</v>
      </c>
      <c r="D18" s="259"/>
      <c r="E18" s="24" t="s">
        <v>104</v>
      </c>
      <c r="F18" s="24" t="s">
        <v>43</v>
      </c>
      <c r="G18" s="4" t="s">
        <v>105</v>
      </c>
      <c r="H18" s="36" t="s">
        <v>106</v>
      </c>
      <c r="I18" s="4" t="s">
        <v>107</v>
      </c>
      <c r="J18" s="5" t="s">
        <v>87</v>
      </c>
      <c r="K18" s="3" t="str">
        <f t="shared" ca="1" si="0"/>
        <v xml:space="preserve">4 Tahun 8 bulan </v>
      </c>
      <c r="L18" s="30" t="s">
        <v>88</v>
      </c>
      <c r="M18" s="5" t="s">
        <v>87</v>
      </c>
      <c r="N18" s="3" t="str">
        <f t="shared" ca="1" si="1"/>
        <v xml:space="preserve">4 Tahun 8 bulan </v>
      </c>
      <c r="O18" s="36"/>
      <c r="P18" s="4" t="s">
        <v>35</v>
      </c>
      <c r="Q18" s="4" t="str">
        <f t="shared" si="2"/>
        <v>Laki-Laki</v>
      </c>
      <c r="R18" s="4">
        <f>R17</f>
        <v>1</v>
      </c>
      <c r="S18" s="4" t="str">
        <f t="shared" si="3"/>
        <v>1</v>
      </c>
      <c r="T18" s="4">
        <f>R18-S18</f>
        <v>0</v>
      </c>
      <c r="U18" s="29"/>
      <c r="V18" s="30" t="s">
        <v>50</v>
      </c>
      <c r="W18" s="30"/>
      <c r="X18" s="30"/>
      <c r="Y18" s="30"/>
      <c r="Z18" s="30"/>
      <c r="AA18" s="30"/>
      <c r="AB18" s="29"/>
      <c r="AC18" s="29"/>
      <c r="AD18" s="37">
        <f t="shared" si="8"/>
        <v>27903</v>
      </c>
      <c r="AE18" s="3" t="str">
        <f t="shared" ca="1" si="4"/>
        <v>50 Tahun 3 bulan 9 Hari</v>
      </c>
      <c r="AF18" s="38">
        <f t="shared" si="9"/>
        <v>49827</v>
      </c>
    </row>
    <row r="19" spans="1:32" s="306" customFormat="1" ht="32.15" customHeight="1" x14ac:dyDescent="0.35">
      <c r="A19" s="26">
        <f>A18+1</f>
        <v>13</v>
      </c>
      <c r="B19" s="4" t="s">
        <v>39</v>
      </c>
      <c r="C19" s="258" t="s">
        <v>99</v>
      </c>
      <c r="D19" s="259"/>
      <c r="E19" s="45" t="s">
        <v>108</v>
      </c>
      <c r="F19" s="45"/>
      <c r="G19" s="44"/>
      <c r="H19" s="36"/>
      <c r="I19" s="48"/>
      <c r="J19" s="5"/>
      <c r="K19" s="3" t="str">
        <f t="shared" ca="1" si="0"/>
        <v/>
      </c>
      <c r="L19" s="30" t="s">
        <v>88</v>
      </c>
      <c r="M19" s="49"/>
      <c r="N19" s="3" t="str">
        <f t="shared" ca="1" si="1"/>
        <v/>
      </c>
      <c r="O19" s="36"/>
      <c r="P19" s="4"/>
      <c r="Q19" s="4" t="str">
        <f t="shared" si="2"/>
        <v/>
      </c>
      <c r="R19" s="4">
        <f>R18</f>
        <v>1</v>
      </c>
      <c r="S19" s="4" t="str">
        <f t="shared" si="3"/>
        <v>0</v>
      </c>
      <c r="T19" s="4">
        <f>R19-S19</f>
        <v>1</v>
      </c>
      <c r="U19" s="29"/>
      <c r="V19" s="30"/>
      <c r="W19" s="30"/>
      <c r="X19" s="30"/>
      <c r="Y19" s="30"/>
      <c r="Z19" s="30"/>
      <c r="AA19" s="30"/>
      <c r="AB19" s="29"/>
      <c r="AC19" s="29"/>
      <c r="AD19" s="37" t="str">
        <f t="shared" si="8"/>
        <v/>
      </c>
      <c r="AE19" s="3" t="str">
        <f t="shared" ca="1" si="4"/>
        <v/>
      </c>
      <c r="AF19" s="38" t="str">
        <f t="shared" si="9"/>
        <v/>
      </c>
    </row>
    <row r="20" spans="1:32" s="306" customFormat="1" ht="32.15" customHeight="1" x14ac:dyDescent="0.35">
      <c r="A20" s="180">
        <f>A19+1</f>
        <v>14</v>
      </c>
      <c r="B20" s="181" t="s">
        <v>39</v>
      </c>
      <c r="C20" s="260" t="s">
        <v>109</v>
      </c>
      <c r="D20" s="261"/>
      <c r="E20" s="182" t="s">
        <v>110</v>
      </c>
      <c r="F20" s="182" t="s">
        <v>43</v>
      </c>
      <c r="G20" s="183" t="s">
        <v>111</v>
      </c>
      <c r="H20" s="181" t="s">
        <v>112</v>
      </c>
      <c r="I20" s="181" t="s">
        <v>113</v>
      </c>
      <c r="J20" s="185" t="s">
        <v>114</v>
      </c>
      <c r="K20" s="183" t="str">
        <f t="shared" ca="1" si="0"/>
        <v xml:space="preserve">6 Tahun 8 bulan </v>
      </c>
      <c r="L20" s="186" t="s">
        <v>79</v>
      </c>
      <c r="M20" s="185" t="s">
        <v>114</v>
      </c>
      <c r="N20" s="183" t="str">
        <f t="shared" ca="1" si="1"/>
        <v xml:space="preserve">6 Tahun 8 bulan </v>
      </c>
      <c r="O20" s="181"/>
      <c r="P20" s="181" t="s">
        <v>35</v>
      </c>
      <c r="Q20" s="181" t="str">
        <f t="shared" si="2"/>
        <v>Laki-Laki</v>
      </c>
      <c r="R20" s="181">
        <f>R15</f>
        <v>1</v>
      </c>
      <c r="S20" s="181" t="str">
        <f t="shared" si="3"/>
        <v>1</v>
      </c>
      <c r="T20" s="181">
        <f t="shared" si="7"/>
        <v>0</v>
      </c>
      <c r="U20" s="188"/>
      <c r="V20" s="189" t="s">
        <v>50</v>
      </c>
      <c r="W20" s="189"/>
      <c r="X20" s="189"/>
      <c r="Y20" s="189"/>
      <c r="Z20" s="189"/>
      <c r="AA20" s="189"/>
      <c r="AB20" s="188"/>
      <c r="AC20" s="188"/>
      <c r="AD20" s="190">
        <f t="shared" si="8"/>
        <v>29114</v>
      </c>
      <c r="AE20" s="183" t="str">
        <f t="shared" ca="1" si="4"/>
        <v>46 Tahun 11 bulan 16 Hari</v>
      </c>
      <c r="AF20" s="191">
        <f t="shared" si="9"/>
        <v>51044</v>
      </c>
    </row>
    <row r="21" spans="1:32" s="306" customFormat="1" ht="32.15" customHeight="1" x14ac:dyDescent="0.35">
      <c r="A21" s="180">
        <f t="shared" si="5"/>
        <v>15</v>
      </c>
      <c r="B21" s="181" t="s">
        <v>39</v>
      </c>
      <c r="C21" s="262" t="s">
        <v>115</v>
      </c>
      <c r="D21" s="263"/>
      <c r="E21" s="182" t="s">
        <v>116</v>
      </c>
      <c r="F21" s="182" t="s">
        <v>43</v>
      </c>
      <c r="G21" s="181" t="s">
        <v>117</v>
      </c>
      <c r="H21" s="186" t="s">
        <v>85</v>
      </c>
      <c r="I21" s="186" t="s">
        <v>118</v>
      </c>
      <c r="J21" s="185" t="s">
        <v>87</v>
      </c>
      <c r="K21" s="183" t="str">
        <f t="shared" ca="1" si="0"/>
        <v xml:space="preserve">4 Tahun 8 bulan </v>
      </c>
      <c r="L21" s="189" t="s">
        <v>88</v>
      </c>
      <c r="M21" s="185" t="s">
        <v>87</v>
      </c>
      <c r="N21" s="183" t="str">
        <f t="shared" ca="1" si="1"/>
        <v xml:space="preserve">4 Tahun 8 bulan </v>
      </c>
      <c r="O21" s="186"/>
      <c r="P21" s="181" t="s">
        <v>35</v>
      </c>
      <c r="Q21" s="181" t="str">
        <f t="shared" si="2"/>
        <v>Laki-Laki</v>
      </c>
      <c r="R21" s="181">
        <f t="shared" si="6"/>
        <v>1</v>
      </c>
      <c r="S21" s="181" t="str">
        <f t="shared" si="3"/>
        <v>1</v>
      </c>
      <c r="T21" s="181">
        <f t="shared" si="7"/>
        <v>0</v>
      </c>
      <c r="U21" s="188"/>
      <c r="V21" s="189" t="s">
        <v>50</v>
      </c>
      <c r="W21" s="189"/>
      <c r="X21" s="189"/>
      <c r="Y21" s="189"/>
      <c r="Z21" s="189"/>
      <c r="AA21" s="189"/>
      <c r="AB21" s="188"/>
      <c r="AC21" s="188"/>
      <c r="AD21" s="190">
        <f t="shared" si="8"/>
        <v>30670</v>
      </c>
      <c r="AE21" s="183" t="str">
        <f t="shared" ca="1" si="4"/>
        <v>42 Tahun 8 bulan 12 Hari</v>
      </c>
      <c r="AF21" s="191">
        <f t="shared" si="9"/>
        <v>52597</v>
      </c>
    </row>
    <row r="22" spans="1:32" s="306" customFormat="1" ht="32.15" customHeight="1" x14ac:dyDescent="0.35">
      <c r="A22" s="26">
        <f t="shared" si="5"/>
        <v>16</v>
      </c>
      <c r="B22" s="4" t="s">
        <v>39</v>
      </c>
      <c r="C22" s="258" t="s">
        <v>119</v>
      </c>
      <c r="D22" s="259"/>
      <c r="E22" s="39" t="s">
        <v>108</v>
      </c>
      <c r="F22" s="39"/>
      <c r="G22" s="25"/>
      <c r="H22" s="35"/>
      <c r="I22" s="25"/>
      <c r="J22" s="49"/>
      <c r="K22" s="3" t="str">
        <f t="shared" ca="1" si="0"/>
        <v/>
      </c>
      <c r="L22" s="30" t="s">
        <v>88</v>
      </c>
      <c r="M22" s="49"/>
      <c r="N22" s="3" t="str">
        <f t="shared" ca="1" si="1"/>
        <v/>
      </c>
      <c r="O22" s="35"/>
      <c r="P22" s="29"/>
      <c r="Q22" s="4" t="str">
        <f t="shared" si="2"/>
        <v/>
      </c>
      <c r="R22" s="4">
        <f t="shared" si="6"/>
        <v>1</v>
      </c>
      <c r="S22" s="4" t="str">
        <f t="shared" si="3"/>
        <v>0</v>
      </c>
      <c r="T22" s="4">
        <f t="shared" si="7"/>
        <v>1</v>
      </c>
      <c r="U22" s="29"/>
      <c r="V22" s="30"/>
      <c r="W22" s="30"/>
      <c r="X22" s="30"/>
      <c r="Y22" s="30"/>
      <c r="Z22" s="30"/>
      <c r="AA22" s="30"/>
      <c r="AB22" s="29"/>
      <c r="AC22" s="29"/>
      <c r="AD22" s="37" t="str">
        <f t="shared" si="8"/>
        <v/>
      </c>
      <c r="AE22" s="3" t="str">
        <f t="shared" ca="1" si="4"/>
        <v/>
      </c>
      <c r="AF22" s="38" t="str">
        <f t="shared" si="9"/>
        <v/>
      </c>
    </row>
    <row r="23" spans="1:32" s="306" customFormat="1" ht="32.15" customHeight="1" x14ac:dyDescent="0.35">
      <c r="A23" s="180">
        <f t="shared" si="5"/>
        <v>17</v>
      </c>
      <c r="B23" s="181" t="s">
        <v>39</v>
      </c>
      <c r="C23" s="262" t="s">
        <v>120</v>
      </c>
      <c r="D23" s="263"/>
      <c r="E23" s="182" t="s">
        <v>121</v>
      </c>
      <c r="F23" s="182" t="s">
        <v>43</v>
      </c>
      <c r="G23" s="181" t="s">
        <v>2992</v>
      </c>
      <c r="H23" s="186" t="s">
        <v>2991</v>
      </c>
      <c r="I23" s="186" t="s">
        <v>122</v>
      </c>
      <c r="J23" s="185" t="s">
        <v>87</v>
      </c>
      <c r="K23" s="183" t="str">
        <f t="shared" ca="1" si="0"/>
        <v xml:space="preserve">4 Tahun 8 bulan </v>
      </c>
      <c r="L23" s="189" t="s">
        <v>88</v>
      </c>
      <c r="M23" s="185" t="s">
        <v>87</v>
      </c>
      <c r="N23" s="183" t="str">
        <f t="shared" ca="1" si="1"/>
        <v xml:space="preserve">4 Tahun 8 bulan </v>
      </c>
      <c r="O23" s="186"/>
      <c r="P23" s="181" t="s">
        <v>35</v>
      </c>
      <c r="Q23" s="181" t="str">
        <f t="shared" si="2"/>
        <v>Perempuan</v>
      </c>
      <c r="R23" s="181">
        <f>R291</f>
        <v>1</v>
      </c>
      <c r="S23" s="181" t="str">
        <f t="shared" si="3"/>
        <v>1</v>
      </c>
      <c r="T23" s="181">
        <f t="shared" si="7"/>
        <v>0</v>
      </c>
      <c r="U23" s="188"/>
      <c r="V23" s="189"/>
      <c r="W23" s="189"/>
      <c r="X23" s="189"/>
      <c r="Y23" s="189"/>
      <c r="Z23" s="189"/>
      <c r="AA23" s="189"/>
      <c r="AB23" s="188"/>
      <c r="AC23" s="188"/>
      <c r="AD23" s="190">
        <f t="shared" si="8"/>
        <v>29099</v>
      </c>
      <c r="AE23" s="183" t="str">
        <f t="shared" ca="1" si="4"/>
        <v>47 Tahun 0 bulan 0 Hari</v>
      </c>
      <c r="AF23" s="191">
        <f t="shared" si="9"/>
        <v>51044</v>
      </c>
    </row>
    <row r="24" spans="1:32" s="306" customFormat="1" ht="32.15" customHeight="1" x14ac:dyDescent="0.35">
      <c r="A24" s="180">
        <f t="shared" si="5"/>
        <v>18</v>
      </c>
      <c r="B24" s="181" t="s">
        <v>39</v>
      </c>
      <c r="C24" s="274" t="s">
        <v>123</v>
      </c>
      <c r="D24" s="275"/>
      <c r="E24" s="182" t="s">
        <v>124</v>
      </c>
      <c r="F24" s="182" t="s">
        <v>43</v>
      </c>
      <c r="G24" s="183" t="s">
        <v>125</v>
      </c>
      <c r="H24" s="181" t="s">
        <v>126</v>
      </c>
      <c r="I24" s="184" t="s">
        <v>46</v>
      </c>
      <c r="J24" s="185" t="s">
        <v>127</v>
      </c>
      <c r="K24" s="183" t="str">
        <f t="shared" ca="1" si="0"/>
        <v xml:space="preserve">5 Tahun 6 bulan </v>
      </c>
      <c r="L24" s="186" t="s">
        <v>79</v>
      </c>
      <c r="M24" s="185" t="s">
        <v>2993</v>
      </c>
      <c r="N24" s="183" t="str">
        <f t="shared" ca="1" si="1"/>
        <v xml:space="preserve">6 Tahun 9 bulan </v>
      </c>
      <c r="O24" s="181" t="s">
        <v>128</v>
      </c>
      <c r="P24" s="181" t="s">
        <v>35</v>
      </c>
      <c r="Q24" s="181" t="str">
        <f t="shared" si="2"/>
        <v>Perempuan</v>
      </c>
      <c r="R24" s="181">
        <f>R23</f>
        <v>1</v>
      </c>
      <c r="S24" s="181" t="str">
        <f t="shared" si="3"/>
        <v>1</v>
      </c>
      <c r="T24" s="181">
        <f t="shared" si="7"/>
        <v>0</v>
      </c>
      <c r="U24" s="188"/>
      <c r="V24" s="189"/>
      <c r="W24" s="189"/>
      <c r="X24" s="189"/>
      <c r="Y24" s="189"/>
      <c r="Z24" s="189"/>
      <c r="AA24" s="189"/>
      <c r="AB24" s="188"/>
      <c r="AC24" s="188"/>
      <c r="AD24" s="190">
        <f t="shared" si="8"/>
        <v>25263</v>
      </c>
      <c r="AE24" s="183" t="str">
        <f t="shared" ca="1" si="4"/>
        <v>57 Tahun 6 bulan 0 Hari</v>
      </c>
      <c r="AF24" s="191">
        <f t="shared" si="9"/>
        <v>47209</v>
      </c>
    </row>
    <row r="25" spans="1:32" s="306" customFormat="1" ht="32.15" customHeight="1" x14ac:dyDescent="0.35">
      <c r="A25" s="26">
        <f t="shared" si="5"/>
        <v>19</v>
      </c>
      <c r="B25" s="4" t="s">
        <v>39</v>
      </c>
      <c r="C25" s="258" t="s">
        <v>129</v>
      </c>
      <c r="D25" s="259"/>
      <c r="E25" s="24" t="s">
        <v>130</v>
      </c>
      <c r="F25" s="24" t="s">
        <v>43</v>
      </c>
      <c r="G25" s="3" t="s">
        <v>131</v>
      </c>
      <c r="H25" s="4" t="s">
        <v>132</v>
      </c>
      <c r="I25" s="33" t="s">
        <v>46</v>
      </c>
      <c r="J25" s="5" t="s">
        <v>114</v>
      </c>
      <c r="K25" s="3" t="str">
        <f t="shared" ca="1" si="0"/>
        <v xml:space="preserve">6 Tahun 8 bulan </v>
      </c>
      <c r="L25" s="30" t="s">
        <v>88</v>
      </c>
      <c r="M25" s="5" t="s">
        <v>114</v>
      </c>
      <c r="N25" s="3" t="str">
        <f t="shared" ca="1" si="1"/>
        <v xml:space="preserve">6 Tahun 8 bulan </v>
      </c>
      <c r="O25" s="50"/>
      <c r="P25" s="4" t="s">
        <v>35</v>
      </c>
      <c r="Q25" s="4" t="str">
        <f t="shared" si="2"/>
        <v>Laki-Laki</v>
      </c>
      <c r="R25" s="4">
        <v>1</v>
      </c>
      <c r="S25" s="4" t="str">
        <f t="shared" si="3"/>
        <v>1</v>
      </c>
      <c r="T25" s="4">
        <f t="shared" si="7"/>
        <v>0</v>
      </c>
      <c r="U25" s="29"/>
      <c r="V25" s="30" t="s">
        <v>50</v>
      </c>
      <c r="W25" s="30"/>
      <c r="X25" s="30"/>
      <c r="Y25" s="30"/>
      <c r="Z25" s="30"/>
      <c r="AA25" s="30"/>
      <c r="AB25" s="29"/>
      <c r="AC25" s="29"/>
      <c r="AD25" s="37">
        <f t="shared" si="8"/>
        <v>27957</v>
      </c>
      <c r="AE25" s="3" t="str">
        <f t="shared" ca="1" si="4"/>
        <v>50 Tahun 1 bulan 16 Hari</v>
      </c>
      <c r="AF25" s="38">
        <f t="shared" si="9"/>
        <v>49888</v>
      </c>
    </row>
    <row r="26" spans="1:32" s="306" customFormat="1" ht="32.15" customHeight="1" x14ac:dyDescent="0.35">
      <c r="A26" s="180">
        <f t="shared" si="5"/>
        <v>20</v>
      </c>
      <c r="B26" s="181" t="s">
        <v>39</v>
      </c>
      <c r="C26" s="262" t="s">
        <v>129</v>
      </c>
      <c r="D26" s="263"/>
      <c r="E26" s="182" t="s">
        <v>133</v>
      </c>
      <c r="F26" s="182" t="s">
        <v>43</v>
      </c>
      <c r="G26" s="181" t="s">
        <v>134</v>
      </c>
      <c r="H26" s="181" t="s">
        <v>135</v>
      </c>
      <c r="I26" s="184" t="s">
        <v>86</v>
      </c>
      <c r="J26" s="185" t="s">
        <v>114</v>
      </c>
      <c r="K26" s="183" t="str">
        <f t="shared" ca="1" si="0"/>
        <v xml:space="preserve">6 Tahun 8 bulan </v>
      </c>
      <c r="L26" s="189" t="s">
        <v>88</v>
      </c>
      <c r="M26" s="185" t="s">
        <v>114</v>
      </c>
      <c r="N26" s="183" t="str">
        <f t="shared" ca="1" si="1"/>
        <v xml:space="preserve">6 Tahun 8 bulan </v>
      </c>
      <c r="O26" s="181"/>
      <c r="P26" s="181" t="s">
        <v>35</v>
      </c>
      <c r="Q26" s="181" t="str">
        <f t="shared" si="2"/>
        <v>Perempuan</v>
      </c>
      <c r="R26" s="181">
        <f t="shared" ref="R26:R49" si="10">R25</f>
        <v>1</v>
      </c>
      <c r="S26" s="181" t="str">
        <f t="shared" si="3"/>
        <v>1</v>
      </c>
      <c r="T26" s="181">
        <f t="shared" si="7"/>
        <v>0</v>
      </c>
      <c r="U26" s="188"/>
      <c r="V26" s="189"/>
      <c r="W26" s="189"/>
      <c r="X26" s="189"/>
      <c r="Y26" s="189"/>
      <c r="Z26" s="189"/>
      <c r="AA26" s="189"/>
      <c r="AB26" s="188"/>
      <c r="AC26" s="188"/>
      <c r="AD26" s="190">
        <f t="shared" si="8"/>
        <v>29144</v>
      </c>
      <c r="AE26" s="183" t="str">
        <f t="shared" ca="1" si="4"/>
        <v>46 Tahun 10 bulan 16 Hari</v>
      </c>
      <c r="AF26" s="191">
        <f t="shared" si="9"/>
        <v>51075</v>
      </c>
    </row>
    <row r="27" spans="1:32" s="306" customFormat="1" ht="32.15" customHeight="1" x14ac:dyDescent="0.35">
      <c r="A27" s="180">
        <f t="shared" si="5"/>
        <v>21</v>
      </c>
      <c r="B27" s="181" t="s">
        <v>39</v>
      </c>
      <c r="C27" s="262" t="s">
        <v>129</v>
      </c>
      <c r="D27" s="263"/>
      <c r="E27" s="206" t="s">
        <v>136</v>
      </c>
      <c r="F27" s="182" t="s">
        <v>43</v>
      </c>
      <c r="G27" s="207" t="s">
        <v>137</v>
      </c>
      <c r="H27" s="186" t="s">
        <v>249</v>
      </c>
      <c r="I27" s="184" t="s">
        <v>138</v>
      </c>
      <c r="J27" s="185">
        <v>44561</v>
      </c>
      <c r="K27" s="183" t="str">
        <f t="shared" ca="1" si="0"/>
        <v xml:space="preserve">4 Tahun 8 bulan </v>
      </c>
      <c r="L27" s="189" t="s">
        <v>88</v>
      </c>
      <c r="M27" s="185">
        <v>44561</v>
      </c>
      <c r="N27" s="183" t="str">
        <f t="shared" ca="1" si="1"/>
        <v xml:space="preserve">4 Tahun 8 bulan </v>
      </c>
      <c r="O27" s="181"/>
      <c r="P27" s="181" t="s">
        <v>139</v>
      </c>
      <c r="Q27" s="181" t="str">
        <f t="shared" si="2"/>
        <v>Perempuan</v>
      </c>
      <c r="R27" s="181">
        <f t="shared" si="10"/>
        <v>1</v>
      </c>
      <c r="S27" s="181" t="str">
        <f t="shared" si="3"/>
        <v>1</v>
      </c>
      <c r="T27" s="181">
        <f t="shared" si="7"/>
        <v>0</v>
      </c>
      <c r="U27" s="188"/>
      <c r="V27" s="189"/>
      <c r="W27" s="189"/>
      <c r="X27" s="189"/>
      <c r="Y27" s="189"/>
      <c r="Z27" s="189"/>
      <c r="AA27" s="189"/>
      <c r="AB27" s="188"/>
      <c r="AC27" s="188"/>
      <c r="AD27" s="190">
        <f t="shared" si="8"/>
        <v>27295</v>
      </c>
      <c r="AE27" s="183" t="str">
        <f t="shared" ca="1" si="4"/>
        <v>51 Tahun 11 bulan 9 Hari</v>
      </c>
      <c r="AF27" s="191">
        <f t="shared" si="9"/>
        <v>49218</v>
      </c>
    </row>
    <row r="28" spans="1:32" s="306" customFormat="1" ht="33.75" customHeight="1" x14ac:dyDescent="0.35">
      <c r="A28" s="26">
        <f t="shared" si="5"/>
        <v>22</v>
      </c>
      <c r="B28" s="4" t="s">
        <v>39</v>
      </c>
      <c r="C28" s="256" t="s">
        <v>140</v>
      </c>
      <c r="D28" s="257"/>
      <c r="E28" s="24" t="s">
        <v>3034</v>
      </c>
      <c r="F28" s="24" t="s">
        <v>71</v>
      </c>
      <c r="G28" s="3" t="s">
        <v>436</v>
      </c>
      <c r="H28" s="4" t="s">
        <v>437</v>
      </c>
      <c r="I28" s="33" t="s">
        <v>438</v>
      </c>
      <c r="J28" s="5">
        <v>46260</v>
      </c>
      <c r="K28" s="3" t="str">
        <f t="shared" ca="1" si="0"/>
        <v xml:space="preserve">0 Tahun 0 bulan </v>
      </c>
      <c r="L28" s="30" t="s">
        <v>56</v>
      </c>
      <c r="M28" s="5" t="s">
        <v>439</v>
      </c>
      <c r="N28" s="3" t="str">
        <f t="shared" ca="1" si="1"/>
        <v xml:space="preserve">6 Tahun 7 bulan </v>
      </c>
      <c r="O28" s="4" t="s">
        <v>49</v>
      </c>
      <c r="P28" s="4" t="s">
        <v>35</v>
      </c>
      <c r="Q28" s="4" t="str">
        <f t="shared" si="2"/>
        <v>Laki-Laki</v>
      </c>
      <c r="R28" s="4">
        <f t="shared" si="10"/>
        <v>1</v>
      </c>
      <c r="S28" s="4" t="str">
        <f t="shared" si="3"/>
        <v>1</v>
      </c>
      <c r="T28" s="4">
        <f t="shared" si="7"/>
        <v>0</v>
      </c>
      <c r="U28" s="29"/>
      <c r="V28" s="30" t="s">
        <v>50</v>
      </c>
      <c r="W28" s="30"/>
      <c r="X28" s="30"/>
      <c r="Y28" s="30"/>
      <c r="Z28" s="30"/>
      <c r="AA28" s="30"/>
      <c r="AB28" s="29"/>
      <c r="AC28" s="29"/>
      <c r="AD28" s="37">
        <f t="shared" si="8"/>
        <v>29101</v>
      </c>
      <c r="AE28" s="3" t="str">
        <f t="shared" ca="1" si="4"/>
        <v>46 Tahun 11 bulan 29 Hari</v>
      </c>
      <c r="AF28" s="38">
        <f t="shared" si="9"/>
        <v>51044</v>
      </c>
    </row>
    <row r="29" spans="1:32" s="306" customFormat="1" ht="32.15" customHeight="1" x14ac:dyDescent="0.35">
      <c r="A29" s="26">
        <f t="shared" si="5"/>
        <v>23</v>
      </c>
      <c r="B29" s="4" t="s">
        <v>39</v>
      </c>
      <c r="C29" s="256" t="s">
        <v>145</v>
      </c>
      <c r="D29" s="257"/>
      <c r="E29" s="39" t="s">
        <v>146</v>
      </c>
      <c r="F29" s="24" t="s">
        <v>43</v>
      </c>
      <c r="G29" s="44" t="s">
        <v>147</v>
      </c>
      <c r="H29" s="36" t="s">
        <v>148</v>
      </c>
      <c r="I29" s="4" t="s">
        <v>46</v>
      </c>
      <c r="J29" s="53">
        <v>45916</v>
      </c>
      <c r="K29" s="3" t="str">
        <f t="shared" ca="1" si="0"/>
        <v xml:space="preserve">0 Tahun 11 bulan </v>
      </c>
      <c r="L29" s="36" t="s">
        <v>79</v>
      </c>
      <c r="M29" s="5" t="s">
        <v>114</v>
      </c>
      <c r="N29" s="3" t="str">
        <f t="shared" ca="1" si="1"/>
        <v xml:space="preserve">6 Tahun 8 bulan </v>
      </c>
      <c r="O29" s="4"/>
      <c r="P29" s="4" t="s">
        <v>35</v>
      </c>
      <c r="Q29" s="4" t="str">
        <f t="shared" si="2"/>
        <v>Perempuan</v>
      </c>
      <c r="R29" s="4">
        <f t="shared" si="10"/>
        <v>1</v>
      </c>
      <c r="S29" s="4" t="str">
        <f t="shared" si="3"/>
        <v>1</v>
      </c>
      <c r="T29" s="4">
        <f t="shared" si="7"/>
        <v>0</v>
      </c>
      <c r="U29" s="29"/>
      <c r="V29" s="30"/>
      <c r="W29" s="30"/>
      <c r="X29" s="30"/>
      <c r="Y29" s="30"/>
      <c r="Z29" s="30"/>
      <c r="AA29" s="30"/>
      <c r="AB29" s="29"/>
      <c r="AC29" s="29"/>
      <c r="AD29" s="37">
        <f t="shared" si="8"/>
        <v>25274</v>
      </c>
      <c r="AE29" s="3" t="str">
        <f t="shared" ca="1" si="4"/>
        <v>57 Tahun 5 bulan 20 Hari</v>
      </c>
      <c r="AF29" s="38">
        <f t="shared" si="9"/>
        <v>47209</v>
      </c>
    </row>
    <row r="30" spans="1:32" s="306" customFormat="1" ht="32.15" customHeight="1" x14ac:dyDescent="0.35">
      <c r="A30" s="26">
        <f t="shared" si="5"/>
        <v>24</v>
      </c>
      <c r="B30" s="4" t="s">
        <v>39</v>
      </c>
      <c r="C30" s="258" t="s">
        <v>149</v>
      </c>
      <c r="D30" s="259"/>
      <c r="E30" s="24" t="s">
        <v>150</v>
      </c>
      <c r="F30" s="24" t="s">
        <v>43</v>
      </c>
      <c r="G30" s="3" t="s">
        <v>151</v>
      </c>
      <c r="H30" s="4" t="s">
        <v>135</v>
      </c>
      <c r="I30" s="36" t="s">
        <v>107</v>
      </c>
      <c r="J30" s="5" t="s">
        <v>87</v>
      </c>
      <c r="K30" s="3" t="str">
        <f t="shared" ca="1" si="0"/>
        <v xml:space="preserve">4 Tahun 8 bulan </v>
      </c>
      <c r="L30" s="30" t="s">
        <v>88</v>
      </c>
      <c r="M30" s="5" t="s">
        <v>87</v>
      </c>
      <c r="N30" s="3" t="str">
        <f t="shared" ca="1" si="1"/>
        <v xml:space="preserve">4 Tahun 8 bulan </v>
      </c>
      <c r="O30" s="4"/>
      <c r="P30" s="4" t="s">
        <v>35</v>
      </c>
      <c r="Q30" s="4" t="str">
        <f t="shared" si="2"/>
        <v>Laki-Laki</v>
      </c>
      <c r="R30" s="4">
        <f t="shared" si="10"/>
        <v>1</v>
      </c>
      <c r="S30" s="4" t="str">
        <f t="shared" si="3"/>
        <v>1</v>
      </c>
      <c r="T30" s="4">
        <f t="shared" si="7"/>
        <v>0</v>
      </c>
      <c r="U30" s="29"/>
      <c r="V30" s="30" t="s">
        <v>50</v>
      </c>
      <c r="W30" s="30"/>
      <c r="X30" s="30"/>
      <c r="Y30" s="30"/>
      <c r="Z30" s="30"/>
      <c r="AA30" s="30"/>
      <c r="AB30" s="29"/>
      <c r="AC30" s="29"/>
      <c r="AD30" s="37">
        <f t="shared" si="8"/>
        <v>29187</v>
      </c>
      <c r="AE30" s="3" t="str">
        <f t="shared" ca="1" si="4"/>
        <v>46 Tahun 9 bulan 4 Hari</v>
      </c>
      <c r="AF30" s="38">
        <f t="shared" si="9"/>
        <v>51105</v>
      </c>
    </row>
    <row r="31" spans="1:32" s="306" customFormat="1" ht="32.15" customHeight="1" x14ac:dyDescent="0.35">
      <c r="A31" s="26">
        <f t="shared" si="5"/>
        <v>25</v>
      </c>
      <c r="B31" s="4" t="s">
        <v>39</v>
      </c>
      <c r="C31" s="258" t="s">
        <v>149</v>
      </c>
      <c r="D31" s="259"/>
      <c r="E31" s="24" t="s">
        <v>152</v>
      </c>
      <c r="F31" s="24" t="s">
        <v>43</v>
      </c>
      <c r="G31" s="3" t="s">
        <v>153</v>
      </c>
      <c r="H31" s="4" t="s">
        <v>154</v>
      </c>
      <c r="I31" s="4" t="s">
        <v>46</v>
      </c>
      <c r="J31" s="5" t="s">
        <v>87</v>
      </c>
      <c r="K31" s="3" t="str">
        <f t="shared" ca="1" si="0"/>
        <v xml:space="preserve">4 Tahun 8 bulan </v>
      </c>
      <c r="L31" s="30" t="s">
        <v>88</v>
      </c>
      <c r="M31" s="5" t="s">
        <v>87</v>
      </c>
      <c r="N31" s="3" t="str">
        <f t="shared" ca="1" si="1"/>
        <v xml:space="preserve">4 Tahun 8 bulan </v>
      </c>
      <c r="O31" s="4" t="s">
        <v>155</v>
      </c>
      <c r="P31" s="4" t="s">
        <v>35</v>
      </c>
      <c r="Q31" s="4" t="str">
        <f t="shared" si="2"/>
        <v>Laki-Laki</v>
      </c>
      <c r="R31" s="4">
        <f t="shared" si="10"/>
        <v>1</v>
      </c>
      <c r="S31" s="4" t="str">
        <f t="shared" si="3"/>
        <v>1</v>
      </c>
      <c r="T31" s="4">
        <f t="shared" si="7"/>
        <v>0</v>
      </c>
      <c r="U31" s="29"/>
      <c r="V31" s="30" t="s">
        <v>50</v>
      </c>
      <c r="W31" s="30"/>
      <c r="X31" s="30"/>
      <c r="Y31" s="30"/>
      <c r="Z31" s="30"/>
      <c r="AA31" s="30"/>
      <c r="AB31" s="29"/>
      <c r="AC31" s="29"/>
      <c r="AD31" s="37">
        <f t="shared" si="8"/>
        <v>29924</v>
      </c>
      <c r="AE31" s="3" t="str">
        <f t="shared" ca="1" si="4"/>
        <v>44 Tahun 8 bulan 28 Hari</v>
      </c>
      <c r="AF31" s="38">
        <f t="shared" si="9"/>
        <v>51867</v>
      </c>
    </row>
    <row r="32" spans="1:32" s="306" customFormat="1" ht="32.15" customHeight="1" x14ac:dyDescent="0.35">
      <c r="A32" s="26">
        <f t="shared" si="5"/>
        <v>26</v>
      </c>
      <c r="B32" s="4" t="s">
        <v>39</v>
      </c>
      <c r="C32" s="258" t="s">
        <v>156</v>
      </c>
      <c r="D32" s="259"/>
      <c r="E32" s="54" t="s">
        <v>157</v>
      </c>
      <c r="F32" s="24" t="s">
        <v>43</v>
      </c>
      <c r="G32" s="55" t="s">
        <v>158</v>
      </c>
      <c r="H32" s="4" t="s">
        <v>159</v>
      </c>
      <c r="I32" s="4" t="s">
        <v>46</v>
      </c>
      <c r="J32" s="5" t="s">
        <v>87</v>
      </c>
      <c r="K32" s="3" t="str">
        <f t="shared" ca="1" si="0"/>
        <v xml:space="preserve">4 Tahun 8 bulan </v>
      </c>
      <c r="L32" s="30" t="s">
        <v>88</v>
      </c>
      <c r="M32" s="5" t="s">
        <v>87</v>
      </c>
      <c r="N32" s="3" t="str">
        <f t="shared" ca="1" si="1"/>
        <v xml:space="preserve">4 Tahun 8 bulan </v>
      </c>
      <c r="O32" s="29"/>
      <c r="P32" s="4" t="s">
        <v>35</v>
      </c>
      <c r="Q32" s="4" t="str">
        <f t="shared" si="2"/>
        <v>Perempuan</v>
      </c>
      <c r="R32" s="4">
        <f t="shared" si="10"/>
        <v>1</v>
      </c>
      <c r="S32" s="4" t="str">
        <f t="shared" si="3"/>
        <v>1</v>
      </c>
      <c r="T32" s="4">
        <f t="shared" si="7"/>
        <v>0</v>
      </c>
      <c r="U32" s="29"/>
      <c r="V32" s="30"/>
      <c r="W32" s="30"/>
      <c r="X32" s="30"/>
      <c r="Y32" s="30"/>
      <c r="Z32" s="30"/>
      <c r="AA32" s="30"/>
      <c r="AB32" s="29"/>
      <c r="AC32" s="29"/>
      <c r="AD32" s="37">
        <f t="shared" si="8"/>
        <v>28393</v>
      </c>
      <c r="AE32" s="3" t="str">
        <f t="shared" ca="1" si="4"/>
        <v>48 Tahun 11 bulan 7 Hari</v>
      </c>
      <c r="AF32" s="38">
        <f t="shared" si="9"/>
        <v>50314</v>
      </c>
    </row>
    <row r="33" spans="1:32" s="306" customFormat="1" ht="32.15" customHeight="1" x14ac:dyDescent="0.35">
      <c r="A33" s="26">
        <f t="shared" si="5"/>
        <v>27</v>
      </c>
      <c r="B33" s="4" t="s">
        <v>39</v>
      </c>
      <c r="C33" s="256" t="s">
        <v>160</v>
      </c>
      <c r="D33" s="257"/>
      <c r="E33" s="39" t="s">
        <v>161</v>
      </c>
      <c r="F33" s="24" t="s">
        <v>43</v>
      </c>
      <c r="G33" s="25" t="s">
        <v>166</v>
      </c>
      <c r="H33" s="4" t="s">
        <v>274</v>
      </c>
      <c r="I33" s="25" t="s">
        <v>46</v>
      </c>
      <c r="J33" s="5">
        <v>45993</v>
      </c>
      <c r="K33" s="3" t="str">
        <f t="shared" ca="1" si="0"/>
        <v xml:space="preserve">0 Tahun 8 bulan </v>
      </c>
      <c r="L33" s="36" t="s">
        <v>79</v>
      </c>
      <c r="M33" s="5">
        <v>45993</v>
      </c>
      <c r="N33" s="3" t="str">
        <f t="shared" ca="1" si="1"/>
        <v xml:space="preserve">0 Tahun 8 bulan </v>
      </c>
      <c r="O33" s="4"/>
      <c r="P33" s="4" t="s">
        <v>35</v>
      </c>
      <c r="Q33" s="4" t="str">
        <f t="shared" si="2"/>
        <v>Laki-Laki</v>
      </c>
      <c r="R33" s="4">
        <f>R19</f>
        <v>1</v>
      </c>
      <c r="S33" s="4" t="str">
        <f t="shared" si="3"/>
        <v>1</v>
      </c>
      <c r="T33" s="4">
        <f t="shared" si="7"/>
        <v>0</v>
      </c>
      <c r="U33" s="29"/>
      <c r="V33" s="30" t="s">
        <v>50</v>
      </c>
      <c r="W33" s="30"/>
      <c r="X33" s="30"/>
      <c r="Y33" s="30"/>
      <c r="Z33" s="30"/>
      <c r="AA33" s="30"/>
      <c r="AB33" s="29"/>
      <c r="AC33" s="29"/>
      <c r="AD33" s="37">
        <f t="shared" si="8"/>
        <v>28918</v>
      </c>
      <c r="AE33" s="3" t="str">
        <f t="shared" ca="1" si="4"/>
        <v>47 Tahun 5 bulan 28 Hari</v>
      </c>
      <c r="AF33" s="38">
        <f t="shared" si="9"/>
        <v>50861</v>
      </c>
    </row>
    <row r="34" spans="1:32" s="306" customFormat="1" ht="32.15" customHeight="1" x14ac:dyDescent="0.35">
      <c r="A34" s="26">
        <f t="shared" si="5"/>
        <v>28</v>
      </c>
      <c r="B34" s="4" t="s">
        <v>39</v>
      </c>
      <c r="C34" s="258" t="s">
        <v>162</v>
      </c>
      <c r="D34" s="259"/>
      <c r="E34" s="39" t="s">
        <v>163</v>
      </c>
      <c r="F34" s="24" t="s">
        <v>43</v>
      </c>
      <c r="G34" s="40" t="s">
        <v>164</v>
      </c>
      <c r="H34" s="4" t="s">
        <v>165</v>
      </c>
      <c r="I34" s="4" t="s">
        <v>46</v>
      </c>
      <c r="J34" s="5" t="s">
        <v>87</v>
      </c>
      <c r="K34" s="3" t="str">
        <f t="shared" ca="1" si="0"/>
        <v xml:space="preserve">4 Tahun 8 bulan </v>
      </c>
      <c r="L34" s="30" t="s">
        <v>88</v>
      </c>
      <c r="M34" s="5" t="s">
        <v>87</v>
      </c>
      <c r="N34" s="3" t="str">
        <f t="shared" ca="1" si="1"/>
        <v xml:space="preserve">4 Tahun 8 bulan </v>
      </c>
      <c r="O34" s="4"/>
      <c r="P34" s="4" t="s">
        <v>35</v>
      </c>
      <c r="Q34" s="4" t="str">
        <f t="shared" si="2"/>
        <v>Laki-Laki</v>
      </c>
      <c r="R34" s="4">
        <f t="shared" si="10"/>
        <v>1</v>
      </c>
      <c r="S34" s="4" t="str">
        <f t="shared" si="3"/>
        <v>1</v>
      </c>
      <c r="T34" s="4">
        <f t="shared" si="7"/>
        <v>0</v>
      </c>
      <c r="U34" s="29"/>
      <c r="V34" s="30" t="s">
        <v>50</v>
      </c>
      <c r="W34" s="30"/>
      <c r="X34" s="30"/>
      <c r="Y34" s="30"/>
      <c r="Z34" s="30"/>
      <c r="AA34" s="30"/>
      <c r="AB34" s="29"/>
      <c r="AC34" s="29"/>
      <c r="AD34" s="37">
        <f t="shared" si="8"/>
        <v>29874</v>
      </c>
      <c r="AE34" s="3" t="str">
        <f t="shared" ca="1" si="4"/>
        <v>44 Tahun 10 bulan 17 Hari</v>
      </c>
      <c r="AF34" s="38">
        <f t="shared" si="9"/>
        <v>51806</v>
      </c>
    </row>
    <row r="35" spans="1:32" s="306" customFormat="1" ht="32.15" customHeight="1" x14ac:dyDescent="0.35">
      <c r="A35" s="26">
        <f t="shared" si="5"/>
        <v>29</v>
      </c>
      <c r="B35" s="4" t="s">
        <v>39</v>
      </c>
      <c r="C35" s="258" t="s">
        <v>162</v>
      </c>
      <c r="D35" s="259"/>
      <c r="E35" s="39" t="s">
        <v>108</v>
      </c>
      <c r="F35" s="24"/>
      <c r="G35" s="25"/>
      <c r="H35" s="4"/>
      <c r="I35" s="25"/>
      <c r="J35" s="5"/>
      <c r="K35" s="3" t="str">
        <f t="shared" ca="1" si="0"/>
        <v/>
      </c>
      <c r="L35" s="30" t="s">
        <v>88</v>
      </c>
      <c r="M35" s="5"/>
      <c r="N35" s="3" t="str">
        <f t="shared" ca="1" si="1"/>
        <v/>
      </c>
      <c r="O35" s="35"/>
      <c r="P35" s="4"/>
      <c r="Q35" s="4" t="str">
        <f t="shared" si="2"/>
        <v/>
      </c>
      <c r="R35" s="4">
        <f t="shared" si="10"/>
        <v>1</v>
      </c>
      <c r="S35" s="4" t="str">
        <f t="shared" si="3"/>
        <v>0</v>
      </c>
      <c r="T35" s="4">
        <f t="shared" si="7"/>
        <v>1</v>
      </c>
      <c r="U35" s="29"/>
      <c r="V35" s="30" t="s">
        <v>50</v>
      </c>
      <c r="W35" s="30"/>
      <c r="X35" s="30"/>
      <c r="Y35" s="30"/>
      <c r="Z35" s="30"/>
      <c r="AA35" s="30"/>
      <c r="AB35" s="29"/>
      <c r="AC35" s="29"/>
      <c r="AD35" s="37" t="str">
        <f t="shared" si="8"/>
        <v/>
      </c>
      <c r="AE35" s="3" t="str">
        <f t="shared" ca="1" si="4"/>
        <v/>
      </c>
      <c r="AF35" s="38" t="str">
        <f t="shared" si="9"/>
        <v/>
      </c>
    </row>
    <row r="36" spans="1:32" s="306" customFormat="1" ht="32.15" customHeight="1" x14ac:dyDescent="0.35">
      <c r="A36" s="26">
        <f t="shared" si="5"/>
        <v>30</v>
      </c>
      <c r="B36" s="4" t="s">
        <v>39</v>
      </c>
      <c r="C36" s="258" t="s">
        <v>162</v>
      </c>
      <c r="D36" s="259"/>
      <c r="E36" s="24" t="s">
        <v>167</v>
      </c>
      <c r="F36" s="24" t="s">
        <v>43</v>
      </c>
      <c r="G36" s="3" t="s">
        <v>168</v>
      </c>
      <c r="H36" s="4" t="s">
        <v>135</v>
      </c>
      <c r="I36" s="4" t="s">
        <v>46</v>
      </c>
      <c r="J36" s="5" t="s">
        <v>87</v>
      </c>
      <c r="K36" s="3" t="str">
        <f t="shared" ca="1" si="0"/>
        <v xml:space="preserve">4 Tahun 8 bulan </v>
      </c>
      <c r="L36" s="30" t="s">
        <v>88</v>
      </c>
      <c r="M36" s="5" t="s">
        <v>87</v>
      </c>
      <c r="N36" s="3" t="str">
        <f t="shared" ca="1" si="1"/>
        <v xml:space="preserve">4 Tahun 8 bulan </v>
      </c>
      <c r="O36" s="4"/>
      <c r="P36" s="4" t="s">
        <v>35</v>
      </c>
      <c r="Q36" s="4" t="str">
        <f t="shared" si="2"/>
        <v>Laki-Laki</v>
      </c>
      <c r="R36" s="4">
        <f t="shared" si="10"/>
        <v>1</v>
      </c>
      <c r="S36" s="4" t="str">
        <f t="shared" si="3"/>
        <v>1</v>
      </c>
      <c r="T36" s="4">
        <f t="shared" si="7"/>
        <v>0</v>
      </c>
      <c r="U36" s="29"/>
      <c r="V36" s="30" t="s">
        <v>50</v>
      </c>
      <c r="W36" s="30"/>
      <c r="X36" s="30"/>
      <c r="Y36" s="30"/>
      <c r="Z36" s="30"/>
      <c r="AA36" s="30"/>
      <c r="AB36" s="29"/>
      <c r="AC36" s="29"/>
      <c r="AD36" s="37">
        <f t="shared" si="8"/>
        <v>29887</v>
      </c>
      <c r="AE36" s="3" t="str">
        <f t="shared" ca="1" si="4"/>
        <v>44 Tahun 10 bulan 4 Hari</v>
      </c>
      <c r="AF36" s="38">
        <f t="shared" si="9"/>
        <v>51806</v>
      </c>
    </row>
    <row r="37" spans="1:32" s="306" customFormat="1" ht="32.15" customHeight="1" x14ac:dyDescent="0.35">
      <c r="A37" s="26">
        <f t="shared" si="5"/>
        <v>31</v>
      </c>
      <c r="B37" s="4" t="s">
        <v>39</v>
      </c>
      <c r="C37" s="256" t="s">
        <v>169</v>
      </c>
      <c r="D37" s="257"/>
      <c r="E37" s="24" t="s">
        <v>170</v>
      </c>
      <c r="F37" s="24" t="s">
        <v>43</v>
      </c>
      <c r="G37" s="40" t="s">
        <v>746</v>
      </c>
      <c r="H37" s="4" t="s">
        <v>2815</v>
      </c>
      <c r="I37" s="4" t="s">
        <v>1020</v>
      </c>
      <c r="J37" s="5">
        <v>45993</v>
      </c>
      <c r="K37" s="3" t="str">
        <f t="shared" ca="1" si="0"/>
        <v xml:space="preserve">0 Tahun 8 bulan </v>
      </c>
      <c r="L37" s="36" t="s">
        <v>79</v>
      </c>
      <c r="M37" s="5">
        <v>45993</v>
      </c>
      <c r="N37" s="3" t="str">
        <f ca="1">IF(M37="","",CONCATENATE(DATEDIF(M37,NOW(),"Y")," Tahun ",DATEDIF(M37,NOW(),"YM")," bulan "))</f>
        <v xml:space="preserve">0 Tahun 8 bulan </v>
      </c>
      <c r="O37" s="4"/>
      <c r="P37" s="4" t="s">
        <v>35</v>
      </c>
      <c r="Q37" s="4" t="s">
        <v>36</v>
      </c>
      <c r="R37" s="4">
        <f t="shared" si="10"/>
        <v>1</v>
      </c>
      <c r="S37" s="4" t="str">
        <f t="shared" si="3"/>
        <v>1</v>
      </c>
      <c r="T37" s="4">
        <f t="shared" si="7"/>
        <v>0</v>
      </c>
      <c r="U37" s="29"/>
      <c r="V37" s="30" t="s">
        <v>50</v>
      </c>
      <c r="W37" s="30"/>
      <c r="X37" s="30"/>
      <c r="Y37" s="30"/>
      <c r="Z37" s="30"/>
      <c r="AA37" s="30"/>
      <c r="AB37" s="29"/>
      <c r="AC37" s="29"/>
      <c r="AD37" s="37">
        <f t="shared" si="8"/>
        <v>27354</v>
      </c>
      <c r="AE37" s="3" t="str">
        <f t="shared" ca="1" si="4"/>
        <v>51 Tahun 9 bulan 11 Hari</v>
      </c>
      <c r="AF37" s="38">
        <f t="shared" si="9"/>
        <v>49279</v>
      </c>
    </row>
    <row r="38" spans="1:32" s="306" customFormat="1" ht="32.15" customHeight="1" x14ac:dyDescent="0.35">
      <c r="A38" s="26">
        <f t="shared" si="5"/>
        <v>32</v>
      </c>
      <c r="B38" s="4" t="s">
        <v>39</v>
      </c>
      <c r="C38" s="254" t="s">
        <v>32</v>
      </c>
      <c r="D38" s="255"/>
      <c r="E38" s="39" t="s">
        <v>171</v>
      </c>
      <c r="F38" s="39"/>
      <c r="G38" s="40"/>
      <c r="H38" s="4"/>
      <c r="I38" s="4"/>
      <c r="J38" s="5"/>
      <c r="K38" s="3" t="str">
        <f t="shared" ca="1" si="0"/>
        <v/>
      </c>
      <c r="L38" s="30" t="s">
        <v>32</v>
      </c>
      <c r="M38" s="5"/>
      <c r="N38" s="3" t="str">
        <f t="shared" ca="1" si="1"/>
        <v/>
      </c>
      <c r="O38" s="4"/>
      <c r="P38" s="4"/>
      <c r="Q38" s="4" t="str">
        <f t="shared" si="2"/>
        <v/>
      </c>
      <c r="R38" s="4">
        <f t="shared" si="10"/>
        <v>1</v>
      </c>
      <c r="S38" s="4" t="str">
        <f t="shared" si="3"/>
        <v>1</v>
      </c>
      <c r="T38" s="4">
        <f t="shared" si="7"/>
        <v>0</v>
      </c>
      <c r="U38" s="29"/>
      <c r="V38" s="30" t="s">
        <v>50</v>
      </c>
      <c r="W38" s="30"/>
      <c r="X38" s="30"/>
      <c r="Y38" s="30"/>
      <c r="Z38" s="30"/>
      <c r="AA38" s="30"/>
      <c r="AB38" s="29"/>
      <c r="AC38" s="29"/>
      <c r="AD38" s="37" t="str">
        <f t="shared" si="8"/>
        <v/>
      </c>
      <c r="AE38" s="3" t="str">
        <f t="shared" ca="1" si="4"/>
        <v/>
      </c>
      <c r="AF38" s="38" t="str">
        <f t="shared" si="9"/>
        <v/>
      </c>
    </row>
    <row r="39" spans="1:32" s="306" customFormat="1" ht="32.15" customHeight="1" x14ac:dyDescent="0.35">
      <c r="A39" s="26">
        <f>A38+1</f>
        <v>33</v>
      </c>
      <c r="B39" s="4" t="s">
        <v>39</v>
      </c>
      <c r="C39" s="254" t="s">
        <v>32</v>
      </c>
      <c r="D39" s="255"/>
      <c r="E39" s="39" t="s">
        <v>171</v>
      </c>
      <c r="F39" s="39"/>
      <c r="G39" s="25"/>
      <c r="H39" s="4"/>
      <c r="I39" s="25"/>
      <c r="J39" s="5"/>
      <c r="K39" s="3" t="str">
        <f t="shared" ca="1" si="0"/>
        <v/>
      </c>
      <c r="L39" s="30" t="s">
        <v>32</v>
      </c>
      <c r="M39" s="5"/>
      <c r="N39" s="3" t="str">
        <f t="shared" ca="1" si="1"/>
        <v/>
      </c>
      <c r="O39" s="35"/>
      <c r="P39" s="4"/>
      <c r="Q39" s="4" t="str">
        <f t="shared" si="2"/>
        <v/>
      </c>
      <c r="R39" s="4">
        <f>R38</f>
        <v>1</v>
      </c>
      <c r="S39" s="4" t="str">
        <f t="shared" si="3"/>
        <v>1</v>
      </c>
      <c r="T39" s="4">
        <f t="shared" si="7"/>
        <v>0</v>
      </c>
      <c r="U39" s="29"/>
      <c r="V39" s="30" t="s">
        <v>50</v>
      </c>
      <c r="W39" s="30"/>
      <c r="X39" s="30"/>
      <c r="Y39" s="30"/>
      <c r="Z39" s="30"/>
      <c r="AA39" s="30"/>
      <c r="AB39" s="29"/>
      <c r="AC39" s="29"/>
      <c r="AD39" s="37" t="str">
        <f t="shared" si="8"/>
        <v/>
      </c>
      <c r="AE39" s="3" t="str">
        <f t="shared" ca="1" si="4"/>
        <v/>
      </c>
      <c r="AF39" s="38" t="str">
        <f t="shared" si="9"/>
        <v/>
      </c>
    </row>
    <row r="40" spans="1:32" s="306" customFormat="1" ht="32.15" customHeight="1" x14ac:dyDescent="0.35">
      <c r="A40" s="26">
        <f t="shared" si="5"/>
        <v>34</v>
      </c>
      <c r="B40" s="4" t="s">
        <v>39</v>
      </c>
      <c r="C40" s="254" t="s">
        <v>32</v>
      </c>
      <c r="D40" s="255"/>
      <c r="E40" s="39" t="s">
        <v>171</v>
      </c>
      <c r="F40" s="39"/>
      <c r="G40" s="3"/>
      <c r="H40" s="4"/>
      <c r="I40" s="4"/>
      <c r="J40" s="5"/>
      <c r="K40" s="3" t="str">
        <f t="shared" ca="1" si="0"/>
        <v/>
      </c>
      <c r="L40" s="30" t="s">
        <v>32</v>
      </c>
      <c r="M40" s="5"/>
      <c r="N40" s="3" t="str">
        <f t="shared" ca="1" si="1"/>
        <v/>
      </c>
      <c r="O40" s="4"/>
      <c r="P40" s="4"/>
      <c r="Q40" s="4" t="str">
        <f t="shared" si="2"/>
        <v/>
      </c>
      <c r="R40" s="4">
        <f t="shared" si="10"/>
        <v>1</v>
      </c>
      <c r="S40" s="4" t="str">
        <f t="shared" si="3"/>
        <v>1</v>
      </c>
      <c r="T40" s="4">
        <f t="shared" si="7"/>
        <v>0</v>
      </c>
      <c r="U40" s="29"/>
      <c r="V40" s="30" t="s">
        <v>50</v>
      </c>
      <c r="W40" s="30"/>
      <c r="X40" s="30"/>
      <c r="Y40" s="30"/>
      <c r="Z40" s="30"/>
      <c r="AA40" s="30"/>
      <c r="AB40" s="29"/>
      <c r="AC40" s="29"/>
      <c r="AD40" s="37" t="str">
        <f t="shared" si="8"/>
        <v/>
      </c>
      <c r="AE40" s="3" t="str">
        <f t="shared" ca="1" si="4"/>
        <v/>
      </c>
      <c r="AF40" s="38" t="str">
        <f t="shared" si="9"/>
        <v/>
      </c>
    </row>
    <row r="41" spans="1:32" s="306" customFormat="1" ht="32.15" customHeight="1" x14ac:dyDescent="0.35">
      <c r="A41" s="26">
        <f>A40+1</f>
        <v>35</v>
      </c>
      <c r="B41" s="4" t="s">
        <v>39</v>
      </c>
      <c r="C41" s="256" t="s">
        <v>172</v>
      </c>
      <c r="D41" s="257"/>
      <c r="E41" s="24" t="s">
        <v>2866</v>
      </c>
      <c r="F41" s="24" t="s">
        <v>43</v>
      </c>
      <c r="G41" s="3" t="s">
        <v>2867</v>
      </c>
      <c r="H41" s="3" t="s">
        <v>231</v>
      </c>
      <c r="I41" s="4" t="s">
        <v>2921</v>
      </c>
      <c r="J41" s="5">
        <v>46087</v>
      </c>
      <c r="K41" s="3" t="str">
        <f t="shared" ca="1" si="0"/>
        <v xml:space="preserve">0 Tahun 5 bulan </v>
      </c>
      <c r="L41" s="30" t="s">
        <v>56</v>
      </c>
      <c r="M41" s="5">
        <v>46087</v>
      </c>
      <c r="N41" s="3" t="str">
        <f t="shared" ca="1" si="1"/>
        <v xml:space="preserve">0 Tahun 5 bulan </v>
      </c>
      <c r="O41" s="36"/>
      <c r="P41" s="4" t="s">
        <v>35</v>
      </c>
      <c r="Q41" s="4" t="str">
        <f t="shared" si="2"/>
        <v>Laki-Laki</v>
      </c>
      <c r="R41" s="4">
        <f>R36</f>
        <v>1</v>
      </c>
      <c r="S41" s="4" t="str">
        <f t="shared" si="3"/>
        <v>1</v>
      </c>
      <c r="T41" s="4">
        <f t="shared" si="7"/>
        <v>0</v>
      </c>
      <c r="U41" s="29"/>
      <c r="V41" s="30" t="s">
        <v>50</v>
      </c>
      <c r="W41" s="30"/>
      <c r="X41" s="30"/>
      <c r="Y41" s="30"/>
      <c r="Z41" s="30"/>
      <c r="AA41" s="30"/>
      <c r="AB41" s="29"/>
      <c r="AC41" s="29"/>
      <c r="AD41" s="37">
        <f t="shared" si="8"/>
        <v>29587</v>
      </c>
      <c r="AE41" s="3" t="str">
        <f t="shared" ca="1" si="4"/>
        <v>45 Tahun 8 bulan 0 Hari</v>
      </c>
      <c r="AF41" s="38">
        <f t="shared" si="9"/>
        <v>51533</v>
      </c>
    </row>
    <row r="42" spans="1:32" s="306" customFormat="1" ht="32.15" customHeight="1" x14ac:dyDescent="0.35">
      <c r="A42" s="26">
        <f t="shared" si="5"/>
        <v>36</v>
      </c>
      <c r="B42" s="4" t="s">
        <v>39</v>
      </c>
      <c r="C42" s="256" t="s">
        <v>173</v>
      </c>
      <c r="D42" s="257"/>
      <c r="E42" s="24" t="s">
        <v>174</v>
      </c>
      <c r="F42" s="24" t="s">
        <v>43</v>
      </c>
      <c r="G42" s="3" t="s">
        <v>175</v>
      </c>
      <c r="H42" s="56" t="s">
        <v>159</v>
      </c>
      <c r="I42" s="33" t="s">
        <v>46</v>
      </c>
      <c r="J42" s="47" t="s">
        <v>176</v>
      </c>
      <c r="K42" s="3" t="str">
        <f t="shared" ca="1" si="0"/>
        <v xml:space="preserve">1 Tahun 4 bulan </v>
      </c>
      <c r="L42" s="36" t="s">
        <v>79</v>
      </c>
      <c r="M42" s="5" t="s">
        <v>177</v>
      </c>
      <c r="N42" s="3" t="str">
        <f t="shared" ca="1" si="1"/>
        <v xml:space="preserve">2 Tahun 4 bulan </v>
      </c>
      <c r="O42" s="4"/>
      <c r="P42" s="4"/>
      <c r="Q42" s="4" t="str">
        <f t="shared" si="2"/>
        <v>Laki-Laki</v>
      </c>
      <c r="R42" s="4">
        <f t="shared" si="10"/>
        <v>1</v>
      </c>
      <c r="S42" s="4" t="e">
        <f>IF(#REF!="LOWONG","0","1")</f>
        <v>#REF!</v>
      </c>
      <c r="T42" s="4" t="e">
        <f t="shared" si="7"/>
        <v>#REF!</v>
      </c>
      <c r="U42" s="29"/>
      <c r="V42" s="30"/>
      <c r="W42" s="30"/>
      <c r="X42" s="30"/>
      <c r="Y42" s="30"/>
      <c r="Z42" s="30"/>
      <c r="AA42" s="30"/>
      <c r="AB42" s="29"/>
      <c r="AC42" s="29"/>
      <c r="AD42" s="37">
        <f t="shared" si="8"/>
        <v>28580</v>
      </c>
      <c r="AE42" s="3" t="str">
        <f t="shared" ca="1" si="4"/>
        <v>48 Tahun 5 bulan 1 Hari</v>
      </c>
      <c r="AF42" s="38">
        <f t="shared" si="9"/>
        <v>50496</v>
      </c>
    </row>
    <row r="43" spans="1:32" s="306" customFormat="1" ht="32.15" customHeight="1" x14ac:dyDescent="0.35">
      <c r="A43" s="26">
        <f t="shared" si="5"/>
        <v>37</v>
      </c>
      <c r="B43" s="4" t="s">
        <v>39</v>
      </c>
      <c r="C43" s="26"/>
      <c r="D43" s="46" t="s">
        <v>178</v>
      </c>
      <c r="E43" s="45" t="s">
        <v>179</v>
      </c>
      <c r="F43" s="24" t="s">
        <v>43</v>
      </c>
      <c r="G43" s="44" t="s">
        <v>180</v>
      </c>
      <c r="H43" s="4" t="s">
        <v>181</v>
      </c>
      <c r="I43" s="4" t="s">
        <v>46</v>
      </c>
      <c r="J43" s="5" t="s">
        <v>87</v>
      </c>
      <c r="K43" s="3" t="str">
        <f t="shared" ca="1" si="0"/>
        <v xml:space="preserve">4 Tahun 8 bulan </v>
      </c>
      <c r="L43" s="30" t="s">
        <v>88</v>
      </c>
      <c r="M43" s="5" t="s">
        <v>87</v>
      </c>
      <c r="N43" s="3" t="str">
        <f t="shared" ca="1" si="1"/>
        <v xml:space="preserve">4 Tahun 8 bulan </v>
      </c>
      <c r="O43" s="4"/>
      <c r="P43" s="4" t="s">
        <v>35</v>
      </c>
      <c r="Q43" s="4" t="str">
        <f t="shared" si="2"/>
        <v>Laki-Laki</v>
      </c>
      <c r="R43" s="4">
        <f t="shared" si="10"/>
        <v>1</v>
      </c>
      <c r="S43" s="4" t="str">
        <f>IF(E43="LOWONG","0","1")</f>
        <v>1</v>
      </c>
      <c r="T43" s="4">
        <f t="shared" si="7"/>
        <v>0</v>
      </c>
      <c r="U43" s="29"/>
      <c r="V43" s="30" t="s">
        <v>50</v>
      </c>
      <c r="W43" s="30"/>
      <c r="X43" s="30"/>
      <c r="Y43" s="30"/>
      <c r="Z43" s="30"/>
      <c r="AA43" s="30"/>
      <c r="AB43" s="29"/>
      <c r="AC43" s="29"/>
      <c r="AD43" s="37">
        <f t="shared" si="8"/>
        <v>30672</v>
      </c>
      <c r="AE43" s="3" t="str">
        <f t="shared" ca="1" si="4"/>
        <v>42 Tahun 8 bulan 10 Hari</v>
      </c>
      <c r="AF43" s="38">
        <f t="shared" si="9"/>
        <v>52597</v>
      </c>
    </row>
    <row r="44" spans="1:32" s="306" customFormat="1" ht="32.15" customHeight="1" x14ac:dyDescent="0.35">
      <c r="A44" s="26">
        <f t="shared" si="5"/>
        <v>38</v>
      </c>
      <c r="B44" s="4" t="s">
        <v>39</v>
      </c>
      <c r="C44" s="26"/>
      <c r="D44" s="46" t="s">
        <v>178</v>
      </c>
      <c r="E44" s="45" t="s">
        <v>182</v>
      </c>
      <c r="F44" s="24" t="s">
        <v>43</v>
      </c>
      <c r="G44" s="44" t="s">
        <v>183</v>
      </c>
      <c r="H44" s="36" t="s">
        <v>94</v>
      </c>
      <c r="I44" s="4" t="s">
        <v>184</v>
      </c>
      <c r="J44" s="5" t="s">
        <v>87</v>
      </c>
      <c r="K44" s="3" t="str">
        <f t="shared" ca="1" si="0"/>
        <v xml:space="preserve">4 Tahun 8 bulan </v>
      </c>
      <c r="L44" s="30" t="s">
        <v>88</v>
      </c>
      <c r="M44" s="5" t="s">
        <v>87</v>
      </c>
      <c r="N44" s="3" t="str">
        <f t="shared" ca="1" si="1"/>
        <v xml:space="preserve">4 Tahun 8 bulan </v>
      </c>
      <c r="O44" s="4"/>
      <c r="P44" s="4" t="s">
        <v>35</v>
      </c>
      <c r="Q44" s="4" t="str">
        <f t="shared" si="2"/>
        <v>Laki-Laki</v>
      </c>
      <c r="R44" s="4">
        <f t="shared" si="10"/>
        <v>1</v>
      </c>
      <c r="S44" s="4" t="str">
        <f>IF(E44="LOWONG","0","1")</f>
        <v>1</v>
      </c>
      <c r="T44" s="4">
        <f t="shared" si="7"/>
        <v>0</v>
      </c>
      <c r="U44" s="29"/>
      <c r="V44" s="30" t="s">
        <v>50</v>
      </c>
      <c r="W44" s="30"/>
      <c r="X44" s="30"/>
      <c r="Y44" s="30"/>
      <c r="Z44" s="30"/>
      <c r="AA44" s="30"/>
      <c r="AB44" s="29"/>
      <c r="AC44" s="29"/>
      <c r="AD44" s="37">
        <f t="shared" si="8"/>
        <v>27952</v>
      </c>
      <c r="AE44" s="3" t="str">
        <f t="shared" ca="1" si="4"/>
        <v>50 Tahun 1 bulan 21 Hari</v>
      </c>
      <c r="AF44" s="38">
        <f t="shared" si="9"/>
        <v>49888</v>
      </c>
    </row>
    <row r="45" spans="1:32" s="306" customFormat="1" ht="32.15" customHeight="1" x14ac:dyDescent="0.35">
      <c r="A45" s="26">
        <f t="shared" si="5"/>
        <v>39</v>
      </c>
      <c r="B45" s="4" t="s">
        <v>39</v>
      </c>
      <c r="C45" s="26"/>
      <c r="D45" s="46" t="s">
        <v>178</v>
      </c>
      <c r="E45" s="45" t="s">
        <v>108</v>
      </c>
      <c r="F45" s="45"/>
      <c r="G45" s="44"/>
      <c r="H45" s="4"/>
      <c r="I45" s="4"/>
      <c r="J45" s="5"/>
      <c r="K45" s="3" t="str">
        <f t="shared" ca="1" si="0"/>
        <v/>
      </c>
      <c r="L45" s="30" t="s">
        <v>88</v>
      </c>
      <c r="M45" s="5"/>
      <c r="N45" s="3" t="str">
        <f t="shared" ca="1" si="1"/>
        <v/>
      </c>
      <c r="O45" s="4"/>
      <c r="P45" s="4"/>
      <c r="Q45" s="4" t="str">
        <f t="shared" si="2"/>
        <v/>
      </c>
      <c r="R45" s="4">
        <f t="shared" si="10"/>
        <v>1</v>
      </c>
      <c r="S45" s="4" t="str">
        <f>IF(E45="LOWONG","0","1")</f>
        <v>0</v>
      </c>
      <c r="T45" s="4">
        <f t="shared" si="7"/>
        <v>1</v>
      </c>
      <c r="U45" s="29"/>
      <c r="V45" s="30"/>
      <c r="W45" s="30"/>
      <c r="X45" s="30"/>
      <c r="Y45" s="30"/>
      <c r="Z45" s="30"/>
      <c r="AA45" s="30"/>
      <c r="AB45" s="29"/>
      <c r="AC45" s="29"/>
      <c r="AD45" s="37" t="str">
        <f t="shared" si="8"/>
        <v/>
      </c>
      <c r="AE45" s="3" t="str">
        <f t="shared" ca="1" si="4"/>
        <v/>
      </c>
      <c r="AF45" s="38" t="str">
        <f t="shared" si="9"/>
        <v/>
      </c>
    </row>
    <row r="46" spans="1:32" s="306" customFormat="1" ht="32.15" customHeight="1" x14ac:dyDescent="0.35">
      <c r="A46" s="26">
        <f t="shared" si="5"/>
        <v>40</v>
      </c>
      <c r="B46" s="4" t="s">
        <v>39</v>
      </c>
      <c r="C46" s="256" t="s">
        <v>185</v>
      </c>
      <c r="D46" s="257"/>
      <c r="E46" s="24" t="s">
        <v>186</v>
      </c>
      <c r="F46" s="24" t="s">
        <v>43</v>
      </c>
      <c r="G46" s="4" t="s">
        <v>187</v>
      </c>
      <c r="H46" s="4" t="s">
        <v>188</v>
      </c>
      <c r="I46" s="41" t="s">
        <v>55</v>
      </c>
      <c r="J46" s="5" t="s">
        <v>176</v>
      </c>
      <c r="K46" s="3" t="str">
        <f t="shared" ca="1" si="0"/>
        <v xml:space="preserve">1 Tahun 4 bulan </v>
      </c>
      <c r="L46" s="36" t="s">
        <v>79</v>
      </c>
      <c r="M46" s="5" t="s">
        <v>78</v>
      </c>
      <c r="N46" s="3" t="str">
        <f t="shared" ca="1" si="1"/>
        <v xml:space="preserve">5 Tahun 11 bulan </v>
      </c>
      <c r="O46" s="4"/>
      <c r="P46" s="4" t="s">
        <v>35</v>
      </c>
      <c r="Q46" s="4" t="str">
        <f t="shared" si="2"/>
        <v>Laki-Laki</v>
      </c>
      <c r="R46" s="4">
        <f t="shared" si="10"/>
        <v>1</v>
      </c>
      <c r="S46" s="4" t="str">
        <f>IF(E220="LOWONG","0","1")</f>
        <v>1</v>
      </c>
      <c r="T46" s="4">
        <f t="shared" si="7"/>
        <v>0</v>
      </c>
      <c r="U46" s="29"/>
      <c r="V46" s="30"/>
      <c r="W46" s="30"/>
      <c r="X46" s="30"/>
      <c r="Y46" s="30"/>
      <c r="Z46" s="30"/>
      <c r="AA46" s="30"/>
      <c r="AB46" s="29"/>
      <c r="AC46" s="29"/>
      <c r="AD46" s="37">
        <f t="shared" si="8"/>
        <v>27353</v>
      </c>
      <c r="AE46" s="3" t="str">
        <f t="shared" ca="1" si="4"/>
        <v>51 Tahun 9 bulan 12 Hari</v>
      </c>
      <c r="AF46" s="38">
        <f t="shared" si="9"/>
        <v>49279</v>
      </c>
    </row>
    <row r="47" spans="1:32" s="306" customFormat="1" ht="32.15" customHeight="1" x14ac:dyDescent="0.35">
      <c r="A47" s="26">
        <f t="shared" si="5"/>
        <v>41</v>
      </c>
      <c r="B47" s="4" t="s">
        <v>39</v>
      </c>
      <c r="C47" s="26"/>
      <c r="D47" s="46" t="s">
        <v>189</v>
      </c>
      <c r="E47" s="57" t="s">
        <v>190</v>
      </c>
      <c r="F47" s="24" t="s">
        <v>43</v>
      </c>
      <c r="G47" s="4" t="s">
        <v>191</v>
      </c>
      <c r="H47" s="36" t="s">
        <v>192</v>
      </c>
      <c r="I47" s="4" t="s">
        <v>193</v>
      </c>
      <c r="J47" s="5" t="s">
        <v>87</v>
      </c>
      <c r="K47" s="3" t="str">
        <f t="shared" ca="1" si="0"/>
        <v xml:space="preserve">4 Tahun 8 bulan </v>
      </c>
      <c r="L47" s="30" t="s">
        <v>88</v>
      </c>
      <c r="M47" s="5" t="s">
        <v>87</v>
      </c>
      <c r="N47" s="3" t="str">
        <f t="shared" ca="1" si="1"/>
        <v xml:space="preserve">4 Tahun 8 bulan </v>
      </c>
      <c r="O47" s="4"/>
      <c r="P47" s="4" t="s">
        <v>35</v>
      </c>
      <c r="Q47" s="4" t="str">
        <f t="shared" si="2"/>
        <v>Laki-Laki</v>
      </c>
      <c r="R47" s="4">
        <f t="shared" si="10"/>
        <v>1</v>
      </c>
      <c r="S47" s="4" t="str">
        <f t="shared" ref="S47:S56" si="11">IF(E47="LOWONG","0","1")</f>
        <v>1</v>
      </c>
      <c r="T47" s="4">
        <f t="shared" si="7"/>
        <v>0</v>
      </c>
      <c r="U47" s="29"/>
      <c r="V47" s="30" t="s">
        <v>50</v>
      </c>
      <c r="W47" s="30"/>
      <c r="X47" s="30"/>
      <c r="Y47" s="30"/>
      <c r="Z47" s="30"/>
      <c r="AA47" s="30"/>
      <c r="AB47" s="29"/>
      <c r="AC47" s="29"/>
      <c r="AD47" s="37">
        <f t="shared" si="8"/>
        <v>28361</v>
      </c>
      <c r="AE47" s="3" t="str">
        <f t="shared" ca="1" si="4"/>
        <v>49 Tahun 0 bulan 8 Hari</v>
      </c>
      <c r="AF47" s="38">
        <f t="shared" si="9"/>
        <v>50284</v>
      </c>
    </row>
    <row r="48" spans="1:32" s="306" customFormat="1" ht="32.15" customHeight="1" x14ac:dyDescent="0.35">
      <c r="A48" s="26">
        <f t="shared" si="5"/>
        <v>42</v>
      </c>
      <c r="B48" s="4" t="s">
        <v>39</v>
      </c>
      <c r="C48" s="26"/>
      <c r="D48" s="46" t="s">
        <v>189</v>
      </c>
      <c r="E48" s="58" t="s">
        <v>108</v>
      </c>
      <c r="F48" s="58"/>
      <c r="G48" s="29"/>
      <c r="H48" s="29"/>
      <c r="I48" s="29"/>
      <c r="J48" s="5"/>
      <c r="K48" s="3" t="str">
        <f t="shared" ca="1" si="0"/>
        <v/>
      </c>
      <c r="L48" s="30" t="s">
        <v>88</v>
      </c>
      <c r="M48" s="5"/>
      <c r="N48" s="3" t="str">
        <f t="shared" ca="1" si="1"/>
        <v/>
      </c>
      <c r="O48" s="29"/>
      <c r="P48" s="29"/>
      <c r="Q48" s="4" t="str">
        <f t="shared" si="2"/>
        <v/>
      </c>
      <c r="R48" s="4">
        <f t="shared" si="10"/>
        <v>1</v>
      </c>
      <c r="S48" s="4" t="str">
        <f t="shared" si="11"/>
        <v>0</v>
      </c>
      <c r="T48" s="4">
        <f t="shared" si="7"/>
        <v>1</v>
      </c>
      <c r="U48" s="29"/>
      <c r="V48" s="30"/>
      <c r="W48" s="30"/>
      <c r="X48" s="30"/>
      <c r="Y48" s="30"/>
      <c r="Z48" s="30"/>
      <c r="AA48" s="30"/>
      <c r="AB48" s="29"/>
      <c r="AC48" s="29"/>
      <c r="AD48" s="37" t="str">
        <f t="shared" si="8"/>
        <v/>
      </c>
      <c r="AE48" s="3" t="str">
        <f t="shared" ca="1" si="4"/>
        <v/>
      </c>
      <c r="AF48" s="38" t="str">
        <f t="shared" si="9"/>
        <v/>
      </c>
    </row>
    <row r="49" spans="1:32" s="306" customFormat="1" ht="32.15" customHeight="1" x14ac:dyDescent="0.35">
      <c r="A49" s="26">
        <f t="shared" si="5"/>
        <v>43</v>
      </c>
      <c r="B49" s="4" t="s">
        <v>39</v>
      </c>
      <c r="C49" s="26"/>
      <c r="D49" s="50" t="s">
        <v>194</v>
      </c>
      <c r="E49" s="45" t="s">
        <v>195</v>
      </c>
      <c r="F49" s="24" t="s">
        <v>43</v>
      </c>
      <c r="G49" s="4" t="s">
        <v>196</v>
      </c>
      <c r="H49" s="36" t="s">
        <v>197</v>
      </c>
      <c r="I49" s="33" t="s">
        <v>198</v>
      </c>
      <c r="J49" s="5" t="s">
        <v>199</v>
      </c>
      <c r="K49" s="3" t="str">
        <f t="shared" ca="1" si="0"/>
        <v xml:space="preserve">3 Tahun 11 bulan </v>
      </c>
      <c r="L49" s="30" t="s">
        <v>200</v>
      </c>
      <c r="M49" s="5" t="s">
        <v>199</v>
      </c>
      <c r="N49" s="3" t="str">
        <f t="shared" ca="1" si="1"/>
        <v xml:space="preserve">3 Tahun 11 bulan </v>
      </c>
      <c r="O49" s="4"/>
      <c r="P49" s="4" t="s">
        <v>35</v>
      </c>
      <c r="Q49" s="4" t="str">
        <f t="shared" si="2"/>
        <v>Perempuan</v>
      </c>
      <c r="R49" s="4">
        <f t="shared" si="10"/>
        <v>1</v>
      </c>
      <c r="S49" s="4" t="str">
        <f t="shared" si="11"/>
        <v>1</v>
      </c>
      <c r="T49" s="4">
        <f t="shared" si="7"/>
        <v>0</v>
      </c>
      <c r="U49" s="29"/>
      <c r="V49" s="30"/>
      <c r="W49" s="30"/>
      <c r="X49" s="30"/>
      <c r="Y49" s="30"/>
      <c r="Z49" s="30"/>
      <c r="AA49" s="30"/>
      <c r="AB49" s="29"/>
      <c r="AC49" s="29"/>
      <c r="AD49" s="37">
        <f t="shared" si="8"/>
        <v>34208</v>
      </c>
      <c r="AE49" s="3" t="str">
        <f t="shared" ca="1" si="4"/>
        <v>33 Tahun 0 bulan 5 Hari</v>
      </c>
      <c r="AF49" s="38">
        <f t="shared" si="9"/>
        <v>56128</v>
      </c>
    </row>
    <row r="50" spans="1:32" s="306" customFormat="1" ht="30.75" customHeight="1" x14ac:dyDescent="0.35">
      <c r="A50" s="26">
        <f t="shared" si="5"/>
        <v>44</v>
      </c>
      <c r="B50" s="4" t="s">
        <v>39</v>
      </c>
      <c r="C50" s="256" t="s">
        <v>201</v>
      </c>
      <c r="D50" s="257"/>
      <c r="E50" s="45" t="s">
        <v>202</v>
      </c>
      <c r="F50" s="24" t="s">
        <v>43</v>
      </c>
      <c r="G50" s="44" t="s">
        <v>203</v>
      </c>
      <c r="H50" s="36" t="s">
        <v>204</v>
      </c>
      <c r="I50" s="36" t="s">
        <v>205</v>
      </c>
      <c r="J50" s="5" t="s">
        <v>206</v>
      </c>
      <c r="K50" s="3" t="str">
        <f t="shared" ca="1" si="0"/>
        <v xml:space="preserve">3 Tahun 10 bulan </v>
      </c>
      <c r="L50" s="36" t="s">
        <v>79</v>
      </c>
      <c r="M50" s="5" t="s">
        <v>206</v>
      </c>
      <c r="N50" s="3" t="str">
        <f t="shared" ca="1" si="1"/>
        <v xml:space="preserve">3 Tahun 10 bulan </v>
      </c>
      <c r="O50" s="4" t="s">
        <v>207</v>
      </c>
      <c r="P50" s="4" t="s">
        <v>35</v>
      </c>
      <c r="Q50" s="4" t="str">
        <f t="shared" si="2"/>
        <v>Perempuan</v>
      </c>
      <c r="R50" s="4">
        <f>R737</f>
        <v>1</v>
      </c>
      <c r="S50" s="4" t="str">
        <f t="shared" si="11"/>
        <v>1</v>
      </c>
      <c r="T50" s="4">
        <f t="shared" si="7"/>
        <v>0</v>
      </c>
      <c r="U50" s="29"/>
      <c r="V50" s="30"/>
      <c r="W50" s="30"/>
      <c r="X50" s="30"/>
      <c r="Y50" s="30"/>
      <c r="Z50" s="30"/>
      <c r="AA50" s="30"/>
      <c r="AB50" s="29"/>
      <c r="AC50" s="29"/>
      <c r="AD50" s="37">
        <f t="shared" si="8"/>
        <v>32018</v>
      </c>
      <c r="AE50" s="3" t="str">
        <f t="shared" ca="1" si="4"/>
        <v>39 Tahun 0 bulan 3 Hari</v>
      </c>
      <c r="AF50" s="38">
        <f t="shared" si="9"/>
        <v>53936</v>
      </c>
    </row>
    <row r="51" spans="1:32" s="306" customFormat="1" ht="32.15" customHeight="1" x14ac:dyDescent="0.35">
      <c r="A51" s="26">
        <f t="shared" si="5"/>
        <v>45</v>
      </c>
      <c r="B51" s="4" t="s">
        <v>39</v>
      </c>
      <c r="C51" s="26"/>
      <c r="D51" s="46" t="s">
        <v>208</v>
      </c>
      <c r="E51" s="24" t="s">
        <v>209</v>
      </c>
      <c r="F51" s="24" t="s">
        <v>43</v>
      </c>
      <c r="G51" s="4" t="s">
        <v>210</v>
      </c>
      <c r="H51" s="4" t="s">
        <v>159</v>
      </c>
      <c r="I51" s="33" t="s">
        <v>86</v>
      </c>
      <c r="J51" s="5" t="s">
        <v>87</v>
      </c>
      <c r="K51" s="3" t="str">
        <f t="shared" ca="1" si="0"/>
        <v xml:space="preserve">4 Tahun 8 bulan </v>
      </c>
      <c r="L51" s="30" t="s">
        <v>88</v>
      </c>
      <c r="M51" s="5" t="s">
        <v>87</v>
      </c>
      <c r="N51" s="3" t="str">
        <f t="shared" ca="1" si="1"/>
        <v xml:space="preserve">4 Tahun 8 bulan </v>
      </c>
      <c r="O51" s="36"/>
      <c r="P51" s="4" t="s">
        <v>35</v>
      </c>
      <c r="Q51" s="4" t="str">
        <f t="shared" si="2"/>
        <v>Perempuan</v>
      </c>
      <c r="R51" s="4">
        <f t="shared" ref="R51:R56" si="12">R50</f>
        <v>1</v>
      </c>
      <c r="S51" s="4" t="str">
        <f t="shared" si="11"/>
        <v>1</v>
      </c>
      <c r="T51" s="4">
        <f t="shared" si="7"/>
        <v>0</v>
      </c>
      <c r="U51" s="29"/>
      <c r="V51" s="30"/>
      <c r="W51" s="30"/>
      <c r="X51" s="30"/>
      <c r="Y51" s="30"/>
      <c r="Z51" s="30"/>
      <c r="AA51" s="30"/>
      <c r="AB51" s="29"/>
      <c r="AC51" s="29"/>
      <c r="AD51" s="37">
        <f t="shared" si="8"/>
        <v>30044</v>
      </c>
      <c r="AE51" s="3" t="str">
        <f t="shared" ca="1" si="4"/>
        <v>44 Tahun 4 bulan 29 Hari</v>
      </c>
      <c r="AF51" s="38">
        <f t="shared" si="9"/>
        <v>51987</v>
      </c>
    </row>
    <row r="52" spans="1:32" s="306" customFormat="1" ht="32.15" customHeight="1" x14ac:dyDescent="0.35">
      <c r="A52" s="26">
        <f t="shared" si="5"/>
        <v>46</v>
      </c>
      <c r="B52" s="4" t="s">
        <v>39</v>
      </c>
      <c r="C52" s="26"/>
      <c r="D52" s="46" t="s">
        <v>208</v>
      </c>
      <c r="E52" s="24" t="s">
        <v>108</v>
      </c>
      <c r="F52" s="24"/>
      <c r="G52" s="3"/>
      <c r="H52" s="4"/>
      <c r="I52" s="41"/>
      <c r="J52" s="5"/>
      <c r="K52" s="3" t="str">
        <f t="shared" ca="1" si="0"/>
        <v/>
      </c>
      <c r="L52" s="30" t="s">
        <v>88</v>
      </c>
      <c r="M52" s="5"/>
      <c r="N52" s="3" t="str">
        <f t="shared" ca="1" si="1"/>
        <v/>
      </c>
      <c r="O52" s="4"/>
      <c r="P52" s="4"/>
      <c r="Q52" s="4" t="str">
        <f t="shared" si="2"/>
        <v/>
      </c>
      <c r="R52" s="4">
        <f t="shared" si="12"/>
        <v>1</v>
      </c>
      <c r="S52" s="4" t="str">
        <f t="shared" si="11"/>
        <v>0</v>
      </c>
      <c r="T52" s="4">
        <f t="shared" si="7"/>
        <v>1</v>
      </c>
      <c r="U52" s="29"/>
      <c r="V52" s="30"/>
      <c r="W52" s="30"/>
      <c r="X52" s="30"/>
      <c r="Y52" s="30"/>
      <c r="Z52" s="30"/>
      <c r="AA52" s="30"/>
      <c r="AB52" s="29"/>
      <c r="AC52" s="29"/>
      <c r="AD52" s="37" t="str">
        <f t="shared" si="8"/>
        <v/>
      </c>
      <c r="AE52" s="3" t="str">
        <f t="shared" ca="1" si="4"/>
        <v/>
      </c>
      <c r="AF52" s="38" t="str">
        <f t="shared" si="9"/>
        <v/>
      </c>
    </row>
    <row r="53" spans="1:32" s="306" customFormat="1" ht="36.75" customHeight="1" x14ac:dyDescent="0.35">
      <c r="A53" s="26">
        <f t="shared" si="5"/>
        <v>47</v>
      </c>
      <c r="B53" s="4" t="s">
        <v>39</v>
      </c>
      <c r="C53" s="26"/>
      <c r="D53" s="46" t="s">
        <v>208</v>
      </c>
      <c r="E53" s="45" t="s">
        <v>211</v>
      </c>
      <c r="F53" s="24" t="s">
        <v>43</v>
      </c>
      <c r="G53" s="44" t="s">
        <v>212</v>
      </c>
      <c r="H53" s="4" t="s">
        <v>213</v>
      </c>
      <c r="I53" s="4" t="s">
        <v>214</v>
      </c>
      <c r="J53" s="5" t="s">
        <v>87</v>
      </c>
      <c r="K53" s="3" t="str">
        <f t="shared" ca="1" si="0"/>
        <v xml:space="preserve">4 Tahun 8 bulan </v>
      </c>
      <c r="L53" s="30" t="s">
        <v>88</v>
      </c>
      <c r="M53" s="5" t="s">
        <v>87</v>
      </c>
      <c r="N53" s="3" t="str">
        <f t="shared" ca="1" si="1"/>
        <v xml:space="preserve">4 Tahun 8 bulan </v>
      </c>
      <c r="O53" s="4"/>
      <c r="P53" s="4" t="s">
        <v>35</v>
      </c>
      <c r="Q53" s="4" t="str">
        <f t="shared" si="2"/>
        <v>Laki-Laki</v>
      </c>
      <c r="R53" s="4">
        <f t="shared" si="12"/>
        <v>1</v>
      </c>
      <c r="S53" s="4" t="str">
        <f t="shared" si="11"/>
        <v>1</v>
      </c>
      <c r="T53" s="4">
        <f t="shared" si="7"/>
        <v>0</v>
      </c>
      <c r="U53" s="29"/>
      <c r="V53" s="30" t="s">
        <v>50</v>
      </c>
      <c r="W53" s="30"/>
      <c r="X53" s="30"/>
      <c r="Y53" s="30"/>
      <c r="Z53" s="30"/>
      <c r="AA53" s="30"/>
      <c r="AB53" s="29"/>
      <c r="AC53" s="29"/>
      <c r="AD53" s="37">
        <f t="shared" si="8"/>
        <v>33775</v>
      </c>
      <c r="AE53" s="3" t="str">
        <f t="shared" ca="1" si="4"/>
        <v>34 Tahun 2 bulan 12 Hari</v>
      </c>
      <c r="AF53" s="38">
        <f t="shared" si="9"/>
        <v>55701</v>
      </c>
    </row>
    <row r="54" spans="1:32" s="306" customFormat="1" ht="32.15" customHeight="1" x14ac:dyDescent="0.35">
      <c r="A54" s="26">
        <f t="shared" si="5"/>
        <v>48</v>
      </c>
      <c r="B54" s="4" t="s">
        <v>39</v>
      </c>
      <c r="C54" s="256" t="s">
        <v>215</v>
      </c>
      <c r="D54" s="257"/>
      <c r="E54" s="24" t="s">
        <v>216</v>
      </c>
      <c r="F54" s="24" t="s">
        <v>43</v>
      </c>
      <c r="G54" s="3" t="s">
        <v>217</v>
      </c>
      <c r="H54" s="4" t="s">
        <v>218</v>
      </c>
      <c r="I54" s="36" t="s">
        <v>219</v>
      </c>
      <c r="J54" s="5" t="s">
        <v>220</v>
      </c>
      <c r="K54" s="3" t="str">
        <f t="shared" ca="1" si="0"/>
        <v xml:space="preserve">2 Tahun 11 bulan </v>
      </c>
      <c r="L54" s="36" t="s">
        <v>79</v>
      </c>
      <c r="M54" s="5" t="s">
        <v>220</v>
      </c>
      <c r="N54" s="3" t="str">
        <f t="shared" ca="1" si="1"/>
        <v xml:space="preserve">2 Tahun 11 bulan </v>
      </c>
      <c r="O54" s="4"/>
      <c r="P54" s="4" t="s">
        <v>35</v>
      </c>
      <c r="Q54" s="4" t="str">
        <f t="shared" si="2"/>
        <v>Laki-Laki</v>
      </c>
      <c r="R54" s="4">
        <f t="shared" si="12"/>
        <v>1</v>
      </c>
      <c r="S54" s="4" t="str">
        <f t="shared" si="11"/>
        <v>1</v>
      </c>
      <c r="T54" s="4">
        <f t="shared" si="7"/>
        <v>0</v>
      </c>
      <c r="U54" s="29"/>
      <c r="V54" s="30" t="s">
        <v>50</v>
      </c>
      <c r="W54" s="30"/>
      <c r="X54" s="30"/>
      <c r="Y54" s="30"/>
      <c r="Z54" s="30"/>
      <c r="AA54" s="30"/>
      <c r="AB54" s="29"/>
      <c r="AC54" s="29"/>
      <c r="AD54" s="37">
        <f t="shared" si="8"/>
        <v>31207</v>
      </c>
      <c r="AE54" s="3" t="str">
        <f t="shared" ca="1" si="4"/>
        <v>41 Tahun 2 bulan 23 Hari</v>
      </c>
      <c r="AF54" s="38">
        <f t="shared" si="9"/>
        <v>53144</v>
      </c>
    </row>
    <row r="55" spans="1:32" s="306" customFormat="1" ht="32.15" customHeight="1" x14ac:dyDescent="0.35">
      <c r="A55" s="26">
        <f t="shared" si="5"/>
        <v>49</v>
      </c>
      <c r="B55" s="4" t="s">
        <v>39</v>
      </c>
      <c r="C55" s="26"/>
      <c r="D55" s="46" t="s">
        <v>221</v>
      </c>
      <c r="E55" s="24" t="s">
        <v>222</v>
      </c>
      <c r="F55" s="24" t="s">
        <v>43</v>
      </c>
      <c r="G55" s="44" t="s">
        <v>223</v>
      </c>
      <c r="H55" s="4" t="s">
        <v>85</v>
      </c>
      <c r="I55" s="33" t="s">
        <v>46</v>
      </c>
      <c r="J55" s="5" t="s">
        <v>87</v>
      </c>
      <c r="K55" s="3" t="str">
        <f t="shared" ca="1" si="0"/>
        <v xml:space="preserve">4 Tahun 8 bulan </v>
      </c>
      <c r="L55" s="30" t="s">
        <v>88</v>
      </c>
      <c r="M55" s="5" t="s">
        <v>87</v>
      </c>
      <c r="N55" s="3" t="str">
        <f t="shared" ca="1" si="1"/>
        <v xml:space="preserve">4 Tahun 8 bulan </v>
      </c>
      <c r="O55" s="4"/>
      <c r="P55" s="4" t="s">
        <v>35</v>
      </c>
      <c r="Q55" s="4" t="str">
        <f t="shared" si="2"/>
        <v>Perempuan</v>
      </c>
      <c r="R55" s="4">
        <f t="shared" si="12"/>
        <v>1</v>
      </c>
      <c r="S55" s="4" t="str">
        <f t="shared" si="11"/>
        <v>1</v>
      </c>
      <c r="T55" s="4">
        <f t="shared" si="7"/>
        <v>0</v>
      </c>
      <c r="U55" s="29"/>
      <c r="V55" s="30"/>
      <c r="W55" s="30"/>
      <c r="X55" s="30"/>
      <c r="Y55" s="30"/>
      <c r="Z55" s="30"/>
      <c r="AA55" s="30"/>
      <c r="AB55" s="29"/>
      <c r="AC55" s="29"/>
      <c r="AD55" s="37">
        <f t="shared" si="8"/>
        <v>30827</v>
      </c>
      <c r="AE55" s="3" t="str">
        <f t="shared" ca="1" si="4"/>
        <v>42 Tahun 3 bulan 7 Hari</v>
      </c>
      <c r="AF55" s="38">
        <f t="shared" si="9"/>
        <v>52749</v>
      </c>
    </row>
    <row r="56" spans="1:32" s="306" customFormat="1" ht="32.15" customHeight="1" x14ac:dyDescent="0.35">
      <c r="A56" s="26">
        <f t="shared" si="5"/>
        <v>50</v>
      </c>
      <c r="B56" s="4" t="s">
        <v>39</v>
      </c>
      <c r="C56" s="26"/>
      <c r="D56" s="50" t="s">
        <v>224</v>
      </c>
      <c r="E56" s="24" t="s">
        <v>225</v>
      </c>
      <c r="F56" s="24" t="s">
        <v>43</v>
      </c>
      <c r="G56" s="3" t="s">
        <v>226</v>
      </c>
      <c r="H56" s="4" t="s">
        <v>192</v>
      </c>
      <c r="I56" s="41" t="s">
        <v>86</v>
      </c>
      <c r="J56" s="5" t="s">
        <v>87</v>
      </c>
      <c r="K56" s="3" t="str">
        <f t="shared" ca="1" si="0"/>
        <v xml:space="preserve">4 Tahun 8 bulan </v>
      </c>
      <c r="L56" s="30" t="s">
        <v>88</v>
      </c>
      <c r="M56" s="5" t="s">
        <v>87</v>
      </c>
      <c r="N56" s="3" t="str">
        <f t="shared" ca="1" si="1"/>
        <v xml:space="preserve">4 Tahun 8 bulan </v>
      </c>
      <c r="O56" s="36"/>
      <c r="P56" s="4" t="s">
        <v>35</v>
      </c>
      <c r="Q56" s="4" t="str">
        <f t="shared" si="2"/>
        <v>Laki-Laki</v>
      </c>
      <c r="R56" s="4">
        <f t="shared" si="12"/>
        <v>1</v>
      </c>
      <c r="S56" s="4" t="str">
        <f t="shared" si="11"/>
        <v>1</v>
      </c>
      <c r="T56" s="4">
        <f t="shared" si="7"/>
        <v>0</v>
      </c>
      <c r="U56" s="29"/>
      <c r="V56" s="30" t="s">
        <v>50</v>
      </c>
      <c r="W56" s="30"/>
      <c r="X56" s="30"/>
      <c r="Y56" s="30"/>
      <c r="Z56" s="30"/>
      <c r="AA56" s="30"/>
      <c r="AB56" s="29"/>
      <c r="AC56" s="29"/>
      <c r="AD56" s="37">
        <f t="shared" si="8"/>
        <v>29376</v>
      </c>
      <c r="AE56" s="3" t="str">
        <f t="shared" ca="1" si="4"/>
        <v>46 Tahun 2 bulan 28 Hari</v>
      </c>
      <c r="AF56" s="38">
        <f t="shared" si="9"/>
        <v>51318</v>
      </c>
    </row>
    <row r="57" spans="1:32" s="308" customFormat="1" ht="32.15" customHeight="1" x14ac:dyDescent="0.35">
      <c r="A57" s="4"/>
      <c r="B57" s="32" t="s">
        <v>227</v>
      </c>
      <c r="C57" s="269" t="s">
        <v>228</v>
      </c>
      <c r="D57" s="270"/>
      <c r="E57" s="271" t="str">
        <f ca="1">IF(J57="","",CONCATENATE(DATEDIF(J57,NOW(),"Y")," Tahun ",DATEDIF(J57,NOW(),"YM")," bulan "))</f>
        <v/>
      </c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3"/>
    </row>
    <row r="58" spans="1:32" s="306" customFormat="1" ht="32.15" customHeight="1" x14ac:dyDescent="0.35">
      <c r="A58" s="26">
        <f>A56+1</f>
        <v>51</v>
      </c>
      <c r="B58" s="27" t="s">
        <v>227</v>
      </c>
      <c r="C58" s="256" t="s">
        <v>229</v>
      </c>
      <c r="D58" s="257"/>
      <c r="E58" s="24" t="s">
        <v>986</v>
      </c>
      <c r="F58" s="24" t="s">
        <v>71</v>
      </c>
      <c r="G58" s="3" t="s">
        <v>987</v>
      </c>
      <c r="H58" s="4" t="s">
        <v>988</v>
      </c>
      <c r="I58" s="33" t="s">
        <v>989</v>
      </c>
      <c r="J58" s="5">
        <v>46198</v>
      </c>
      <c r="K58" s="3" t="str">
        <f t="shared" ca="1" si="0"/>
        <v xml:space="preserve">0 Tahun 2 bulan </v>
      </c>
      <c r="L58" s="30" t="s">
        <v>56</v>
      </c>
      <c r="M58" s="5">
        <v>46198</v>
      </c>
      <c r="N58" s="3" t="str">
        <f t="shared" ca="1" si="1"/>
        <v xml:space="preserve">0 Tahun 2 bulan </v>
      </c>
      <c r="O58" s="4"/>
      <c r="P58" s="4" t="s">
        <v>35</v>
      </c>
      <c r="Q58" s="4" t="str">
        <f t="shared" si="2"/>
        <v>Laki-Laki</v>
      </c>
      <c r="R58" s="4">
        <f>R362</f>
        <v>1</v>
      </c>
      <c r="S58" s="4" t="str">
        <f t="shared" ref="S58:S72" si="13">IF(E58="LOWONG","0","1")</f>
        <v>1</v>
      </c>
      <c r="T58" s="4">
        <f t="shared" si="7"/>
        <v>0</v>
      </c>
      <c r="U58" s="29"/>
      <c r="V58" s="30"/>
      <c r="W58" s="30"/>
      <c r="X58" s="30"/>
      <c r="Y58" s="30"/>
      <c r="Z58" s="30"/>
      <c r="AA58" s="30"/>
      <c r="AB58" s="29"/>
      <c r="AC58" s="29"/>
      <c r="AD58" s="37">
        <f t="shared" si="8"/>
        <v>28457</v>
      </c>
      <c r="AE58" s="3" t="str">
        <f t="shared" ca="1" si="4"/>
        <v>48 Tahun 9 bulan 4 Hari</v>
      </c>
      <c r="AF58" s="38">
        <f t="shared" si="9"/>
        <v>50375</v>
      </c>
    </row>
    <row r="59" spans="1:32" s="306" customFormat="1" ht="32.15" customHeight="1" x14ac:dyDescent="0.35">
      <c r="A59" s="26">
        <f t="shared" si="5"/>
        <v>52</v>
      </c>
      <c r="B59" s="27" t="s">
        <v>227</v>
      </c>
      <c r="C59" s="256" t="s">
        <v>234</v>
      </c>
      <c r="D59" s="257"/>
      <c r="E59" s="24" t="s">
        <v>239</v>
      </c>
      <c r="F59" s="24" t="s">
        <v>43</v>
      </c>
      <c r="G59" s="3" t="s">
        <v>240</v>
      </c>
      <c r="H59" s="4" t="s">
        <v>241</v>
      </c>
      <c r="I59" s="4"/>
      <c r="J59" s="5">
        <v>46132</v>
      </c>
      <c r="K59" s="3" t="str">
        <f t="shared" ca="1" si="0"/>
        <v xml:space="preserve">0 Tahun 4 bulan </v>
      </c>
      <c r="L59" s="36" t="s">
        <v>79</v>
      </c>
      <c r="M59" s="5">
        <v>46132</v>
      </c>
      <c r="N59" s="3" t="str">
        <f t="shared" ca="1" si="1"/>
        <v xml:space="preserve">0 Tahun 4 bulan </v>
      </c>
      <c r="O59" s="4"/>
      <c r="P59" s="4" t="s">
        <v>35</v>
      </c>
      <c r="Q59" s="4" t="str">
        <f t="shared" si="2"/>
        <v>Laki-Laki</v>
      </c>
      <c r="R59" s="4">
        <f>R363</f>
        <v>1</v>
      </c>
      <c r="S59" s="4" t="str">
        <f t="shared" si="13"/>
        <v>1</v>
      </c>
      <c r="T59" s="4">
        <f t="shared" si="7"/>
        <v>0</v>
      </c>
      <c r="U59" s="29"/>
      <c r="V59" s="30" t="s">
        <v>50</v>
      </c>
      <c r="W59" s="30"/>
      <c r="X59" s="30"/>
      <c r="Y59" s="30"/>
      <c r="Z59" s="30"/>
      <c r="AA59" s="30"/>
      <c r="AB59" s="29"/>
      <c r="AC59" s="29"/>
      <c r="AD59" s="37">
        <f t="shared" si="8"/>
        <v>29312</v>
      </c>
      <c r="AE59" s="3" t="str">
        <f t="shared" ca="1" si="4"/>
        <v>46 Tahun 5 bulan 0 Hari</v>
      </c>
      <c r="AF59" s="38">
        <f t="shared" si="9"/>
        <v>51257</v>
      </c>
    </row>
    <row r="60" spans="1:32" s="306" customFormat="1" ht="32.15" customHeight="1" x14ac:dyDescent="0.35">
      <c r="A60" s="26">
        <f t="shared" si="5"/>
        <v>53</v>
      </c>
      <c r="B60" s="27" t="s">
        <v>227</v>
      </c>
      <c r="C60" s="26"/>
      <c r="D60" s="50" t="s">
        <v>238</v>
      </c>
      <c r="E60" s="24" t="s">
        <v>2950</v>
      </c>
      <c r="F60" s="24" t="s">
        <v>43</v>
      </c>
      <c r="G60" s="3" t="s">
        <v>2951</v>
      </c>
      <c r="H60" s="4" t="s">
        <v>2952</v>
      </c>
      <c r="I60" s="4" t="s">
        <v>86</v>
      </c>
      <c r="J60" s="5">
        <v>46198</v>
      </c>
      <c r="K60" s="3" t="str">
        <f t="shared" ca="1" si="0"/>
        <v xml:space="preserve">0 Tahun 2 bulan </v>
      </c>
      <c r="L60" s="30" t="s">
        <v>200</v>
      </c>
      <c r="M60" s="5">
        <v>46198</v>
      </c>
      <c r="N60" s="3" t="str">
        <f t="shared" ca="1" si="1"/>
        <v xml:space="preserve">0 Tahun 2 bulan </v>
      </c>
      <c r="O60" s="4"/>
      <c r="P60" s="4" t="s">
        <v>35</v>
      </c>
      <c r="Q60" s="4" t="str">
        <f t="shared" si="2"/>
        <v>Perempuan</v>
      </c>
      <c r="R60" s="4">
        <f>R650</f>
        <v>1</v>
      </c>
      <c r="S60" s="4" t="str">
        <f t="shared" si="13"/>
        <v>1</v>
      </c>
      <c r="T60" s="4">
        <f t="shared" si="7"/>
        <v>0</v>
      </c>
      <c r="U60" s="29"/>
      <c r="V60" s="30" t="s">
        <v>50</v>
      </c>
      <c r="W60" s="30"/>
      <c r="X60" s="30"/>
      <c r="Y60" s="30"/>
      <c r="Z60" s="30"/>
      <c r="AA60" s="30"/>
      <c r="AB60" s="29"/>
      <c r="AC60" s="29"/>
      <c r="AD60" s="37">
        <f t="shared" si="8"/>
        <v>29751</v>
      </c>
      <c r="AE60" s="3" t="str">
        <f t="shared" ca="1" si="4"/>
        <v>45 Tahun 2 bulan 18 Hari</v>
      </c>
      <c r="AF60" s="38">
        <f t="shared" si="9"/>
        <v>51683</v>
      </c>
    </row>
    <row r="61" spans="1:32" s="306" customFormat="1" ht="32.15" customHeight="1" x14ac:dyDescent="0.35">
      <c r="A61" s="26">
        <f t="shared" si="5"/>
        <v>54</v>
      </c>
      <c r="B61" s="27" t="s">
        <v>227</v>
      </c>
      <c r="C61" s="26"/>
      <c r="D61" s="46" t="s">
        <v>243</v>
      </c>
      <c r="E61" s="24" t="s">
        <v>244</v>
      </c>
      <c r="F61" s="24" t="s">
        <v>43</v>
      </c>
      <c r="G61" s="3" t="s">
        <v>245</v>
      </c>
      <c r="H61" s="4" t="s">
        <v>181</v>
      </c>
      <c r="I61" s="33" t="s">
        <v>46</v>
      </c>
      <c r="J61" s="5" t="s">
        <v>246</v>
      </c>
      <c r="K61" s="3" t="str">
        <f t="shared" ca="1" si="0"/>
        <v xml:space="preserve">3 Tahun 9 bulan </v>
      </c>
      <c r="L61" s="30" t="s">
        <v>88</v>
      </c>
      <c r="M61" s="5" t="s">
        <v>246</v>
      </c>
      <c r="N61" s="3" t="str">
        <f t="shared" ca="1" si="1"/>
        <v xml:space="preserve">3 Tahun 9 bulan </v>
      </c>
      <c r="O61" s="4"/>
      <c r="P61" s="4" t="s">
        <v>35</v>
      </c>
      <c r="Q61" s="4" t="str">
        <f t="shared" si="2"/>
        <v>Perempuan</v>
      </c>
      <c r="R61" s="4">
        <f t="shared" ref="R61:R124" si="14">R60</f>
        <v>1</v>
      </c>
      <c r="S61" s="4" t="str">
        <f t="shared" si="13"/>
        <v>1</v>
      </c>
      <c r="T61" s="4">
        <f t="shared" si="7"/>
        <v>0</v>
      </c>
      <c r="U61" s="29"/>
      <c r="V61" s="30"/>
      <c r="W61" s="30"/>
      <c r="X61" s="30"/>
      <c r="Y61" s="30"/>
      <c r="Z61" s="30"/>
      <c r="AA61" s="30"/>
      <c r="AB61" s="29"/>
      <c r="AC61" s="29"/>
      <c r="AD61" s="37">
        <f t="shared" si="8"/>
        <v>28529</v>
      </c>
      <c r="AE61" s="3" t="str">
        <f t="shared" ca="1" si="4"/>
        <v>48 Tahun 6 bulan 24 Hari</v>
      </c>
      <c r="AF61" s="38">
        <f t="shared" si="9"/>
        <v>50465</v>
      </c>
    </row>
    <row r="62" spans="1:32" s="306" customFormat="1" ht="32.15" customHeight="1" x14ac:dyDescent="0.35">
      <c r="A62" s="26">
        <f t="shared" si="5"/>
        <v>55</v>
      </c>
      <c r="B62" s="27" t="s">
        <v>227</v>
      </c>
      <c r="C62" s="26"/>
      <c r="D62" s="46" t="s">
        <v>243</v>
      </c>
      <c r="E62" s="24" t="s">
        <v>247</v>
      </c>
      <c r="F62" s="24" t="s">
        <v>43</v>
      </c>
      <c r="G62" s="3" t="s">
        <v>248</v>
      </c>
      <c r="H62" s="4" t="s">
        <v>249</v>
      </c>
      <c r="I62" s="33" t="s">
        <v>86</v>
      </c>
      <c r="J62" s="5" t="s">
        <v>87</v>
      </c>
      <c r="K62" s="3" t="str">
        <f t="shared" ca="1" si="0"/>
        <v xml:space="preserve">4 Tahun 8 bulan </v>
      </c>
      <c r="L62" s="30" t="s">
        <v>88</v>
      </c>
      <c r="M62" s="5" t="s">
        <v>87</v>
      </c>
      <c r="N62" s="3" t="str">
        <f t="shared" ca="1" si="1"/>
        <v xml:space="preserve">4 Tahun 8 bulan </v>
      </c>
      <c r="O62" s="4"/>
      <c r="P62" s="4" t="s">
        <v>35</v>
      </c>
      <c r="Q62" s="4" t="str">
        <f t="shared" si="2"/>
        <v>Laki-Laki</v>
      </c>
      <c r="R62" s="4">
        <f t="shared" si="14"/>
        <v>1</v>
      </c>
      <c r="S62" s="4" t="str">
        <f t="shared" si="13"/>
        <v>1</v>
      </c>
      <c r="T62" s="4">
        <f t="shared" si="7"/>
        <v>0</v>
      </c>
      <c r="U62" s="29"/>
      <c r="V62" s="30"/>
      <c r="W62" s="30"/>
      <c r="X62" s="30"/>
      <c r="Y62" s="30"/>
      <c r="Z62" s="30"/>
      <c r="AA62" s="30"/>
      <c r="AB62" s="29"/>
      <c r="AC62" s="29"/>
      <c r="AD62" s="37">
        <f t="shared" si="8"/>
        <v>28956</v>
      </c>
      <c r="AE62" s="3" t="str">
        <f t="shared" ca="1" si="4"/>
        <v>47 Tahun 4 bulan 21 Hari</v>
      </c>
      <c r="AF62" s="38">
        <f t="shared" si="9"/>
        <v>50891</v>
      </c>
    </row>
    <row r="63" spans="1:32" s="306" customFormat="1" ht="32.15" customHeight="1" x14ac:dyDescent="0.35">
      <c r="A63" s="26">
        <f t="shared" si="5"/>
        <v>56</v>
      </c>
      <c r="B63" s="27" t="s">
        <v>227</v>
      </c>
      <c r="C63" s="256" t="s">
        <v>250</v>
      </c>
      <c r="D63" s="257"/>
      <c r="E63" s="24" t="s">
        <v>281</v>
      </c>
      <c r="F63" s="24" t="s">
        <v>43</v>
      </c>
      <c r="G63" s="3" t="s">
        <v>282</v>
      </c>
      <c r="H63" s="4" t="s">
        <v>241</v>
      </c>
      <c r="I63" s="4"/>
      <c r="J63" s="53">
        <v>46132</v>
      </c>
      <c r="K63" s="3" t="str">
        <f t="shared" ca="1" si="0"/>
        <v xml:space="preserve">0 Tahun 4 bulan </v>
      </c>
      <c r="L63" s="36" t="s">
        <v>79</v>
      </c>
      <c r="M63" s="53">
        <v>46132</v>
      </c>
      <c r="N63" s="3" t="str">
        <f t="shared" ca="1" si="1"/>
        <v xml:space="preserve">0 Tahun 4 bulan </v>
      </c>
      <c r="O63" s="36"/>
      <c r="P63" s="4" t="s">
        <v>35</v>
      </c>
      <c r="Q63" s="4" t="str">
        <f t="shared" si="2"/>
        <v>Perempuan</v>
      </c>
      <c r="R63" s="4">
        <f>R367</f>
        <v>1</v>
      </c>
      <c r="S63" s="4" t="str">
        <f t="shared" si="13"/>
        <v>1</v>
      </c>
      <c r="T63" s="4">
        <f t="shared" si="7"/>
        <v>0</v>
      </c>
      <c r="U63" s="29"/>
      <c r="V63" s="30" t="s">
        <v>50</v>
      </c>
      <c r="W63" s="30"/>
      <c r="X63" s="30"/>
      <c r="Y63" s="30"/>
      <c r="Z63" s="30"/>
      <c r="AA63" s="30"/>
      <c r="AB63" s="29"/>
      <c r="AC63" s="29"/>
      <c r="AD63" s="37">
        <f t="shared" si="8"/>
        <v>29347</v>
      </c>
      <c r="AE63" s="3" t="str">
        <f t="shared" ca="1" si="4"/>
        <v>46 Tahun 3 bulan 26 Hari</v>
      </c>
      <c r="AF63" s="38">
        <f t="shared" si="9"/>
        <v>51288</v>
      </c>
    </row>
    <row r="64" spans="1:32" s="306" customFormat="1" ht="32.15" customHeight="1" x14ac:dyDescent="0.35">
      <c r="A64" s="26">
        <f t="shared" si="5"/>
        <v>57</v>
      </c>
      <c r="B64" s="27" t="s">
        <v>227</v>
      </c>
      <c r="C64" s="26"/>
      <c r="D64" s="46" t="s">
        <v>252</v>
      </c>
      <c r="E64" s="51" t="s">
        <v>253</v>
      </c>
      <c r="F64" s="24" t="s">
        <v>43</v>
      </c>
      <c r="G64" s="59" t="s">
        <v>254</v>
      </c>
      <c r="H64" s="4" t="s">
        <v>135</v>
      </c>
      <c r="I64" s="33" t="s">
        <v>86</v>
      </c>
      <c r="J64" s="5" t="s">
        <v>255</v>
      </c>
      <c r="K64" s="3" t="str">
        <f t="shared" ca="1" si="0"/>
        <v xml:space="preserve">3 Tahun 8 bulan </v>
      </c>
      <c r="L64" s="30" t="s">
        <v>88</v>
      </c>
      <c r="M64" s="5" t="s">
        <v>255</v>
      </c>
      <c r="N64" s="3" t="str">
        <f t="shared" ca="1" si="1"/>
        <v xml:space="preserve">3 Tahun 8 bulan </v>
      </c>
      <c r="O64" s="4"/>
      <c r="P64" s="4" t="s">
        <v>35</v>
      </c>
      <c r="Q64" s="4" t="str">
        <f t="shared" si="2"/>
        <v>Laki-Laki</v>
      </c>
      <c r="R64" s="4">
        <f t="shared" si="14"/>
        <v>1</v>
      </c>
      <c r="S64" s="4" t="str">
        <f t="shared" si="13"/>
        <v>1</v>
      </c>
      <c r="T64" s="4">
        <f t="shared" si="7"/>
        <v>0</v>
      </c>
      <c r="U64" s="29"/>
      <c r="V64" s="30" t="s">
        <v>50</v>
      </c>
      <c r="W64" s="30"/>
      <c r="X64" s="30"/>
      <c r="Y64" s="30"/>
      <c r="Z64" s="30"/>
      <c r="AA64" s="30"/>
      <c r="AB64" s="29"/>
      <c r="AC64" s="29"/>
      <c r="AD64" s="37">
        <f t="shared" si="8"/>
        <v>28069</v>
      </c>
      <c r="AE64" s="3" t="str">
        <f t="shared" ca="1" si="4"/>
        <v>49 Tahun 9 bulan 27 Hari</v>
      </c>
      <c r="AF64" s="38">
        <f t="shared" si="9"/>
        <v>50010</v>
      </c>
    </row>
    <row r="65" spans="1:32" s="306" customFormat="1" ht="32.15" customHeight="1" x14ac:dyDescent="0.35">
      <c r="A65" s="26">
        <f t="shared" si="5"/>
        <v>58</v>
      </c>
      <c r="B65" s="27" t="s">
        <v>227</v>
      </c>
      <c r="C65" s="26"/>
      <c r="D65" s="46" t="s">
        <v>256</v>
      </c>
      <c r="E65" s="24" t="s">
        <v>257</v>
      </c>
      <c r="F65" s="24" t="s">
        <v>43</v>
      </c>
      <c r="G65" s="3" t="s">
        <v>258</v>
      </c>
      <c r="H65" s="36" t="s">
        <v>259</v>
      </c>
      <c r="I65" s="33" t="s">
        <v>46</v>
      </c>
      <c r="J65" s="5" t="s">
        <v>255</v>
      </c>
      <c r="K65" s="3" t="str">
        <f t="shared" ca="1" si="0"/>
        <v xml:space="preserve">3 Tahun 8 bulan </v>
      </c>
      <c r="L65" s="30" t="s">
        <v>88</v>
      </c>
      <c r="M65" s="5" t="s">
        <v>255</v>
      </c>
      <c r="N65" s="3" t="str">
        <f t="shared" ca="1" si="1"/>
        <v xml:space="preserve">3 Tahun 8 bulan </v>
      </c>
      <c r="O65" s="4"/>
      <c r="P65" s="4" t="s">
        <v>35</v>
      </c>
      <c r="Q65" s="4" t="str">
        <f t="shared" si="2"/>
        <v>Perempuan</v>
      </c>
      <c r="R65" s="4">
        <f t="shared" si="14"/>
        <v>1</v>
      </c>
      <c r="S65" s="4" t="str">
        <f t="shared" si="13"/>
        <v>1</v>
      </c>
      <c r="T65" s="4">
        <f t="shared" si="7"/>
        <v>0</v>
      </c>
      <c r="U65" s="29"/>
      <c r="V65" s="30"/>
      <c r="W65" s="30"/>
      <c r="X65" s="30"/>
      <c r="Y65" s="30"/>
      <c r="Z65" s="30"/>
      <c r="AA65" s="30"/>
      <c r="AB65" s="29"/>
      <c r="AC65" s="29"/>
      <c r="AD65" s="37">
        <f t="shared" si="8"/>
        <v>31072</v>
      </c>
      <c r="AE65" s="3" t="str">
        <f t="shared" ca="1" si="4"/>
        <v>41 Tahun 7 bulan 7 Hari</v>
      </c>
      <c r="AF65" s="38">
        <f t="shared" si="9"/>
        <v>52994</v>
      </c>
    </row>
    <row r="66" spans="1:32" s="306" customFormat="1" ht="32.15" customHeight="1" x14ac:dyDescent="0.35">
      <c r="A66" s="26">
        <f t="shared" si="5"/>
        <v>59</v>
      </c>
      <c r="B66" s="27" t="s">
        <v>227</v>
      </c>
      <c r="C66" s="26"/>
      <c r="D66" s="46" t="s">
        <v>260</v>
      </c>
      <c r="E66" s="24" t="s">
        <v>108</v>
      </c>
      <c r="F66" s="24"/>
      <c r="G66" s="3"/>
      <c r="H66" s="36"/>
      <c r="I66" s="41"/>
      <c r="J66" s="5"/>
      <c r="K66" s="3" t="str">
        <f t="shared" ca="1" si="0"/>
        <v/>
      </c>
      <c r="L66" s="30" t="s">
        <v>88</v>
      </c>
      <c r="M66" s="5"/>
      <c r="N66" s="3" t="str">
        <f t="shared" ca="1" si="1"/>
        <v/>
      </c>
      <c r="O66" s="36"/>
      <c r="P66" s="4"/>
      <c r="Q66" s="4" t="str">
        <f t="shared" si="2"/>
        <v/>
      </c>
      <c r="R66" s="4">
        <f t="shared" si="14"/>
        <v>1</v>
      </c>
      <c r="S66" s="4" t="str">
        <f t="shared" si="13"/>
        <v>0</v>
      </c>
      <c r="T66" s="4">
        <f t="shared" si="7"/>
        <v>1</v>
      </c>
      <c r="U66" s="29"/>
      <c r="V66" s="30"/>
      <c r="W66" s="30"/>
      <c r="X66" s="30"/>
      <c r="Y66" s="30"/>
      <c r="Z66" s="30"/>
      <c r="AA66" s="30"/>
      <c r="AB66" s="29"/>
      <c r="AC66" s="29"/>
      <c r="AD66" s="37" t="str">
        <f t="shared" si="8"/>
        <v/>
      </c>
      <c r="AE66" s="3" t="str">
        <f t="shared" ca="1" si="4"/>
        <v/>
      </c>
      <c r="AF66" s="38" t="str">
        <f t="shared" si="9"/>
        <v/>
      </c>
    </row>
    <row r="67" spans="1:32" s="306" customFormat="1" ht="32.15" customHeight="1" x14ac:dyDescent="0.35">
      <c r="A67" s="26">
        <f t="shared" si="5"/>
        <v>60</v>
      </c>
      <c r="B67" s="27" t="s">
        <v>227</v>
      </c>
      <c r="C67" s="256" t="s">
        <v>261</v>
      </c>
      <c r="D67" s="257"/>
      <c r="E67" s="45" t="s">
        <v>2929</v>
      </c>
      <c r="F67" s="24" t="s">
        <v>43</v>
      </c>
      <c r="G67" s="44" t="s">
        <v>2930</v>
      </c>
      <c r="H67" s="36" t="s">
        <v>2931</v>
      </c>
      <c r="I67" s="33"/>
      <c r="J67" s="53">
        <v>46132</v>
      </c>
      <c r="K67" s="3" t="str">
        <f t="shared" ca="1" si="0"/>
        <v xml:space="preserve">0 Tahun 4 bulan </v>
      </c>
      <c r="L67" s="36" t="s">
        <v>79</v>
      </c>
      <c r="M67" s="53">
        <v>46132</v>
      </c>
      <c r="N67" s="3" t="str">
        <f t="shared" ca="1" si="1"/>
        <v xml:space="preserve">0 Tahun 4 bulan </v>
      </c>
      <c r="O67" s="4"/>
      <c r="P67" s="4" t="s">
        <v>35</v>
      </c>
      <c r="Q67" s="4" t="str">
        <f t="shared" si="2"/>
        <v>Laki-Laki</v>
      </c>
      <c r="R67" s="4">
        <f t="shared" si="14"/>
        <v>1</v>
      </c>
      <c r="S67" s="4" t="str">
        <f t="shared" si="13"/>
        <v>1</v>
      </c>
      <c r="T67" s="4">
        <f t="shared" si="7"/>
        <v>0</v>
      </c>
      <c r="U67" s="29"/>
      <c r="V67" s="30" t="s">
        <v>50</v>
      </c>
      <c r="W67" s="30"/>
      <c r="X67" s="30"/>
      <c r="Y67" s="30"/>
      <c r="Z67" s="30"/>
      <c r="AA67" s="30"/>
      <c r="AB67" s="29"/>
      <c r="AC67" s="29"/>
      <c r="AD67" s="37">
        <f t="shared" si="8"/>
        <v>29416</v>
      </c>
      <c r="AE67" s="3" t="str">
        <f t="shared" ca="1" si="4"/>
        <v>46 Tahun 1 bulan 18 Hari</v>
      </c>
      <c r="AF67" s="38">
        <f t="shared" si="9"/>
        <v>51349</v>
      </c>
    </row>
    <row r="68" spans="1:32" s="306" customFormat="1" ht="32.15" customHeight="1" x14ac:dyDescent="0.35">
      <c r="A68" s="26">
        <f t="shared" si="5"/>
        <v>61</v>
      </c>
      <c r="B68" s="27" t="s">
        <v>227</v>
      </c>
      <c r="C68" s="26"/>
      <c r="D68" s="46" t="s">
        <v>264</v>
      </c>
      <c r="E68" s="45" t="s">
        <v>265</v>
      </c>
      <c r="F68" s="24" t="s">
        <v>43</v>
      </c>
      <c r="G68" s="44" t="s">
        <v>266</v>
      </c>
      <c r="H68" s="4" t="s">
        <v>135</v>
      </c>
      <c r="I68" s="33" t="s">
        <v>267</v>
      </c>
      <c r="J68" s="5" t="s">
        <v>87</v>
      </c>
      <c r="K68" s="3" t="str">
        <f t="shared" ca="1" si="0"/>
        <v xml:space="preserve">4 Tahun 8 bulan </v>
      </c>
      <c r="L68" s="30" t="s">
        <v>88</v>
      </c>
      <c r="M68" s="5" t="s">
        <v>87</v>
      </c>
      <c r="N68" s="3" t="str">
        <f t="shared" ca="1" si="1"/>
        <v xml:space="preserve">4 Tahun 8 bulan </v>
      </c>
      <c r="O68" s="4"/>
      <c r="P68" s="4" t="s">
        <v>35</v>
      </c>
      <c r="Q68" s="4" t="str">
        <f t="shared" si="2"/>
        <v>Perempuan</v>
      </c>
      <c r="R68" s="4">
        <f t="shared" si="14"/>
        <v>1</v>
      </c>
      <c r="S68" s="4" t="str">
        <f t="shared" si="13"/>
        <v>1</v>
      </c>
      <c r="T68" s="4">
        <f t="shared" si="7"/>
        <v>0</v>
      </c>
      <c r="U68" s="29"/>
      <c r="V68" s="30"/>
      <c r="W68" s="30"/>
      <c r="X68" s="30"/>
      <c r="Y68" s="30"/>
      <c r="Z68" s="30"/>
      <c r="AA68" s="30"/>
      <c r="AB68" s="29"/>
      <c r="AC68" s="29"/>
      <c r="AD68" s="37">
        <f t="shared" si="8"/>
        <v>28029</v>
      </c>
      <c r="AE68" s="3" t="str">
        <f t="shared" ca="1" si="4"/>
        <v>49 Tahun 11 bulan 6 Hari</v>
      </c>
      <c r="AF68" s="38">
        <f t="shared" si="9"/>
        <v>49949</v>
      </c>
    </row>
    <row r="69" spans="1:32" s="306" customFormat="1" ht="32.15" customHeight="1" x14ac:dyDescent="0.35">
      <c r="A69" s="26">
        <f t="shared" si="5"/>
        <v>62</v>
      </c>
      <c r="B69" s="27" t="s">
        <v>227</v>
      </c>
      <c r="C69" s="26"/>
      <c r="D69" s="46" t="s">
        <v>268</v>
      </c>
      <c r="E69" s="45" t="s">
        <v>269</v>
      </c>
      <c r="F69" s="24" t="s">
        <v>43</v>
      </c>
      <c r="G69" s="44" t="s">
        <v>270</v>
      </c>
      <c r="H69" s="4" t="s">
        <v>94</v>
      </c>
      <c r="I69" s="33" t="s">
        <v>67</v>
      </c>
      <c r="J69" s="5" t="s">
        <v>87</v>
      </c>
      <c r="K69" s="3" t="str">
        <f t="shared" ca="1" si="0"/>
        <v xml:space="preserve">4 Tahun 8 bulan </v>
      </c>
      <c r="L69" s="30" t="s">
        <v>88</v>
      </c>
      <c r="M69" s="5" t="s">
        <v>87</v>
      </c>
      <c r="N69" s="3" t="str">
        <f t="shared" ca="1" si="1"/>
        <v xml:space="preserve">4 Tahun 8 bulan </v>
      </c>
      <c r="O69" s="4"/>
      <c r="P69" s="4" t="s">
        <v>35</v>
      </c>
      <c r="Q69" s="4" t="str">
        <f t="shared" si="2"/>
        <v>Laki-Laki</v>
      </c>
      <c r="R69" s="4">
        <f t="shared" si="14"/>
        <v>1</v>
      </c>
      <c r="S69" s="4" t="str">
        <f t="shared" si="13"/>
        <v>1</v>
      </c>
      <c r="T69" s="4">
        <f t="shared" si="7"/>
        <v>0</v>
      </c>
      <c r="U69" s="29"/>
      <c r="V69" s="30" t="s">
        <v>50</v>
      </c>
      <c r="W69" s="30"/>
      <c r="X69" s="30"/>
      <c r="Y69" s="30"/>
      <c r="Z69" s="30"/>
      <c r="AA69" s="30"/>
      <c r="AB69" s="29"/>
      <c r="AC69" s="29"/>
      <c r="AD69" s="37">
        <f t="shared" si="8"/>
        <v>28438</v>
      </c>
      <c r="AE69" s="3" t="str">
        <f t="shared" ca="1" si="4"/>
        <v>48 Tahun 9 bulan 23 Hari</v>
      </c>
      <c r="AF69" s="38">
        <f t="shared" si="9"/>
        <v>50375</v>
      </c>
    </row>
    <row r="70" spans="1:32" s="306" customFormat="1" ht="32.15" customHeight="1" x14ac:dyDescent="0.35">
      <c r="A70" s="26">
        <f t="shared" si="5"/>
        <v>63</v>
      </c>
      <c r="B70" s="27" t="s">
        <v>227</v>
      </c>
      <c r="C70" s="256" t="s">
        <v>271</v>
      </c>
      <c r="D70" s="257"/>
      <c r="E70" s="45" t="s">
        <v>272</v>
      </c>
      <c r="F70" s="24" t="s">
        <v>43</v>
      </c>
      <c r="G70" s="44" t="s">
        <v>273</v>
      </c>
      <c r="H70" s="4" t="s">
        <v>274</v>
      </c>
      <c r="I70" s="36" t="s">
        <v>86</v>
      </c>
      <c r="J70" s="5" t="s">
        <v>275</v>
      </c>
      <c r="K70" s="3" t="str">
        <f t="shared" ca="1" si="0"/>
        <v xml:space="preserve">5 Tahun 10 bulan </v>
      </c>
      <c r="L70" s="36" t="s">
        <v>79</v>
      </c>
      <c r="M70" s="5" t="s">
        <v>275</v>
      </c>
      <c r="N70" s="3" t="str">
        <f t="shared" ca="1" si="1"/>
        <v xml:space="preserve">5 Tahun 10 bulan </v>
      </c>
      <c r="O70" s="60"/>
      <c r="P70" s="4"/>
      <c r="Q70" s="4" t="str">
        <f t="shared" si="2"/>
        <v>Perempuan</v>
      </c>
      <c r="R70" s="4">
        <f t="shared" si="14"/>
        <v>1</v>
      </c>
      <c r="S70" s="4" t="str">
        <f t="shared" si="13"/>
        <v>1</v>
      </c>
      <c r="T70" s="4">
        <f t="shared" si="7"/>
        <v>0</v>
      </c>
      <c r="U70" s="29"/>
      <c r="V70" s="30"/>
      <c r="W70" s="30"/>
      <c r="X70" s="30"/>
      <c r="Y70" s="30"/>
      <c r="Z70" s="30"/>
      <c r="AA70" s="30"/>
      <c r="AB70" s="29"/>
      <c r="AC70" s="29"/>
      <c r="AD70" s="37">
        <f t="shared" si="8"/>
        <v>30941</v>
      </c>
      <c r="AE70" s="3" t="str">
        <f t="shared" ca="1" si="4"/>
        <v>41 Tahun 11 bulan 16 Hari</v>
      </c>
      <c r="AF70" s="38">
        <f t="shared" si="9"/>
        <v>52871</v>
      </c>
    </row>
    <row r="71" spans="1:32" s="306" customFormat="1" ht="32.15" customHeight="1" x14ac:dyDescent="0.35">
      <c r="A71" s="26">
        <f t="shared" si="5"/>
        <v>64</v>
      </c>
      <c r="B71" s="27" t="s">
        <v>227</v>
      </c>
      <c r="C71" s="26"/>
      <c r="D71" s="46" t="s">
        <v>276</v>
      </c>
      <c r="E71" s="24" t="s">
        <v>277</v>
      </c>
      <c r="F71" s="24" t="s">
        <v>43</v>
      </c>
      <c r="G71" s="3" t="s">
        <v>278</v>
      </c>
      <c r="H71" s="4" t="s">
        <v>279</v>
      </c>
      <c r="I71" s="61" t="s">
        <v>86</v>
      </c>
      <c r="J71" s="5" t="s">
        <v>87</v>
      </c>
      <c r="K71" s="3" t="str">
        <f t="shared" ref="K71:K134" ca="1" si="15">IF(J71="","",CONCATENATE(DATEDIF(J71,NOW(),"Y")," Tahun ",DATEDIF(J71,NOW(),"YM")," bulan "))</f>
        <v xml:space="preserve">4 Tahun 8 bulan </v>
      </c>
      <c r="L71" s="30" t="s">
        <v>88</v>
      </c>
      <c r="M71" s="5" t="s">
        <v>87</v>
      </c>
      <c r="N71" s="3" t="str">
        <f t="shared" ref="N71:N134" ca="1" si="16">IF(M71="","",CONCATENATE(DATEDIF(M71,NOW(),"Y")," Tahun ",DATEDIF(M71,NOW(),"YM")," bulan "))</f>
        <v xml:space="preserve">4 Tahun 8 bulan </v>
      </c>
      <c r="O71" s="36"/>
      <c r="P71" s="4" t="s">
        <v>35</v>
      </c>
      <c r="Q71" s="4" t="str">
        <f t="shared" ref="Q71:Q134" si="17">CONCATENATE(IF(MID(G71,17,1)="1","Laki-Laki",IF(MID(G71,17,1)="2","Perempuan",)))</f>
        <v/>
      </c>
      <c r="R71" s="4">
        <f t="shared" si="14"/>
        <v>1</v>
      </c>
      <c r="S71" s="4" t="str">
        <f t="shared" si="13"/>
        <v>1</v>
      </c>
      <c r="T71" s="4">
        <f t="shared" si="7"/>
        <v>0</v>
      </c>
      <c r="U71" s="29"/>
      <c r="V71" s="30" t="s">
        <v>50</v>
      </c>
      <c r="W71" s="30"/>
      <c r="X71" s="30"/>
      <c r="Y71" s="30"/>
      <c r="Z71" s="30"/>
      <c r="AA71" s="30"/>
      <c r="AB71" s="29"/>
      <c r="AC71" s="29"/>
      <c r="AD71" s="37">
        <f t="shared" si="8"/>
        <v>25740</v>
      </c>
      <c r="AE71" s="3" t="str">
        <f t="shared" ref="AE71:AE134" ca="1" si="18">IF(TRIM(AD71)="", "", CONCATENATE(DATEDIF(AD71,NOW(),"Y")," Tahun ",DATEDIF(AD71,NOW(),"YM")," bulan ",DATEDIF(AD71,NOW(),"MD")," Hari"))</f>
        <v>56 Tahun 2 bulan 11 Hari</v>
      </c>
      <c r="AF71" s="38">
        <f t="shared" si="9"/>
        <v>47665</v>
      </c>
    </row>
    <row r="72" spans="1:32" s="306" customFormat="1" ht="32.15" customHeight="1" x14ac:dyDescent="0.35">
      <c r="A72" s="26">
        <f t="shared" ref="A72:A135" si="19">A71+1</f>
        <v>65</v>
      </c>
      <c r="B72" s="27" t="s">
        <v>227</v>
      </c>
      <c r="C72" s="26"/>
      <c r="D72" s="46" t="s">
        <v>280</v>
      </c>
      <c r="E72" s="45" t="s">
        <v>108</v>
      </c>
      <c r="F72" s="45"/>
      <c r="G72" s="44"/>
      <c r="H72" s="4"/>
      <c r="I72" s="36"/>
      <c r="J72" s="5"/>
      <c r="K72" s="3" t="str">
        <f t="shared" ca="1" si="15"/>
        <v/>
      </c>
      <c r="L72" s="30" t="s">
        <v>88</v>
      </c>
      <c r="M72" s="5"/>
      <c r="N72" s="3" t="str">
        <f t="shared" ca="1" si="16"/>
        <v/>
      </c>
      <c r="O72" s="4"/>
      <c r="P72" s="4"/>
      <c r="Q72" s="4" t="str">
        <f t="shared" si="17"/>
        <v/>
      </c>
      <c r="R72" s="4">
        <f t="shared" si="14"/>
        <v>1</v>
      </c>
      <c r="S72" s="4" t="str">
        <f t="shared" si="13"/>
        <v>0</v>
      </c>
      <c r="T72" s="4">
        <f t="shared" si="7"/>
        <v>1</v>
      </c>
      <c r="U72" s="29"/>
      <c r="V72" s="30"/>
      <c r="W72" s="30"/>
      <c r="X72" s="30"/>
      <c r="Y72" s="30"/>
      <c r="Z72" s="30"/>
      <c r="AA72" s="30"/>
      <c r="AB72" s="29"/>
      <c r="AC72" s="29"/>
      <c r="AD72" s="37" t="str">
        <f t="shared" ref="AD72:AD135" si="20">IF(TRIM(G72)="", "", DATE(LEFT(G72,4),MID(G72,5,2),MID(G72,7,2)))</f>
        <v/>
      </c>
      <c r="AE72" s="3" t="str">
        <f t="shared" ca="1" si="18"/>
        <v/>
      </c>
      <c r="AF72" s="38" t="str">
        <f t="shared" ref="AF72:AF135" si="21">IF(TRIM(AD72)="","",DATE(YEAR(AD72)+60,MONTH(AD72)+1,1))</f>
        <v/>
      </c>
    </row>
    <row r="73" spans="1:32" s="308" customFormat="1" ht="32.15" customHeight="1" x14ac:dyDescent="0.35">
      <c r="A73" s="4"/>
      <c r="B73" s="32" t="s">
        <v>283</v>
      </c>
      <c r="C73" s="269" t="s">
        <v>284</v>
      </c>
      <c r="D73" s="270"/>
      <c r="E73" s="271" t="str">
        <f ca="1">IF(J73="","",CONCATENATE(DATEDIF(J73,NOW(),"Y")," Tahun ",DATEDIF(J73,NOW(),"YM")," bulan "))</f>
        <v/>
      </c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3"/>
    </row>
    <row r="74" spans="1:32" s="306" customFormat="1" ht="32.15" customHeight="1" x14ac:dyDescent="0.35">
      <c r="A74" s="26">
        <f>A72+1</f>
        <v>66</v>
      </c>
      <c r="B74" s="27" t="s">
        <v>283</v>
      </c>
      <c r="C74" s="264" t="s">
        <v>285</v>
      </c>
      <c r="D74" s="265"/>
      <c r="E74" s="24" t="s">
        <v>286</v>
      </c>
      <c r="F74" s="24" t="s">
        <v>43</v>
      </c>
      <c r="G74" s="3" t="s">
        <v>54</v>
      </c>
      <c r="H74" s="4" t="s">
        <v>287</v>
      </c>
      <c r="I74" s="41"/>
      <c r="J74" s="5">
        <v>46048</v>
      </c>
      <c r="K74" s="3" t="str">
        <f t="shared" ca="1" si="15"/>
        <v xml:space="preserve">0 Tahun 7 bulan </v>
      </c>
      <c r="L74" s="30" t="s">
        <v>56</v>
      </c>
      <c r="M74" s="5">
        <v>46048</v>
      </c>
      <c r="N74" s="3" t="str">
        <f t="shared" ca="1" si="16"/>
        <v xml:space="preserve">0 Tahun 7 bulan </v>
      </c>
      <c r="O74" s="30"/>
      <c r="P74" s="4" t="s">
        <v>35</v>
      </c>
      <c r="Q74" s="4" t="str">
        <f t="shared" si="17"/>
        <v>Laki-Laki</v>
      </c>
      <c r="R74" s="4">
        <f>R72</f>
        <v>1</v>
      </c>
      <c r="S74" s="4" t="str">
        <f t="shared" ref="S74:S80" si="22">IF(E74="LOWONG","0","1")</f>
        <v>1</v>
      </c>
      <c r="T74" s="4">
        <f t="shared" si="7"/>
        <v>0</v>
      </c>
      <c r="U74" s="29"/>
      <c r="V74" s="30"/>
      <c r="W74" s="30"/>
      <c r="X74" s="30"/>
      <c r="Y74" s="30"/>
      <c r="Z74" s="30"/>
      <c r="AA74" s="30"/>
      <c r="AB74" s="29"/>
      <c r="AC74" s="29"/>
      <c r="AD74" s="37">
        <f t="shared" si="20"/>
        <v>24734</v>
      </c>
      <c r="AE74" s="3" t="str">
        <f t="shared" ca="1" si="18"/>
        <v>58 Tahun 11 bulan 13 Hari</v>
      </c>
      <c r="AF74" s="38">
        <f t="shared" si="21"/>
        <v>46661</v>
      </c>
    </row>
    <row r="75" spans="1:32" s="306" customFormat="1" ht="32.15" customHeight="1" x14ac:dyDescent="0.35">
      <c r="A75" s="26">
        <f t="shared" si="19"/>
        <v>67</v>
      </c>
      <c r="B75" s="27" t="s">
        <v>283</v>
      </c>
      <c r="C75" s="264" t="s">
        <v>288</v>
      </c>
      <c r="D75" s="265"/>
      <c r="E75" s="24" t="s">
        <v>289</v>
      </c>
      <c r="F75" s="24" t="s">
        <v>43</v>
      </c>
      <c r="G75" s="4" t="s">
        <v>290</v>
      </c>
      <c r="H75" s="4" t="s">
        <v>291</v>
      </c>
      <c r="I75" s="4" t="s">
        <v>46</v>
      </c>
      <c r="J75" s="5" t="s">
        <v>292</v>
      </c>
      <c r="K75" s="3" t="str">
        <f t="shared" ca="1" si="15"/>
        <v xml:space="preserve">7 Tahun 7 bulan </v>
      </c>
      <c r="L75" s="30" t="s">
        <v>79</v>
      </c>
      <c r="M75" s="5" t="s">
        <v>292</v>
      </c>
      <c r="N75" s="3" t="str">
        <f t="shared" ca="1" si="16"/>
        <v xml:space="preserve">7 Tahun 7 bulan </v>
      </c>
      <c r="O75" s="4" t="s">
        <v>293</v>
      </c>
      <c r="P75" s="4" t="s">
        <v>35</v>
      </c>
      <c r="Q75" s="4" t="str">
        <f t="shared" si="17"/>
        <v>Laki-Laki</v>
      </c>
      <c r="R75" s="4">
        <f t="shared" si="14"/>
        <v>1</v>
      </c>
      <c r="S75" s="4" t="str">
        <f t="shared" si="22"/>
        <v>1</v>
      </c>
      <c r="T75" s="4">
        <f t="shared" si="7"/>
        <v>0</v>
      </c>
      <c r="U75" s="29"/>
      <c r="V75" s="30" t="s">
        <v>50</v>
      </c>
      <c r="W75" s="30"/>
      <c r="X75" s="30"/>
      <c r="Y75" s="30"/>
      <c r="Z75" s="30"/>
      <c r="AA75" s="30"/>
      <c r="AB75" s="29"/>
      <c r="AC75" s="29"/>
      <c r="AD75" s="37">
        <f t="shared" si="20"/>
        <v>28353</v>
      </c>
      <c r="AE75" s="3" t="str">
        <f t="shared" ca="1" si="18"/>
        <v>49 Tahun 0 bulan 16 Hari</v>
      </c>
      <c r="AF75" s="38">
        <f t="shared" si="21"/>
        <v>50284</v>
      </c>
    </row>
    <row r="76" spans="1:32" s="306" customFormat="1" ht="32.15" customHeight="1" x14ac:dyDescent="0.35">
      <c r="A76" s="26">
        <f t="shared" si="19"/>
        <v>68</v>
      </c>
      <c r="B76" s="27" t="s">
        <v>283</v>
      </c>
      <c r="C76" s="26"/>
      <c r="D76" s="50" t="s">
        <v>294</v>
      </c>
      <c r="E76" s="24" t="s">
        <v>295</v>
      </c>
      <c r="F76" s="24" t="s">
        <v>43</v>
      </c>
      <c r="G76" s="4" t="s">
        <v>296</v>
      </c>
      <c r="H76" s="4" t="s">
        <v>297</v>
      </c>
      <c r="I76" s="33" t="s">
        <v>298</v>
      </c>
      <c r="J76" s="5" t="s">
        <v>87</v>
      </c>
      <c r="K76" s="3" t="str">
        <f t="shared" ca="1" si="15"/>
        <v xml:space="preserve">4 Tahun 8 bulan </v>
      </c>
      <c r="L76" s="30" t="s">
        <v>88</v>
      </c>
      <c r="M76" s="5" t="s">
        <v>87</v>
      </c>
      <c r="N76" s="3" t="str">
        <f t="shared" ca="1" si="16"/>
        <v xml:space="preserve">4 Tahun 8 bulan </v>
      </c>
      <c r="O76" s="4"/>
      <c r="P76" s="4" t="s">
        <v>35</v>
      </c>
      <c r="Q76" s="4" t="str">
        <f t="shared" si="17"/>
        <v>Perempuan</v>
      </c>
      <c r="R76" s="4">
        <f t="shared" si="14"/>
        <v>1</v>
      </c>
      <c r="S76" s="4" t="str">
        <f t="shared" si="22"/>
        <v>1</v>
      </c>
      <c r="T76" s="4">
        <f t="shared" si="7"/>
        <v>0</v>
      </c>
      <c r="U76" s="29"/>
      <c r="V76" s="30"/>
      <c r="W76" s="30"/>
      <c r="X76" s="30"/>
      <c r="Y76" s="30"/>
      <c r="Z76" s="30"/>
      <c r="AA76" s="30"/>
      <c r="AB76" s="29"/>
      <c r="AC76" s="29"/>
      <c r="AD76" s="37">
        <f t="shared" si="20"/>
        <v>33685</v>
      </c>
      <c r="AE76" s="3" t="str">
        <f t="shared" ca="1" si="18"/>
        <v>34 Tahun 5 bulan 10 Hari</v>
      </c>
      <c r="AF76" s="38">
        <f t="shared" si="21"/>
        <v>55610</v>
      </c>
    </row>
    <row r="77" spans="1:32" s="306" customFormat="1" ht="32.15" customHeight="1" x14ac:dyDescent="0.35">
      <c r="A77" s="26">
        <f t="shared" si="19"/>
        <v>69</v>
      </c>
      <c r="B77" s="27" t="s">
        <v>283</v>
      </c>
      <c r="C77" s="26"/>
      <c r="D77" s="50" t="s">
        <v>299</v>
      </c>
      <c r="E77" s="45" t="s">
        <v>300</v>
      </c>
      <c r="F77" s="24" t="s">
        <v>43</v>
      </c>
      <c r="G77" s="44" t="s">
        <v>301</v>
      </c>
      <c r="H77" s="4" t="s">
        <v>259</v>
      </c>
      <c r="I77" s="33" t="s">
        <v>302</v>
      </c>
      <c r="J77" s="5" t="s">
        <v>87</v>
      </c>
      <c r="K77" s="3" t="str">
        <f t="shared" ca="1" si="15"/>
        <v xml:space="preserve">4 Tahun 8 bulan </v>
      </c>
      <c r="L77" s="30" t="s">
        <v>88</v>
      </c>
      <c r="M77" s="5" t="s">
        <v>87</v>
      </c>
      <c r="N77" s="3" t="str">
        <f t="shared" ca="1" si="16"/>
        <v xml:space="preserve">4 Tahun 8 bulan </v>
      </c>
      <c r="O77" s="36"/>
      <c r="P77" s="4" t="s">
        <v>35</v>
      </c>
      <c r="Q77" s="4" t="str">
        <f t="shared" si="17"/>
        <v>Perempuan</v>
      </c>
      <c r="R77" s="4">
        <f t="shared" si="14"/>
        <v>1</v>
      </c>
      <c r="S77" s="4" t="str">
        <f t="shared" si="22"/>
        <v>1</v>
      </c>
      <c r="T77" s="4">
        <f t="shared" si="7"/>
        <v>0</v>
      </c>
      <c r="U77" s="29"/>
      <c r="V77" s="30"/>
      <c r="W77" s="30"/>
      <c r="X77" s="30"/>
      <c r="Y77" s="30"/>
      <c r="Z77" s="30"/>
      <c r="AA77" s="30"/>
      <c r="AB77" s="29"/>
      <c r="AC77" s="29"/>
      <c r="AD77" s="37">
        <f t="shared" si="20"/>
        <v>29249</v>
      </c>
      <c r="AE77" s="3" t="str">
        <f t="shared" ca="1" si="18"/>
        <v>46 Tahun 7 bulan 3 Hari</v>
      </c>
      <c r="AF77" s="38">
        <f t="shared" si="21"/>
        <v>51167</v>
      </c>
    </row>
    <row r="78" spans="1:32" s="306" customFormat="1" ht="32.15" customHeight="1" x14ac:dyDescent="0.35">
      <c r="A78" s="26">
        <f t="shared" si="19"/>
        <v>70</v>
      </c>
      <c r="B78" s="27" t="s">
        <v>283</v>
      </c>
      <c r="C78" s="26"/>
      <c r="D78" s="50" t="s">
        <v>2924</v>
      </c>
      <c r="E78" s="24" t="s">
        <v>2947</v>
      </c>
      <c r="F78" s="24" t="s">
        <v>43</v>
      </c>
      <c r="G78" s="4" t="s">
        <v>2948</v>
      </c>
      <c r="H78" s="4" t="s">
        <v>135</v>
      </c>
      <c r="I78" s="4" t="s">
        <v>2949</v>
      </c>
      <c r="J78" s="5">
        <v>46198</v>
      </c>
      <c r="K78" s="3" t="str">
        <f t="shared" ca="1" si="15"/>
        <v xml:space="preserve">0 Tahun 2 bulan </v>
      </c>
      <c r="L78" s="30" t="s">
        <v>200</v>
      </c>
      <c r="M78" s="5">
        <v>46198</v>
      </c>
      <c r="N78" s="3" t="str">
        <f t="shared" ca="1" si="16"/>
        <v xml:space="preserve">0 Tahun 2 bulan </v>
      </c>
      <c r="O78" s="24"/>
      <c r="P78" s="4" t="s">
        <v>35</v>
      </c>
      <c r="Q78" s="4" t="str">
        <f t="shared" si="17"/>
        <v>Laki-Laki</v>
      </c>
      <c r="R78" s="4">
        <f t="shared" si="14"/>
        <v>1</v>
      </c>
      <c r="S78" s="4" t="str">
        <f t="shared" si="22"/>
        <v>1</v>
      </c>
      <c r="T78" s="4">
        <f t="shared" ref="T78:T146" si="23">R78-S78</f>
        <v>0</v>
      </c>
      <c r="U78" s="29"/>
      <c r="V78" s="30" t="s">
        <v>50</v>
      </c>
      <c r="W78" s="30"/>
      <c r="X78" s="30"/>
      <c r="Y78" s="30"/>
      <c r="Z78" s="30"/>
      <c r="AA78" s="30"/>
      <c r="AB78" s="29"/>
      <c r="AC78" s="29"/>
      <c r="AD78" s="37">
        <f t="shared" si="20"/>
        <v>30551</v>
      </c>
      <c r="AE78" s="3" t="str">
        <f t="shared" ca="1" si="18"/>
        <v>43 Tahun 0 bulan 9 Hari</v>
      </c>
      <c r="AF78" s="38">
        <f t="shared" si="21"/>
        <v>52475</v>
      </c>
    </row>
    <row r="79" spans="1:32" s="306" customFormat="1" ht="32.15" customHeight="1" x14ac:dyDescent="0.35">
      <c r="A79" s="26">
        <f t="shared" si="19"/>
        <v>71</v>
      </c>
      <c r="B79" s="27" t="s">
        <v>283</v>
      </c>
      <c r="C79" s="264" t="s">
        <v>304</v>
      </c>
      <c r="D79" s="265"/>
      <c r="E79" s="45" t="s">
        <v>305</v>
      </c>
      <c r="F79" s="24" t="s">
        <v>43</v>
      </c>
      <c r="G79" s="44" t="s">
        <v>306</v>
      </c>
      <c r="H79" s="4" t="s">
        <v>126</v>
      </c>
      <c r="I79" s="4" t="s">
        <v>307</v>
      </c>
      <c r="J79" s="5">
        <v>45916</v>
      </c>
      <c r="K79" s="3" t="str">
        <f t="shared" ca="1" si="15"/>
        <v xml:space="preserve">0 Tahun 11 bulan </v>
      </c>
      <c r="L79" s="30" t="s">
        <v>79</v>
      </c>
      <c r="M79" s="5">
        <v>45916</v>
      </c>
      <c r="N79" s="3" t="str">
        <f t="shared" ca="1" si="16"/>
        <v xml:space="preserve">0 Tahun 11 bulan </v>
      </c>
      <c r="O79" s="4" t="s">
        <v>81</v>
      </c>
      <c r="P79" s="4" t="s">
        <v>35</v>
      </c>
      <c r="Q79" s="4" t="str">
        <f t="shared" si="17"/>
        <v>Laki-Laki</v>
      </c>
      <c r="R79" s="4">
        <f t="shared" si="14"/>
        <v>1</v>
      </c>
      <c r="S79" s="4" t="str">
        <f t="shared" si="22"/>
        <v>1</v>
      </c>
      <c r="T79" s="4">
        <f t="shared" si="23"/>
        <v>0</v>
      </c>
      <c r="U79" s="29"/>
      <c r="V79" s="30" t="s">
        <v>50</v>
      </c>
      <c r="W79" s="30"/>
      <c r="X79" s="30"/>
      <c r="Y79" s="30"/>
      <c r="Z79" s="30"/>
      <c r="AA79" s="30"/>
      <c r="AB79" s="29"/>
      <c r="AC79" s="29"/>
      <c r="AD79" s="37">
        <f t="shared" si="20"/>
        <v>25966</v>
      </c>
      <c r="AE79" s="3" t="str">
        <f t="shared" ca="1" si="18"/>
        <v>55 Tahun 6 bulan 30 Hari</v>
      </c>
      <c r="AF79" s="38">
        <f t="shared" si="21"/>
        <v>47908</v>
      </c>
    </row>
    <row r="80" spans="1:32" s="306" customFormat="1" ht="32.15" customHeight="1" x14ac:dyDescent="0.35">
      <c r="A80" s="26">
        <f t="shared" si="19"/>
        <v>72</v>
      </c>
      <c r="B80" s="27" t="s">
        <v>283</v>
      </c>
      <c r="C80" s="264" t="s">
        <v>308</v>
      </c>
      <c r="D80" s="265"/>
      <c r="E80" s="24" t="s">
        <v>3030</v>
      </c>
      <c r="F80" s="24" t="s">
        <v>71</v>
      </c>
      <c r="G80" s="3" t="s">
        <v>3031</v>
      </c>
      <c r="H80" s="36" t="s">
        <v>3032</v>
      </c>
      <c r="I80" s="33" t="s">
        <v>1027</v>
      </c>
      <c r="J80" s="5"/>
      <c r="K80" s="3" t="str">
        <f t="shared" ca="1" si="15"/>
        <v/>
      </c>
      <c r="L80" s="30" t="s">
        <v>79</v>
      </c>
      <c r="M80" s="5"/>
      <c r="N80" s="3" t="str">
        <f t="shared" ca="1" si="16"/>
        <v/>
      </c>
      <c r="O80" s="4"/>
      <c r="P80" s="4"/>
      <c r="Q80" s="4" t="str">
        <f t="shared" si="17"/>
        <v>Laki-Laki</v>
      </c>
      <c r="R80" s="4">
        <f t="shared" si="14"/>
        <v>1</v>
      </c>
      <c r="S80" s="4" t="str">
        <f t="shared" si="22"/>
        <v>1</v>
      </c>
      <c r="T80" s="4">
        <f t="shared" si="23"/>
        <v>0</v>
      </c>
      <c r="U80" s="29"/>
      <c r="V80" s="30" t="s">
        <v>50</v>
      </c>
      <c r="W80" s="30"/>
      <c r="X80" s="30"/>
      <c r="Y80" s="30"/>
      <c r="Z80" s="30"/>
      <c r="AA80" s="30"/>
      <c r="AB80" s="29"/>
      <c r="AC80" s="29"/>
      <c r="AD80" s="37">
        <f t="shared" si="20"/>
        <v>27836</v>
      </c>
      <c r="AE80" s="3" t="str">
        <f t="shared" ca="1" si="18"/>
        <v>50 Tahun 5 bulan 15 Hari</v>
      </c>
      <c r="AF80" s="38">
        <f t="shared" si="21"/>
        <v>49766</v>
      </c>
    </row>
    <row r="81" spans="1:32" s="306" customFormat="1" ht="39.75" customHeight="1" x14ac:dyDescent="0.35">
      <c r="A81" s="26">
        <f t="shared" si="19"/>
        <v>73</v>
      </c>
      <c r="B81" s="27" t="s">
        <v>283</v>
      </c>
      <c r="C81" s="264" t="s">
        <v>309</v>
      </c>
      <c r="D81" s="265"/>
      <c r="E81" s="64" t="s">
        <v>310</v>
      </c>
      <c r="F81" s="24" t="s">
        <v>43</v>
      </c>
      <c r="G81" s="65" t="s">
        <v>1481</v>
      </c>
      <c r="H81" s="25" t="s">
        <v>2816</v>
      </c>
      <c r="I81" s="29" t="s">
        <v>46</v>
      </c>
      <c r="J81" s="5">
        <v>45993</v>
      </c>
      <c r="K81" s="3" t="str">
        <f t="shared" ca="1" si="15"/>
        <v xml:space="preserve">0 Tahun 8 bulan </v>
      </c>
      <c r="L81" s="30" t="s">
        <v>79</v>
      </c>
      <c r="M81" s="5"/>
      <c r="N81" s="3" t="str">
        <f t="shared" ca="1" si="16"/>
        <v/>
      </c>
      <c r="O81" s="36"/>
      <c r="P81" s="4" t="s">
        <v>35</v>
      </c>
      <c r="Q81" s="4" t="str">
        <f t="shared" si="17"/>
        <v>Laki-Laki</v>
      </c>
      <c r="R81" s="4">
        <f t="shared" si="14"/>
        <v>1</v>
      </c>
      <c r="S81" s="4" t="str">
        <f>IF(E79="LOWONG","0","1")</f>
        <v>1</v>
      </c>
      <c r="T81" s="4">
        <f t="shared" si="23"/>
        <v>0</v>
      </c>
      <c r="U81" s="29"/>
      <c r="V81" s="30" t="s">
        <v>50</v>
      </c>
      <c r="W81" s="30"/>
      <c r="X81" s="30"/>
      <c r="Y81" s="30"/>
      <c r="Z81" s="30"/>
      <c r="AA81" s="30"/>
      <c r="AB81" s="29"/>
      <c r="AC81" s="29"/>
      <c r="AD81" s="37">
        <f t="shared" si="20"/>
        <v>27344</v>
      </c>
      <c r="AE81" s="3" t="str">
        <f t="shared" ca="1" si="18"/>
        <v>51 Tahun 9 bulan 21 Hari</v>
      </c>
      <c r="AF81" s="38">
        <f t="shared" si="21"/>
        <v>49279</v>
      </c>
    </row>
    <row r="82" spans="1:32" s="306" customFormat="1" ht="32.15" customHeight="1" x14ac:dyDescent="0.35">
      <c r="A82" s="26">
        <f t="shared" si="19"/>
        <v>74</v>
      </c>
      <c r="B82" s="27" t="s">
        <v>283</v>
      </c>
      <c r="C82" s="264" t="s">
        <v>311</v>
      </c>
      <c r="D82" s="265"/>
      <c r="E82" s="24" t="s">
        <v>2926</v>
      </c>
      <c r="F82" s="24" t="s">
        <v>43</v>
      </c>
      <c r="G82" s="4" t="s">
        <v>2927</v>
      </c>
      <c r="H82" s="4" t="s">
        <v>2928</v>
      </c>
      <c r="I82" s="4"/>
      <c r="J82" s="5">
        <v>46133</v>
      </c>
      <c r="K82" s="3" t="str">
        <f t="shared" ca="1" si="15"/>
        <v xml:space="preserve">0 Tahun 4 bulan </v>
      </c>
      <c r="L82" s="30" t="s">
        <v>79</v>
      </c>
      <c r="M82" s="5">
        <v>46133</v>
      </c>
      <c r="N82" s="3" t="str">
        <f t="shared" ca="1" si="16"/>
        <v xml:space="preserve">0 Tahun 4 bulan </v>
      </c>
      <c r="O82" s="4" t="s">
        <v>315</v>
      </c>
      <c r="P82" s="4"/>
      <c r="Q82" s="4" t="str">
        <f t="shared" si="17"/>
        <v>Laki-Laki</v>
      </c>
      <c r="R82" s="4">
        <f t="shared" si="14"/>
        <v>1</v>
      </c>
      <c r="S82" s="4" t="str">
        <f>IF(E82="LOWONG","0","1")</f>
        <v>1</v>
      </c>
      <c r="T82" s="4">
        <f t="shared" si="23"/>
        <v>0</v>
      </c>
      <c r="U82" s="29"/>
      <c r="V82" s="30" t="s">
        <v>50</v>
      </c>
      <c r="W82" s="30"/>
      <c r="X82" s="30"/>
      <c r="Y82" s="30"/>
      <c r="Z82" s="30"/>
      <c r="AA82" s="30"/>
      <c r="AB82" s="29"/>
      <c r="AC82" s="29"/>
      <c r="AD82" s="37">
        <f t="shared" si="20"/>
        <v>29207</v>
      </c>
      <c r="AE82" s="3" t="str">
        <f t="shared" ca="1" si="18"/>
        <v>46 Tahun 8 bulan 14 Hari</v>
      </c>
      <c r="AF82" s="38">
        <f t="shared" si="21"/>
        <v>51136</v>
      </c>
    </row>
    <row r="83" spans="1:32" s="306" customFormat="1" ht="32.15" customHeight="1" x14ac:dyDescent="0.35">
      <c r="A83" s="26">
        <f t="shared" si="19"/>
        <v>75</v>
      </c>
      <c r="B83" s="27" t="s">
        <v>283</v>
      </c>
      <c r="C83" s="264" t="s">
        <v>316</v>
      </c>
      <c r="D83" s="265"/>
      <c r="E83" s="45" t="s">
        <v>317</v>
      </c>
      <c r="F83" s="24" t="s">
        <v>43</v>
      </c>
      <c r="G83" s="44" t="s">
        <v>318</v>
      </c>
      <c r="H83" s="4" t="s">
        <v>231</v>
      </c>
      <c r="I83" s="4" t="s">
        <v>232</v>
      </c>
      <c r="J83" s="5" t="s">
        <v>314</v>
      </c>
      <c r="K83" s="3" t="str">
        <f t="shared" ca="1" si="15"/>
        <v xml:space="preserve">6 Tahun 4 bulan </v>
      </c>
      <c r="L83" s="30" t="s">
        <v>79</v>
      </c>
      <c r="M83" s="5" t="s">
        <v>314</v>
      </c>
      <c r="N83" s="3" t="str">
        <f t="shared" ca="1" si="16"/>
        <v xml:space="preserve">6 Tahun 4 bulan </v>
      </c>
      <c r="O83" s="36"/>
      <c r="P83" s="4" t="s">
        <v>35</v>
      </c>
      <c r="Q83" s="4" t="str">
        <f t="shared" si="17"/>
        <v>Laki-Laki</v>
      </c>
      <c r="R83" s="4">
        <f t="shared" si="14"/>
        <v>1</v>
      </c>
      <c r="S83" s="4" t="str">
        <f>IF(E83="LOWONG","0","1")</f>
        <v>1</v>
      </c>
      <c r="T83" s="4">
        <f t="shared" si="23"/>
        <v>0</v>
      </c>
      <c r="U83" s="29"/>
      <c r="V83" s="30" t="s">
        <v>50</v>
      </c>
      <c r="W83" s="30"/>
      <c r="X83" s="30"/>
      <c r="Y83" s="30"/>
      <c r="Z83" s="30"/>
      <c r="AA83" s="30"/>
      <c r="AB83" s="29"/>
      <c r="AC83" s="29"/>
      <c r="AD83" s="37">
        <f t="shared" si="20"/>
        <v>27668</v>
      </c>
      <c r="AE83" s="3" t="str">
        <f t="shared" ca="1" si="18"/>
        <v>50 Tahun 11 bulan 0 Hari</v>
      </c>
      <c r="AF83" s="38">
        <f t="shared" si="21"/>
        <v>49614</v>
      </c>
    </row>
    <row r="84" spans="1:32" s="308" customFormat="1" ht="32.15" customHeight="1" x14ac:dyDescent="0.35">
      <c r="A84" s="4"/>
      <c r="B84" s="32" t="s">
        <v>319</v>
      </c>
      <c r="C84" s="269" t="s">
        <v>320</v>
      </c>
      <c r="D84" s="270"/>
      <c r="E84" s="24"/>
      <c r="F84" s="24"/>
      <c r="G84" s="4"/>
      <c r="H84" s="4"/>
      <c r="I84" s="33"/>
      <c r="J84" s="34"/>
      <c r="K84" s="3" t="str">
        <f t="shared" ca="1" si="15"/>
        <v/>
      </c>
      <c r="L84" s="25"/>
      <c r="M84" s="34"/>
      <c r="N84" s="3" t="str">
        <f t="shared" ca="1" si="16"/>
        <v/>
      </c>
      <c r="O84" s="4"/>
      <c r="P84" s="4"/>
      <c r="Q84" s="4"/>
      <c r="R84" s="4"/>
      <c r="S84" s="4"/>
      <c r="T84" s="4"/>
      <c r="U84" s="35"/>
      <c r="V84" s="25"/>
      <c r="W84" s="25"/>
      <c r="X84" s="25"/>
      <c r="Y84" s="25"/>
      <c r="Z84" s="25"/>
      <c r="AA84" s="25"/>
      <c r="AB84" s="35"/>
      <c r="AC84" s="35"/>
      <c r="AD84" s="37" t="str">
        <f t="shared" si="20"/>
        <v/>
      </c>
      <c r="AE84" s="3" t="str">
        <f t="shared" ca="1" si="18"/>
        <v/>
      </c>
      <c r="AF84" s="38" t="str">
        <f t="shared" si="21"/>
        <v/>
      </c>
    </row>
    <row r="85" spans="1:32" s="306" customFormat="1" ht="32.15" customHeight="1" x14ac:dyDescent="0.35">
      <c r="A85" s="26">
        <f>A83+1</f>
        <v>76</v>
      </c>
      <c r="B85" s="27" t="s">
        <v>319</v>
      </c>
      <c r="C85" s="276" t="s">
        <v>321</v>
      </c>
      <c r="D85" s="277"/>
      <c r="E85" s="45" t="s">
        <v>327</v>
      </c>
      <c r="F85" s="24" t="s">
        <v>71</v>
      </c>
      <c r="G85" s="44" t="s">
        <v>328</v>
      </c>
      <c r="H85" s="36" t="s">
        <v>126</v>
      </c>
      <c r="I85" s="48" t="s">
        <v>46</v>
      </c>
      <c r="J85" s="5">
        <v>46260</v>
      </c>
      <c r="K85" s="3" t="str">
        <f t="shared" ca="1" si="15"/>
        <v xml:space="preserve">0 Tahun 0 bulan </v>
      </c>
      <c r="L85" s="30" t="s">
        <v>56</v>
      </c>
      <c r="M85" s="5">
        <v>46260</v>
      </c>
      <c r="N85" s="3" t="str">
        <f t="shared" ca="1" si="16"/>
        <v xml:space="preserve">0 Tahun 0 bulan </v>
      </c>
      <c r="O85" s="25" t="s">
        <v>81</v>
      </c>
      <c r="P85" s="4" t="s">
        <v>35</v>
      </c>
      <c r="Q85" s="4" t="str">
        <f t="shared" si="17"/>
        <v>Laki-Laki</v>
      </c>
      <c r="R85" s="4">
        <f>R83</f>
        <v>1</v>
      </c>
      <c r="S85" s="4" t="str">
        <f t="shared" ref="S85:S101" si="24">IF(E85="LOWONG","0","1")</f>
        <v>1</v>
      </c>
      <c r="T85" s="4">
        <f t="shared" si="23"/>
        <v>0</v>
      </c>
      <c r="U85" s="29"/>
      <c r="V85" s="30"/>
      <c r="W85" s="30"/>
      <c r="X85" s="30"/>
      <c r="Y85" s="30"/>
      <c r="Z85" s="30"/>
      <c r="AA85" s="30"/>
      <c r="AB85" s="29"/>
      <c r="AC85" s="29"/>
      <c r="AD85" s="37">
        <f t="shared" si="20"/>
        <v>25911</v>
      </c>
      <c r="AE85" s="3" t="str">
        <f t="shared" ca="1" si="18"/>
        <v>55 Tahun 8 bulan 23 Hari</v>
      </c>
      <c r="AF85" s="38">
        <f t="shared" si="21"/>
        <v>47849</v>
      </c>
    </row>
    <row r="86" spans="1:32" s="306" customFormat="1" ht="32.15" customHeight="1" x14ac:dyDescent="0.35">
      <c r="A86" s="26">
        <f t="shared" si="19"/>
        <v>77</v>
      </c>
      <c r="B86" s="27" t="s">
        <v>319</v>
      </c>
      <c r="C86" s="264" t="s">
        <v>326</v>
      </c>
      <c r="D86" s="265"/>
      <c r="E86" s="45" t="s">
        <v>327</v>
      </c>
      <c r="F86" s="24" t="s">
        <v>43</v>
      </c>
      <c r="G86" s="44" t="s">
        <v>328</v>
      </c>
      <c r="H86" s="36" t="s">
        <v>126</v>
      </c>
      <c r="I86" s="48" t="s">
        <v>46</v>
      </c>
      <c r="J86" s="5" t="s">
        <v>330</v>
      </c>
      <c r="K86" s="3" t="str">
        <f t="shared" ca="1" si="15"/>
        <v xml:space="preserve">3 Tahun 8 bulan </v>
      </c>
      <c r="L86" s="30" t="s">
        <v>79</v>
      </c>
      <c r="M86" s="5" t="s">
        <v>330</v>
      </c>
      <c r="N86" s="3" t="str">
        <f t="shared" ca="1" si="16"/>
        <v xml:space="preserve">3 Tahun 8 bulan </v>
      </c>
      <c r="O86" s="4"/>
      <c r="P86" s="4" t="s">
        <v>35</v>
      </c>
      <c r="Q86" s="4" t="str">
        <f t="shared" si="17"/>
        <v>Laki-Laki</v>
      </c>
      <c r="R86" s="4">
        <f t="shared" si="14"/>
        <v>1</v>
      </c>
      <c r="S86" s="4" t="str">
        <f t="shared" si="24"/>
        <v>1</v>
      </c>
      <c r="T86" s="4">
        <f t="shared" si="23"/>
        <v>0</v>
      </c>
      <c r="U86" s="29"/>
      <c r="V86" s="30" t="s">
        <v>50</v>
      </c>
      <c r="W86" s="30"/>
      <c r="X86" s="30"/>
      <c r="Y86" s="30"/>
      <c r="Z86" s="30"/>
      <c r="AA86" s="30"/>
      <c r="AB86" s="29"/>
      <c r="AC86" s="29"/>
      <c r="AD86" s="37">
        <f t="shared" si="20"/>
        <v>25911</v>
      </c>
      <c r="AE86" s="3" t="str">
        <f t="shared" ca="1" si="18"/>
        <v>55 Tahun 8 bulan 23 Hari</v>
      </c>
      <c r="AF86" s="38">
        <f t="shared" si="21"/>
        <v>47849</v>
      </c>
    </row>
    <row r="87" spans="1:32" s="306" customFormat="1" ht="32.15" customHeight="1" x14ac:dyDescent="0.35">
      <c r="A87" s="26">
        <f t="shared" si="19"/>
        <v>78</v>
      </c>
      <c r="B87" s="27" t="s">
        <v>319</v>
      </c>
      <c r="C87" s="26"/>
      <c r="D87" s="50" t="s">
        <v>331</v>
      </c>
      <c r="E87" s="24" t="s">
        <v>3065</v>
      </c>
      <c r="F87" s="24" t="s">
        <v>43</v>
      </c>
      <c r="G87" s="4" t="s">
        <v>3066</v>
      </c>
      <c r="H87" s="4" t="s">
        <v>259</v>
      </c>
      <c r="I87" s="41" t="s">
        <v>46</v>
      </c>
      <c r="J87" s="5">
        <v>46260</v>
      </c>
      <c r="K87" s="3" t="str">
        <f t="shared" ca="1" si="15"/>
        <v xml:space="preserve">0 Tahun 0 bulan </v>
      </c>
      <c r="L87" s="30" t="s">
        <v>200</v>
      </c>
      <c r="M87" s="5"/>
      <c r="N87" s="3" t="str">
        <f t="shared" ca="1" si="16"/>
        <v/>
      </c>
      <c r="O87" s="4"/>
      <c r="P87" s="4" t="s">
        <v>35</v>
      </c>
      <c r="Q87" s="4" t="str">
        <f t="shared" si="17"/>
        <v>Laki-Laki</v>
      </c>
      <c r="R87" s="4">
        <f t="shared" si="14"/>
        <v>1</v>
      </c>
      <c r="S87" s="4" t="str">
        <f t="shared" si="24"/>
        <v>1</v>
      </c>
      <c r="T87" s="4">
        <f t="shared" si="23"/>
        <v>0</v>
      </c>
      <c r="U87" s="29"/>
      <c r="V87" s="30" t="s">
        <v>50</v>
      </c>
      <c r="W87" s="30"/>
      <c r="X87" s="30"/>
      <c r="Y87" s="30"/>
      <c r="Z87" s="30"/>
      <c r="AA87" s="30"/>
      <c r="AB87" s="29"/>
      <c r="AC87" s="29"/>
      <c r="AD87" s="37">
        <f t="shared" si="20"/>
        <v>27194</v>
      </c>
      <c r="AE87" s="3" t="str">
        <f t="shared" ca="1" si="18"/>
        <v>52 Tahun 2 bulan 18 Hari</v>
      </c>
      <c r="AF87" s="38">
        <f t="shared" si="21"/>
        <v>49126</v>
      </c>
    </row>
    <row r="88" spans="1:32" s="306" customFormat="1" ht="32.15" customHeight="1" x14ac:dyDescent="0.35">
      <c r="A88" s="26">
        <f t="shared" si="19"/>
        <v>79</v>
      </c>
      <c r="B88" s="27" t="s">
        <v>319</v>
      </c>
      <c r="C88" s="26"/>
      <c r="D88" s="50" t="s">
        <v>334</v>
      </c>
      <c r="E88" s="51" t="s">
        <v>335</v>
      </c>
      <c r="F88" s="24" t="s">
        <v>43</v>
      </c>
      <c r="G88" s="66" t="s">
        <v>336</v>
      </c>
      <c r="H88" s="4" t="s">
        <v>337</v>
      </c>
      <c r="I88" s="33" t="s">
        <v>107</v>
      </c>
      <c r="J88" s="5" t="s">
        <v>338</v>
      </c>
      <c r="K88" s="3" t="str">
        <f t="shared" ca="1" si="15"/>
        <v xml:space="preserve">2 Tahun 11 bulan </v>
      </c>
      <c r="L88" s="30" t="s">
        <v>200</v>
      </c>
      <c r="M88" s="5" t="s">
        <v>338</v>
      </c>
      <c r="N88" s="3" t="str">
        <f t="shared" ca="1" si="16"/>
        <v xml:space="preserve">2 Tahun 11 bulan </v>
      </c>
      <c r="O88" s="4"/>
      <c r="P88" s="4" t="s">
        <v>35</v>
      </c>
      <c r="Q88" s="4" t="str">
        <f t="shared" si="17"/>
        <v>Perempuan</v>
      </c>
      <c r="R88" s="4">
        <f t="shared" si="14"/>
        <v>1</v>
      </c>
      <c r="S88" s="4" t="str">
        <f t="shared" si="24"/>
        <v>1</v>
      </c>
      <c r="T88" s="4">
        <f t="shared" si="23"/>
        <v>0</v>
      </c>
      <c r="U88" s="29"/>
      <c r="V88" s="30"/>
      <c r="W88" s="30"/>
      <c r="X88" s="30"/>
      <c r="Y88" s="30"/>
      <c r="Z88" s="30"/>
      <c r="AA88" s="30"/>
      <c r="AB88" s="29"/>
      <c r="AC88" s="29"/>
      <c r="AD88" s="37">
        <f t="shared" si="20"/>
        <v>30039</v>
      </c>
      <c r="AE88" s="3" t="str">
        <f t="shared" ca="1" si="18"/>
        <v>44 Tahun 5 bulan 3 Hari</v>
      </c>
      <c r="AF88" s="38">
        <f t="shared" si="21"/>
        <v>51957</v>
      </c>
    </row>
    <row r="89" spans="1:32" s="306" customFormat="1" ht="32.15" customHeight="1" x14ac:dyDescent="0.35">
      <c r="A89" s="26">
        <f t="shared" si="19"/>
        <v>80</v>
      </c>
      <c r="B89" s="27" t="s">
        <v>319</v>
      </c>
      <c r="C89" s="26"/>
      <c r="D89" s="50" t="s">
        <v>339</v>
      </c>
      <c r="E89" s="24" t="s">
        <v>340</v>
      </c>
      <c r="F89" s="24" t="s">
        <v>43</v>
      </c>
      <c r="G89" s="4" t="s">
        <v>341</v>
      </c>
      <c r="H89" s="4" t="s">
        <v>135</v>
      </c>
      <c r="I89" s="41" t="s">
        <v>86</v>
      </c>
      <c r="J89" s="5" t="s">
        <v>338</v>
      </c>
      <c r="K89" s="3" t="str">
        <f t="shared" ca="1" si="15"/>
        <v xml:space="preserve">2 Tahun 11 bulan </v>
      </c>
      <c r="L89" s="30" t="s">
        <v>200</v>
      </c>
      <c r="M89" s="5" t="s">
        <v>338</v>
      </c>
      <c r="N89" s="3" t="str">
        <f t="shared" ca="1" si="16"/>
        <v xml:space="preserve">2 Tahun 11 bulan </v>
      </c>
      <c r="O89" s="4"/>
      <c r="P89" s="4" t="s">
        <v>35</v>
      </c>
      <c r="Q89" s="4" t="str">
        <f t="shared" si="17"/>
        <v>Laki-Laki</v>
      </c>
      <c r="R89" s="4">
        <f t="shared" si="14"/>
        <v>1</v>
      </c>
      <c r="S89" s="4" t="str">
        <f t="shared" si="24"/>
        <v>1</v>
      </c>
      <c r="T89" s="4">
        <f t="shared" si="23"/>
        <v>0</v>
      </c>
      <c r="U89" s="29"/>
      <c r="V89" s="30" t="s">
        <v>50</v>
      </c>
      <c r="W89" s="30"/>
      <c r="X89" s="30"/>
      <c r="Y89" s="30"/>
      <c r="Z89" s="30"/>
      <c r="AA89" s="30"/>
      <c r="AB89" s="29"/>
      <c r="AC89" s="29"/>
      <c r="AD89" s="37">
        <f t="shared" si="20"/>
        <v>29433</v>
      </c>
      <c r="AE89" s="3" t="str">
        <f t="shared" ca="1" si="18"/>
        <v>46 Tahun 1 bulan 1 Hari</v>
      </c>
      <c r="AF89" s="38">
        <f t="shared" si="21"/>
        <v>51349</v>
      </c>
    </row>
    <row r="90" spans="1:32" s="306" customFormat="1" ht="32.15" customHeight="1" x14ac:dyDescent="0.35">
      <c r="A90" s="26">
        <f t="shared" si="19"/>
        <v>81</v>
      </c>
      <c r="B90" s="27" t="s">
        <v>319</v>
      </c>
      <c r="C90" s="256" t="s">
        <v>342</v>
      </c>
      <c r="D90" s="257"/>
      <c r="E90" s="45" t="s">
        <v>343</v>
      </c>
      <c r="F90" s="24" t="s">
        <v>43</v>
      </c>
      <c r="G90" s="44" t="s">
        <v>344</v>
      </c>
      <c r="H90" s="4" t="s">
        <v>345</v>
      </c>
      <c r="I90" s="4" t="s">
        <v>184</v>
      </c>
      <c r="J90" s="5" t="s">
        <v>237</v>
      </c>
      <c r="K90" s="3" t="str">
        <f t="shared" ca="1" si="15"/>
        <v xml:space="preserve">4 Tahun 7 bulan </v>
      </c>
      <c r="L90" s="30" t="s">
        <v>346</v>
      </c>
      <c r="M90" s="5" t="s">
        <v>237</v>
      </c>
      <c r="N90" s="3" t="str">
        <f t="shared" ca="1" si="16"/>
        <v xml:space="preserve">4 Tahun 7 bulan </v>
      </c>
      <c r="O90" s="29"/>
      <c r="P90" s="4" t="s">
        <v>35</v>
      </c>
      <c r="Q90" s="4" t="str">
        <f t="shared" si="17"/>
        <v>Laki-Laki</v>
      </c>
      <c r="R90" s="4">
        <f t="shared" si="14"/>
        <v>1</v>
      </c>
      <c r="S90" s="4" t="str">
        <f t="shared" si="24"/>
        <v>1</v>
      </c>
      <c r="T90" s="4">
        <f t="shared" si="23"/>
        <v>0</v>
      </c>
      <c r="U90" s="29"/>
      <c r="V90" s="30" t="s">
        <v>50</v>
      </c>
      <c r="W90" s="30"/>
      <c r="X90" s="30"/>
      <c r="Y90" s="30"/>
      <c r="Z90" s="30"/>
      <c r="AA90" s="30"/>
      <c r="AB90" s="29"/>
      <c r="AC90" s="29"/>
      <c r="AD90" s="37">
        <f t="shared" si="20"/>
        <v>29997</v>
      </c>
      <c r="AE90" s="3" t="str">
        <f t="shared" ca="1" si="18"/>
        <v>44 Tahun 6 bulan 17 Hari</v>
      </c>
      <c r="AF90" s="38">
        <f t="shared" si="21"/>
        <v>51926</v>
      </c>
    </row>
    <row r="91" spans="1:32" s="306" customFormat="1" ht="32.15" customHeight="1" x14ac:dyDescent="0.35">
      <c r="A91" s="26">
        <f t="shared" si="19"/>
        <v>82</v>
      </c>
      <c r="B91" s="27" t="s">
        <v>319</v>
      </c>
      <c r="C91" s="26"/>
      <c r="D91" s="67" t="s">
        <v>347</v>
      </c>
      <c r="E91" s="45" t="s">
        <v>348</v>
      </c>
      <c r="F91" s="24" t="s">
        <v>43</v>
      </c>
      <c r="G91" s="44" t="s">
        <v>349</v>
      </c>
      <c r="H91" s="4" t="s">
        <v>241</v>
      </c>
      <c r="I91" s="4" t="s">
        <v>350</v>
      </c>
      <c r="J91" s="5" t="s">
        <v>127</v>
      </c>
      <c r="K91" s="3" t="str">
        <f t="shared" ca="1" si="15"/>
        <v xml:space="preserve">5 Tahun 6 bulan </v>
      </c>
      <c r="L91" s="30" t="s">
        <v>200</v>
      </c>
      <c r="M91" s="5" t="s">
        <v>127</v>
      </c>
      <c r="N91" s="3" t="str">
        <f t="shared" ca="1" si="16"/>
        <v xml:space="preserve">5 Tahun 6 bulan </v>
      </c>
      <c r="O91" s="36"/>
      <c r="P91" s="4" t="s">
        <v>35</v>
      </c>
      <c r="Q91" s="4" t="str">
        <f t="shared" si="17"/>
        <v>Laki-Laki</v>
      </c>
      <c r="R91" s="4">
        <f t="shared" si="14"/>
        <v>1</v>
      </c>
      <c r="S91" s="4" t="str">
        <f t="shared" si="24"/>
        <v>1</v>
      </c>
      <c r="T91" s="4">
        <f t="shared" si="23"/>
        <v>0</v>
      </c>
      <c r="U91" s="29"/>
      <c r="V91" s="30" t="s">
        <v>50</v>
      </c>
      <c r="W91" s="30"/>
      <c r="X91" s="30"/>
      <c r="Y91" s="30"/>
      <c r="Z91" s="30"/>
      <c r="AA91" s="30"/>
      <c r="AB91" s="29"/>
      <c r="AC91" s="29"/>
      <c r="AD91" s="37">
        <f t="shared" si="20"/>
        <v>30086</v>
      </c>
      <c r="AE91" s="3" t="str">
        <f t="shared" ca="1" si="18"/>
        <v>44 Tahun 3 bulan 17 Hari</v>
      </c>
      <c r="AF91" s="38">
        <f t="shared" si="21"/>
        <v>52018</v>
      </c>
    </row>
    <row r="92" spans="1:32" s="306" customFormat="1" ht="32.15" customHeight="1" x14ac:dyDescent="0.35">
      <c r="A92" s="26">
        <f t="shared" si="19"/>
        <v>83</v>
      </c>
      <c r="B92" s="27" t="s">
        <v>319</v>
      </c>
      <c r="C92" s="26"/>
      <c r="D92" s="67" t="s">
        <v>351</v>
      </c>
      <c r="E92" s="45" t="s">
        <v>352</v>
      </c>
      <c r="F92" s="24" t="s">
        <v>43</v>
      </c>
      <c r="G92" s="44" t="s">
        <v>353</v>
      </c>
      <c r="H92" s="4" t="s">
        <v>241</v>
      </c>
      <c r="I92" s="48" t="s">
        <v>86</v>
      </c>
      <c r="J92" s="5" t="s">
        <v>354</v>
      </c>
      <c r="K92" s="3" t="str">
        <f t="shared" ca="1" si="15"/>
        <v xml:space="preserve">6 Tahun 9 bulan </v>
      </c>
      <c r="L92" s="30" t="s">
        <v>200</v>
      </c>
      <c r="M92" s="5" t="s">
        <v>354</v>
      </c>
      <c r="N92" s="3" t="str">
        <f t="shared" ca="1" si="16"/>
        <v xml:space="preserve">6 Tahun 9 bulan </v>
      </c>
      <c r="O92" s="36"/>
      <c r="P92" s="4" t="s">
        <v>35</v>
      </c>
      <c r="Q92" s="4" t="str">
        <f t="shared" si="17"/>
        <v>Laki-Laki</v>
      </c>
      <c r="R92" s="4">
        <f t="shared" si="14"/>
        <v>1</v>
      </c>
      <c r="S92" s="4" t="str">
        <f t="shared" si="24"/>
        <v>1</v>
      </c>
      <c r="T92" s="4">
        <f t="shared" si="23"/>
        <v>0</v>
      </c>
      <c r="U92" s="29"/>
      <c r="V92" s="30" t="s">
        <v>50</v>
      </c>
      <c r="W92" s="30"/>
      <c r="X92" s="30"/>
      <c r="Y92" s="30"/>
      <c r="Z92" s="30"/>
      <c r="AA92" s="30"/>
      <c r="AB92" s="29"/>
      <c r="AC92" s="29"/>
      <c r="AD92" s="37">
        <f t="shared" si="20"/>
        <v>27642</v>
      </c>
      <c r="AE92" s="3" t="str">
        <f t="shared" ca="1" si="18"/>
        <v>50 Tahun 11 bulan 27 Hari</v>
      </c>
      <c r="AF92" s="38">
        <f t="shared" si="21"/>
        <v>49583</v>
      </c>
    </row>
    <row r="93" spans="1:32" s="306" customFormat="1" ht="39.75" customHeight="1" x14ac:dyDescent="0.35">
      <c r="A93" s="26">
        <f t="shared" si="19"/>
        <v>84</v>
      </c>
      <c r="B93" s="27" t="s">
        <v>319</v>
      </c>
      <c r="C93" s="256" t="s">
        <v>355</v>
      </c>
      <c r="D93" s="257"/>
      <c r="E93" s="24" t="s">
        <v>356</v>
      </c>
      <c r="F93" s="24" t="s">
        <v>43</v>
      </c>
      <c r="G93" s="3" t="s">
        <v>357</v>
      </c>
      <c r="H93" s="4" t="s">
        <v>159</v>
      </c>
      <c r="I93" s="4" t="s">
        <v>358</v>
      </c>
      <c r="J93" s="5" t="s">
        <v>338</v>
      </c>
      <c r="K93" s="3" t="str">
        <f t="shared" ca="1" si="15"/>
        <v xml:space="preserve">2 Tahun 11 bulan </v>
      </c>
      <c r="L93" s="30" t="s">
        <v>346</v>
      </c>
      <c r="M93" s="5" t="s">
        <v>338</v>
      </c>
      <c r="N93" s="3" t="str">
        <f t="shared" ca="1" si="16"/>
        <v xml:space="preserve">2 Tahun 11 bulan </v>
      </c>
      <c r="O93" s="4"/>
      <c r="P93" s="4" t="s">
        <v>35</v>
      </c>
      <c r="Q93" s="4" t="str">
        <f t="shared" si="17"/>
        <v>Laki-Laki</v>
      </c>
      <c r="R93" s="4">
        <f t="shared" si="14"/>
        <v>1</v>
      </c>
      <c r="S93" s="4" t="str">
        <f t="shared" si="24"/>
        <v>1</v>
      </c>
      <c r="T93" s="4">
        <f t="shared" si="23"/>
        <v>0</v>
      </c>
      <c r="U93" s="29"/>
      <c r="V93" s="30" t="s">
        <v>50</v>
      </c>
      <c r="W93" s="30"/>
      <c r="X93" s="30"/>
      <c r="Y93" s="30"/>
      <c r="Z93" s="30"/>
      <c r="AA93" s="30"/>
      <c r="AB93" s="29"/>
      <c r="AC93" s="29"/>
      <c r="AD93" s="37">
        <f t="shared" si="20"/>
        <v>28119</v>
      </c>
      <c r="AE93" s="3" t="str">
        <f t="shared" ca="1" si="18"/>
        <v>49 Tahun 8 bulan 7 Hari</v>
      </c>
      <c r="AF93" s="38">
        <f t="shared" si="21"/>
        <v>50041</v>
      </c>
    </row>
    <row r="94" spans="1:32" s="306" customFormat="1" ht="32.15" customHeight="1" x14ac:dyDescent="0.35">
      <c r="A94" s="26">
        <f t="shared" si="19"/>
        <v>85</v>
      </c>
      <c r="B94" s="27" t="s">
        <v>319</v>
      </c>
      <c r="C94" s="26"/>
      <c r="D94" s="67" t="s">
        <v>359</v>
      </c>
      <c r="E94" s="24" t="s">
        <v>360</v>
      </c>
      <c r="F94" s="24" t="s">
        <v>43</v>
      </c>
      <c r="G94" s="4" t="s">
        <v>361</v>
      </c>
      <c r="H94" s="4" t="s">
        <v>241</v>
      </c>
      <c r="I94" s="33" t="s">
        <v>362</v>
      </c>
      <c r="J94" s="5" t="s">
        <v>363</v>
      </c>
      <c r="K94" s="3" t="str">
        <f t="shared" ca="1" si="15"/>
        <v xml:space="preserve">4 Tahun 6 bulan </v>
      </c>
      <c r="L94" s="30" t="s">
        <v>200</v>
      </c>
      <c r="M94" s="5" t="s">
        <v>363</v>
      </c>
      <c r="N94" s="3" t="str">
        <f t="shared" ca="1" si="16"/>
        <v xml:space="preserve">4 Tahun 6 bulan </v>
      </c>
      <c r="O94" s="4"/>
      <c r="P94" s="4" t="s">
        <v>35</v>
      </c>
      <c r="Q94" s="4" t="str">
        <f t="shared" si="17"/>
        <v>Laki-Laki</v>
      </c>
      <c r="R94" s="4">
        <f t="shared" si="14"/>
        <v>1</v>
      </c>
      <c r="S94" s="4" t="str">
        <f t="shared" si="24"/>
        <v>1</v>
      </c>
      <c r="T94" s="4">
        <f t="shared" si="23"/>
        <v>0</v>
      </c>
      <c r="U94" s="29"/>
      <c r="V94" s="30" t="s">
        <v>50</v>
      </c>
      <c r="W94" s="30"/>
      <c r="X94" s="30"/>
      <c r="Y94" s="30"/>
      <c r="Z94" s="30"/>
      <c r="AA94" s="30"/>
      <c r="AB94" s="29"/>
      <c r="AC94" s="29"/>
      <c r="AD94" s="37">
        <f t="shared" si="20"/>
        <v>26945</v>
      </c>
      <c r="AE94" s="3" t="str">
        <f t="shared" ca="1" si="18"/>
        <v>52 Tahun 10 bulan 24 Hari</v>
      </c>
      <c r="AF94" s="38">
        <f t="shared" si="21"/>
        <v>48884</v>
      </c>
    </row>
    <row r="95" spans="1:32" s="306" customFormat="1" ht="36" customHeight="1" x14ac:dyDescent="0.35">
      <c r="A95" s="26">
        <f t="shared" si="19"/>
        <v>86</v>
      </c>
      <c r="B95" s="27" t="s">
        <v>319</v>
      </c>
      <c r="C95" s="26"/>
      <c r="D95" s="67" t="s">
        <v>364</v>
      </c>
      <c r="E95" s="24" t="s">
        <v>365</v>
      </c>
      <c r="F95" s="24" t="s">
        <v>43</v>
      </c>
      <c r="G95" s="4" t="s">
        <v>366</v>
      </c>
      <c r="H95" s="4" t="s">
        <v>135</v>
      </c>
      <c r="I95" s="33" t="s">
        <v>86</v>
      </c>
      <c r="J95" s="5" t="s">
        <v>363</v>
      </c>
      <c r="K95" s="3" t="str">
        <f t="shared" ca="1" si="15"/>
        <v xml:space="preserve">4 Tahun 6 bulan </v>
      </c>
      <c r="L95" s="30" t="s">
        <v>200</v>
      </c>
      <c r="M95" s="5" t="s">
        <v>363</v>
      </c>
      <c r="N95" s="3" t="str">
        <f t="shared" ca="1" si="16"/>
        <v xml:space="preserve">4 Tahun 6 bulan </v>
      </c>
      <c r="O95" s="4"/>
      <c r="P95" s="4" t="s">
        <v>35</v>
      </c>
      <c r="Q95" s="4" t="str">
        <f t="shared" si="17"/>
        <v>Laki-Laki</v>
      </c>
      <c r="R95" s="4">
        <f t="shared" si="14"/>
        <v>1</v>
      </c>
      <c r="S95" s="4" t="str">
        <f t="shared" si="24"/>
        <v>1</v>
      </c>
      <c r="T95" s="4">
        <f t="shared" si="23"/>
        <v>0</v>
      </c>
      <c r="U95" s="29"/>
      <c r="V95" s="30" t="s">
        <v>50</v>
      </c>
      <c r="W95" s="30"/>
      <c r="X95" s="30"/>
      <c r="Y95" s="30"/>
      <c r="Z95" s="30"/>
      <c r="AA95" s="30"/>
      <c r="AB95" s="29"/>
      <c r="AC95" s="29"/>
      <c r="AD95" s="37">
        <f t="shared" si="20"/>
        <v>26044</v>
      </c>
      <c r="AE95" s="3" t="str">
        <f t="shared" ca="1" si="18"/>
        <v>55 Tahun 4 bulan 11 Hari</v>
      </c>
      <c r="AF95" s="38">
        <f t="shared" si="21"/>
        <v>47969</v>
      </c>
    </row>
    <row r="96" spans="1:32" s="306" customFormat="1" ht="32.15" customHeight="1" x14ac:dyDescent="0.35">
      <c r="A96" s="26">
        <f t="shared" si="19"/>
        <v>87</v>
      </c>
      <c r="B96" s="27" t="s">
        <v>319</v>
      </c>
      <c r="C96" s="256" t="s">
        <v>367</v>
      </c>
      <c r="D96" s="257"/>
      <c r="E96" s="45" t="s">
        <v>1099</v>
      </c>
      <c r="F96" s="24" t="s">
        <v>43</v>
      </c>
      <c r="G96" s="44" t="s">
        <v>1100</v>
      </c>
      <c r="H96" s="4" t="s">
        <v>231</v>
      </c>
      <c r="I96" s="33" t="s">
        <v>46</v>
      </c>
      <c r="J96" s="5">
        <v>46260</v>
      </c>
      <c r="K96" s="3" t="str">
        <f t="shared" ca="1" si="15"/>
        <v xml:space="preserve">0 Tahun 0 bulan </v>
      </c>
      <c r="L96" s="30" t="s">
        <v>346</v>
      </c>
      <c r="M96" s="5"/>
      <c r="N96" s="3" t="str">
        <f t="shared" ca="1" si="16"/>
        <v/>
      </c>
      <c r="O96" s="4"/>
      <c r="P96" s="4" t="s">
        <v>35</v>
      </c>
      <c r="Q96" s="4" t="str">
        <f t="shared" si="17"/>
        <v>Laki-Laki</v>
      </c>
      <c r="R96" s="4">
        <f t="shared" si="14"/>
        <v>1</v>
      </c>
      <c r="S96" s="4" t="str">
        <f t="shared" si="24"/>
        <v>1</v>
      </c>
      <c r="T96" s="4">
        <f t="shared" si="23"/>
        <v>0</v>
      </c>
      <c r="U96" s="29"/>
      <c r="V96" s="30" t="s">
        <v>50</v>
      </c>
      <c r="W96" s="30"/>
      <c r="X96" s="30"/>
      <c r="Y96" s="30"/>
      <c r="Z96" s="30"/>
      <c r="AA96" s="30"/>
      <c r="AB96" s="29"/>
      <c r="AC96" s="29"/>
      <c r="AD96" s="37">
        <f t="shared" si="20"/>
        <v>27527</v>
      </c>
      <c r="AE96" s="3" t="str">
        <f t="shared" ca="1" si="18"/>
        <v>51 Tahun 3 bulan 19 Hari</v>
      </c>
      <c r="AF96" s="38">
        <f t="shared" si="21"/>
        <v>49461</v>
      </c>
    </row>
    <row r="97" spans="1:32" s="306" customFormat="1" ht="32.15" customHeight="1" x14ac:dyDescent="0.35">
      <c r="A97" s="26">
        <f t="shared" si="19"/>
        <v>88</v>
      </c>
      <c r="B97" s="27" t="s">
        <v>319</v>
      </c>
      <c r="C97" s="26"/>
      <c r="D97" s="67" t="s">
        <v>370</v>
      </c>
      <c r="E97" s="45" t="s">
        <v>371</v>
      </c>
      <c r="F97" s="24" t="s">
        <v>43</v>
      </c>
      <c r="G97" s="44" t="s">
        <v>372</v>
      </c>
      <c r="H97" s="36" t="s">
        <v>135</v>
      </c>
      <c r="I97" s="4" t="s">
        <v>350</v>
      </c>
      <c r="J97" s="5" t="s">
        <v>127</v>
      </c>
      <c r="K97" s="3" t="str">
        <f t="shared" ca="1" si="15"/>
        <v xml:space="preserve">5 Tahun 6 bulan </v>
      </c>
      <c r="L97" s="30" t="s">
        <v>200</v>
      </c>
      <c r="M97" s="5" t="s">
        <v>127</v>
      </c>
      <c r="N97" s="3" t="str">
        <f t="shared" ca="1" si="16"/>
        <v xml:space="preserve">5 Tahun 6 bulan </v>
      </c>
      <c r="O97" s="36"/>
      <c r="P97" s="4" t="s">
        <v>35</v>
      </c>
      <c r="Q97" s="4" t="str">
        <f t="shared" si="17"/>
        <v>Laki-Laki</v>
      </c>
      <c r="R97" s="4">
        <f t="shared" si="14"/>
        <v>1</v>
      </c>
      <c r="S97" s="4" t="str">
        <f t="shared" si="24"/>
        <v>1</v>
      </c>
      <c r="T97" s="4">
        <f t="shared" si="23"/>
        <v>0</v>
      </c>
      <c r="U97" s="29"/>
      <c r="V97" s="30" t="s">
        <v>50</v>
      </c>
      <c r="W97" s="30"/>
      <c r="X97" s="30"/>
      <c r="Y97" s="30"/>
      <c r="Z97" s="30"/>
      <c r="AA97" s="30"/>
      <c r="AB97" s="29"/>
      <c r="AC97" s="29"/>
      <c r="AD97" s="37">
        <f t="shared" si="20"/>
        <v>30091</v>
      </c>
      <c r="AE97" s="3" t="str">
        <f t="shared" ca="1" si="18"/>
        <v>44 Tahun 3 bulan 12 Hari</v>
      </c>
      <c r="AF97" s="38">
        <f t="shared" si="21"/>
        <v>52018</v>
      </c>
    </row>
    <row r="98" spans="1:32" s="306" customFormat="1" ht="32.15" customHeight="1" x14ac:dyDescent="0.35">
      <c r="A98" s="26">
        <f t="shared" si="19"/>
        <v>89</v>
      </c>
      <c r="B98" s="27" t="s">
        <v>319</v>
      </c>
      <c r="C98" s="26"/>
      <c r="D98" s="67" t="s">
        <v>373</v>
      </c>
      <c r="E98" s="45" t="s">
        <v>3024</v>
      </c>
      <c r="F98" s="24" t="s">
        <v>43</v>
      </c>
      <c r="G98" s="44" t="s">
        <v>374</v>
      </c>
      <c r="H98" s="36" t="s">
        <v>375</v>
      </c>
      <c r="I98" s="4" t="s">
        <v>368</v>
      </c>
      <c r="J98" s="5" t="s">
        <v>199</v>
      </c>
      <c r="K98" s="3" t="str">
        <f t="shared" ca="1" si="15"/>
        <v xml:space="preserve">3 Tahun 11 bulan </v>
      </c>
      <c r="L98" s="30" t="s">
        <v>200</v>
      </c>
      <c r="M98" s="5" t="s">
        <v>199</v>
      </c>
      <c r="N98" s="3" t="str">
        <f t="shared" ca="1" si="16"/>
        <v xml:space="preserve">3 Tahun 11 bulan </v>
      </c>
      <c r="O98" s="36"/>
      <c r="P98" s="4" t="s">
        <v>35</v>
      </c>
      <c r="Q98" s="4" t="str">
        <f t="shared" si="17"/>
        <v>Laki-Laki</v>
      </c>
      <c r="R98" s="4">
        <f t="shared" si="14"/>
        <v>1</v>
      </c>
      <c r="S98" s="4" t="str">
        <f t="shared" si="24"/>
        <v>1</v>
      </c>
      <c r="T98" s="4">
        <f t="shared" si="23"/>
        <v>0</v>
      </c>
      <c r="U98" s="29"/>
      <c r="V98" s="30" t="s">
        <v>50</v>
      </c>
      <c r="W98" s="30"/>
      <c r="X98" s="30"/>
      <c r="Y98" s="30"/>
      <c r="Z98" s="30"/>
      <c r="AA98" s="30"/>
      <c r="AB98" s="29"/>
      <c r="AC98" s="29"/>
      <c r="AD98" s="37">
        <f t="shared" si="20"/>
        <v>28023</v>
      </c>
      <c r="AE98" s="3" t="str">
        <f t="shared" ca="1" si="18"/>
        <v>49 Tahun 11 bulan 12 Hari</v>
      </c>
      <c r="AF98" s="38">
        <f t="shared" si="21"/>
        <v>49949</v>
      </c>
    </row>
    <row r="99" spans="1:32" s="306" customFormat="1" ht="32.15" customHeight="1" x14ac:dyDescent="0.35">
      <c r="A99" s="26">
        <f t="shared" si="19"/>
        <v>90</v>
      </c>
      <c r="B99" s="27" t="s">
        <v>319</v>
      </c>
      <c r="C99" s="256" t="s">
        <v>376</v>
      </c>
      <c r="D99" s="257"/>
      <c r="E99" s="24" t="s">
        <v>377</v>
      </c>
      <c r="F99" s="24" t="s">
        <v>43</v>
      </c>
      <c r="G99" s="4" t="s">
        <v>378</v>
      </c>
      <c r="H99" s="4" t="s">
        <v>379</v>
      </c>
      <c r="I99" s="41" t="s">
        <v>46</v>
      </c>
      <c r="J99" s="5" t="s">
        <v>338</v>
      </c>
      <c r="K99" s="3" t="str">
        <f t="shared" ca="1" si="15"/>
        <v xml:space="preserve">2 Tahun 11 bulan </v>
      </c>
      <c r="L99" s="30" t="s">
        <v>346</v>
      </c>
      <c r="M99" s="5" t="s">
        <v>338</v>
      </c>
      <c r="N99" s="3" t="str">
        <f t="shared" ca="1" si="16"/>
        <v xml:space="preserve">2 Tahun 11 bulan </v>
      </c>
      <c r="O99" s="36"/>
      <c r="P99" s="4" t="s">
        <v>35</v>
      </c>
      <c r="Q99" s="4" t="str">
        <f t="shared" si="17"/>
        <v>Laki-Laki</v>
      </c>
      <c r="R99" s="4">
        <f t="shared" si="14"/>
        <v>1</v>
      </c>
      <c r="S99" s="4" t="str">
        <f t="shared" si="24"/>
        <v>1</v>
      </c>
      <c r="T99" s="4">
        <f t="shared" si="23"/>
        <v>0</v>
      </c>
      <c r="U99" s="29"/>
      <c r="V99" s="30" t="s">
        <v>50</v>
      </c>
      <c r="W99" s="30"/>
      <c r="X99" s="30"/>
      <c r="Y99" s="30"/>
      <c r="Z99" s="30"/>
      <c r="AA99" s="30"/>
      <c r="AB99" s="29"/>
      <c r="AC99" s="29"/>
      <c r="AD99" s="37">
        <f t="shared" si="20"/>
        <v>27284</v>
      </c>
      <c r="AE99" s="3" t="str">
        <f t="shared" ca="1" si="18"/>
        <v>51 Tahun 11 bulan 20 Hari</v>
      </c>
      <c r="AF99" s="38">
        <f t="shared" si="21"/>
        <v>49218</v>
      </c>
    </row>
    <row r="100" spans="1:32" s="306" customFormat="1" ht="32.15" customHeight="1" x14ac:dyDescent="0.35">
      <c r="A100" s="26">
        <f t="shared" si="19"/>
        <v>91</v>
      </c>
      <c r="B100" s="27" t="s">
        <v>319</v>
      </c>
      <c r="C100" s="26"/>
      <c r="D100" s="67" t="s">
        <v>380</v>
      </c>
      <c r="E100" s="24" t="s">
        <v>381</v>
      </c>
      <c r="F100" s="24" t="s">
        <v>43</v>
      </c>
      <c r="G100" s="4" t="s">
        <v>382</v>
      </c>
      <c r="H100" s="4" t="s">
        <v>259</v>
      </c>
      <c r="I100" s="41" t="s">
        <v>383</v>
      </c>
      <c r="J100" s="5" t="s">
        <v>338</v>
      </c>
      <c r="K100" s="3" t="str">
        <f t="shared" ca="1" si="15"/>
        <v xml:space="preserve">2 Tahun 11 bulan </v>
      </c>
      <c r="L100" s="30" t="s">
        <v>200</v>
      </c>
      <c r="M100" s="5" t="s">
        <v>338</v>
      </c>
      <c r="N100" s="3" t="str">
        <f t="shared" ca="1" si="16"/>
        <v xml:space="preserve">2 Tahun 11 bulan </v>
      </c>
      <c r="O100" s="4"/>
      <c r="P100" s="4" t="s">
        <v>35</v>
      </c>
      <c r="Q100" s="4" t="str">
        <f t="shared" si="17"/>
        <v>Laki-Laki</v>
      </c>
      <c r="R100" s="4">
        <f t="shared" si="14"/>
        <v>1</v>
      </c>
      <c r="S100" s="4" t="str">
        <f t="shared" si="24"/>
        <v>1</v>
      </c>
      <c r="T100" s="4">
        <f t="shared" si="23"/>
        <v>0</v>
      </c>
      <c r="U100" s="29"/>
      <c r="V100" s="30" t="s">
        <v>50</v>
      </c>
      <c r="W100" s="30"/>
      <c r="X100" s="30"/>
      <c r="Y100" s="30"/>
      <c r="Z100" s="30"/>
      <c r="AA100" s="30"/>
      <c r="AB100" s="29"/>
      <c r="AC100" s="29"/>
      <c r="AD100" s="37">
        <f t="shared" si="20"/>
        <v>29384</v>
      </c>
      <c r="AE100" s="3" t="str">
        <f t="shared" ca="1" si="18"/>
        <v>46 Tahun 2 bulan 20 Hari</v>
      </c>
      <c r="AF100" s="38">
        <f t="shared" si="21"/>
        <v>51318</v>
      </c>
    </row>
    <row r="101" spans="1:32" s="306" customFormat="1" ht="32.15" customHeight="1" x14ac:dyDescent="0.35">
      <c r="A101" s="26">
        <f t="shared" si="19"/>
        <v>92</v>
      </c>
      <c r="B101" s="27" t="s">
        <v>319</v>
      </c>
      <c r="C101" s="26"/>
      <c r="D101" s="67" t="s">
        <v>384</v>
      </c>
      <c r="E101" s="24" t="s">
        <v>3086</v>
      </c>
      <c r="F101" s="24" t="s">
        <v>43</v>
      </c>
      <c r="G101" s="3" t="s">
        <v>3087</v>
      </c>
      <c r="H101" s="4" t="s">
        <v>385</v>
      </c>
      <c r="I101" s="4" t="s">
        <v>86</v>
      </c>
      <c r="J101" s="5">
        <v>46260</v>
      </c>
      <c r="K101" s="3" t="str">
        <f t="shared" ca="1" si="15"/>
        <v xml:space="preserve">0 Tahun 0 bulan </v>
      </c>
      <c r="L101" s="30" t="s">
        <v>200</v>
      </c>
      <c r="M101" s="5"/>
      <c r="N101" s="3" t="str">
        <f t="shared" ca="1" si="16"/>
        <v/>
      </c>
      <c r="O101" s="4"/>
      <c r="P101" s="4" t="s">
        <v>35</v>
      </c>
      <c r="Q101" s="4" t="str">
        <f t="shared" si="17"/>
        <v>Laki-Laki</v>
      </c>
      <c r="R101" s="4">
        <f t="shared" si="14"/>
        <v>1</v>
      </c>
      <c r="S101" s="4" t="str">
        <f t="shared" si="24"/>
        <v>1</v>
      </c>
      <c r="T101" s="4">
        <f t="shared" si="23"/>
        <v>0</v>
      </c>
      <c r="U101" s="29"/>
      <c r="V101" s="30" t="s">
        <v>50</v>
      </c>
      <c r="W101" s="30"/>
      <c r="X101" s="30"/>
      <c r="Y101" s="30"/>
      <c r="Z101" s="30"/>
      <c r="AA101" s="30"/>
      <c r="AB101" s="29"/>
      <c r="AC101" s="29"/>
      <c r="AD101" s="37">
        <f t="shared" si="20"/>
        <v>27207</v>
      </c>
      <c r="AE101" s="3" t="str">
        <f t="shared" ca="1" si="18"/>
        <v>52 Tahun 2 bulan 5 Hari</v>
      </c>
      <c r="AF101" s="38">
        <f t="shared" si="21"/>
        <v>49126</v>
      </c>
    </row>
    <row r="102" spans="1:32" s="308" customFormat="1" ht="32.15" customHeight="1" x14ac:dyDescent="0.35">
      <c r="A102" s="4"/>
      <c r="B102" s="68" t="s">
        <v>387</v>
      </c>
      <c r="C102" s="269" t="s">
        <v>388</v>
      </c>
      <c r="D102" s="270"/>
      <c r="E102" s="271" t="str">
        <f ca="1">IF(J102="","",CONCATENATE(DATEDIF(J102,NOW(),"Y")," Tahun ",DATEDIF(J102,NOW(),"YM")," bulan "))</f>
        <v/>
      </c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3"/>
    </row>
    <row r="103" spans="1:32" s="306" customFormat="1" ht="32.15" customHeight="1" x14ac:dyDescent="0.35">
      <c r="A103" s="26">
        <f>A101+1</f>
        <v>93</v>
      </c>
      <c r="B103" s="27" t="s">
        <v>387</v>
      </c>
      <c r="C103" s="278" t="s">
        <v>389</v>
      </c>
      <c r="D103" s="279"/>
      <c r="E103" s="24" t="s">
        <v>390</v>
      </c>
      <c r="F103" s="24" t="s">
        <v>43</v>
      </c>
      <c r="G103" s="3" t="s">
        <v>391</v>
      </c>
      <c r="H103" s="4" t="s">
        <v>287</v>
      </c>
      <c r="I103" s="41"/>
      <c r="J103" s="5" t="s">
        <v>392</v>
      </c>
      <c r="K103" s="3" t="str">
        <f t="shared" ca="1" si="15"/>
        <v xml:space="preserve">0 Tahun 7 bulan </v>
      </c>
      <c r="L103" s="30" t="s">
        <v>56</v>
      </c>
      <c r="M103" s="5" t="s">
        <v>392</v>
      </c>
      <c r="N103" s="3" t="str">
        <f t="shared" ca="1" si="16"/>
        <v xml:space="preserve">0 Tahun 7 bulan </v>
      </c>
      <c r="O103" s="4"/>
      <c r="P103" s="4" t="s">
        <v>35</v>
      </c>
      <c r="Q103" s="4" t="str">
        <f t="shared" si="17"/>
        <v>Laki-Laki</v>
      </c>
      <c r="R103" s="4">
        <f>R101</f>
        <v>1</v>
      </c>
      <c r="S103" s="4" t="str">
        <f t="shared" ref="S103:S114" si="25">IF(E103="LOWONG","0","1")</f>
        <v>1</v>
      </c>
      <c r="T103" s="4">
        <f t="shared" si="23"/>
        <v>0</v>
      </c>
      <c r="U103" s="29"/>
      <c r="V103" s="30" t="s">
        <v>50</v>
      </c>
      <c r="W103" s="30"/>
      <c r="X103" s="30"/>
      <c r="Y103" s="30"/>
      <c r="Z103" s="30"/>
      <c r="AA103" s="30"/>
      <c r="AB103" s="29"/>
      <c r="AC103" s="29"/>
      <c r="AD103" s="37">
        <f t="shared" si="20"/>
        <v>25443</v>
      </c>
      <c r="AE103" s="3" t="str">
        <f t="shared" ca="1" si="18"/>
        <v>57 Tahun 0 bulan 4 Hari</v>
      </c>
      <c r="AF103" s="38">
        <f t="shared" si="21"/>
        <v>47362</v>
      </c>
    </row>
    <row r="104" spans="1:32" s="306" customFormat="1" ht="32.15" customHeight="1" x14ac:dyDescent="0.35">
      <c r="A104" s="26">
        <f t="shared" si="19"/>
        <v>94</v>
      </c>
      <c r="B104" s="27" t="s">
        <v>387</v>
      </c>
      <c r="C104" s="256" t="s">
        <v>393</v>
      </c>
      <c r="D104" s="257"/>
      <c r="E104" s="51" t="s">
        <v>394</v>
      </c>
      <c r="F104" s="24" t="s">
        <v>43</v>
      </c>
      <c r="G104" s="66" t="s">
        <v>395</v>
      </c>
      <c r="H104" s="4" t="s">
        <v>396</v>
      </c>
      <c r="I104" s="33" t="s">
        <v>198</v>
      </c>
      <c r="J104" s="5" t="s">
        <v>397</v>
      </c>
      <c r="K104" s="3" t="str">
        <f t="shared" ca="1" si="15"/>
        <v xml:space="preserve">5 Tahun 7 bulan </v>
      </c>
      <c r="L104" s="30" t="s">
        <v>79</v>
      </c>
      <c r="M104" s="5" t="s">
        <v>397</v>
      </c>
      <c r="N104" s="3" t="str">
        <f t="shared" ca="1" si="16"/>
        <v xml:space="preserve">5 Tahun 7 bulan </v>
      </c>
      <c r="O104" s="4"/>
      <c r="P104" s="4" t="s">
        <v>35</v>
      </c>
      <c r="Q104" s="4" t="str">
        <f t="shared" si="17"/>
        <v>Laki-Laki</v>
      </c>
      <c r="R104" s="4">
        <f t="shared" si="14"/>
        <v>1</v>
      </c>
      <c r="S104" s="4" t="str">
        <f t="shared" si="25"/>
        <v>1</v>
      </c>
      <c r="T104" s="4">
        <f t="shared" si="23"/>
        <v>0</v>
      </c>
      <c r="U104" s="29"/>
      <c r="V104" s="30" t="s">
        <v>50</v>
      </c>
      <c r="W104" s="30"/>
      <c r="X104" s="30"/>
      <c r="Y104" s="30"/>
      <c r="Z104" s="30"/>
      <c r="AA104" s="30"/>
      <c r="AB104" s="29"/>
      <c r="AC104" s="29"/>
      <c r="AD104" s="37">
        <f t="shared" si="20"/>
        <v>31848</v>
      </c>
      <c r="AE104" s="3" t="str">
        <f t="shared" ca="1" si="18"/>
        <v>39 Tahun 5 bulan 20 Hari</v>
      </c>
      <c r="AF104" s="38">
        <f t="shared" si="21"/>
        <v>53783</v>
      </c>
    </row>
    <row r="105" spans="1:32" s="306" customFormat="1" ht="32.15" customHeight="1" x14ac:dyDescent="0.35">
      <c r="A105" s="26">
        <f t="shared" si="19"/>
        <v>95</v>
      </c>
      <c r="B105" s="27" t="s">
        <v>387</v>
      </c>
      <c r="C105" s="26"/>
      <c r="D105" s="50" t="s">
        <v>398</v>
      </c>
      <c r="E105" s="24" t="s">
        <v>399</v>
      </c>
      <c r="F105" s="24" t="s">
        <v>43</v>
      </c>
      <c r="G105" s="4" t="s">
        <v>400</v>
      </c>
      <c r="H105" s="4" t="s">
        <v>401</v>
      </c>
      <c r="I105" s="41" t="s">
        <v>86</v>
      </c>
      <c r="J105" s="5" t="s">
        <v>386</v>
      </c>
      <c r="K105" s="3" t="str">
        <f t="shared" ca="1" si="15"/>
        <v xml:space="preserve">5 Tahun 5 bulan </v>
      </c>
      <c r="L105" s="30" t="s">
        <v>200</v>
      </c>
      <c r="M105" s="5" t="s">
        <v>386</v>
      </c>
      <c r="N105" s="3" t="str">
        <f t="shared" ca="1" si="16"/>
        <v xml:space="preserve">5 Tahun 5 bulan </v>
      </c>
      <c r="O105" s="4"/>
      <c r="P105" s="4" t="s">
        <v>35</v>
      </c>
      <c r="Q105" s="4" t="str">
        <f t="shared" si="17"/>
        <v>Laki-Laki</v>
      </c>
      <c r="R105" s="4">
        <f t="shared" si="14"/>
        <v>1</v>
      </c>
      <c r="S105" s="4" t="str">
        <f t="shared" si="25"/>
        <v>1</v>
      </c>
      <c r="T105" s="4">
        <f t="shared" si="23"/>
        <v>0</v>
      </c>
      <c r="U105" s="29"/>
      <c r="V105" s="30" t="s">
        <v>50</v>
      </c>
      <c r="W105" s="30"/>
      <c r="X105" s="30"/>
      <c r="Y105" s="30"/>
      <c r="Z105" s="30"/>
      <c r="AA105" s="30"/>
      <c r="AB105" s="29"/>
      <c r="AC105" s="29"/>
      <c r="AD105" s="37">
        <f t="shared" si="20"/>
        <v>29347</v>
      </c>
      <c r="AE105" s="3" t="str">
        <f t="shared" ca="1" si="18"/>
        <v>46 Tahun 3 bulan 26 Hari</v>
      </c>
      <c r="AF105" s="38">
        <f t="shared" si="21"/>
        <v>51288</v>
      </c>
    </row>
    <row r="106" spans="1:32" s="306" customFormat="1" ht="32.15" customHeight="1" x14ac:dyDescent="0.35">
      <c r="A106" s="26">
        <f t="shared" si="19"/>
        <v>96</v>
      </c>
      <c r="B106" s="27" t="s">
        <v>387</v>
      </c>
      <c r="C106" s="26"/>
      <c r="D106" s="50" t="s">
        <v>402</v>
      </c>
      <c r="E106" s="24" t="s">
        <v>403</v>
      </c>
      <c r="F106" s="24" t="s">
        <v>43</v>
      </c>
      <c r="G106" s="4" t="s">
        <v>404</v>
      </c>
      <c r="H106" s="4" t="s">
        <v>85</v>
      </c>
      <c r="I106" s="4" t="s">
        <v>86</v>
      </c>
      <c r="J106" s="5" t="s">
        <v>127</v>
      </c>
      <c r="K106" s="3" t="str">
        <f t="shared" ca="1" si="15"/>
        <v xml:space="preserve">5 Tahun 6 bulan </v>
      </c>
      <c r="L106" s="30" t="s">
        <v>200</v>
      </c>
      <c r="M106" s="5" t="s">
        <v>127</v>
      </c>
      <c r="N106" s="3" t="str">
        <f t="shared" ca="1" si="16"/>
        <v xml:space="preserve">5 Tahun 6 bulan </v>
      </c>
      <c r="O106" s="4"/>
      <c r="P106" s="4" t="s">
        <v>35</v>
      </c>
      <c r="Q106" s="4" t="str">
        <f t="shared" si="17"/>
        <v>Perempuan</v>
      </c>
      <c r="R106" s="4">
        <f t="shared" si="14"/>
        <v>1</v>
      </c>
      <c r="S106" s="4" t="str">
        <f t="shared" si="25"/>
        <v>1</v>
      </c>
      <c r="T106" s="4">
        <f t="shared" si="23"/>
        <v>0</v>
      </c>
      <c r="U106" s="29"/>
      <c r="V106" s="30"/>
      <c r="W106" s="30"/>
      <c r="X106" s="30"/>
      <c r="Y106" s="30"/>
      <c r="Z106" s="30"/>
      <c r="AA106" s="30"/>
      <c r="AB106" s="29"/>
      <c r="AC106" s="29"/>
      <c r="AD106" s="37">
        <f t="shared" si="20"/>
        <v>33143</v>
      </c>
      <c r="AE106" s="3" t="str">
        <f t="shared" ca="1" si="18"/>
        <v>35 Tahun 11 bulan 5 Hari</v>
      </c>
      <c r="AF106" s="38">
        <f t="shared" si="21"/>
        <v>55062</v>
      </c>
    </row>
    <row r="107" spans="1:32" s="306" customFormat="1" ht="32.15" customHeight="1" x14ac:dyDescent="0.35">
      <c r="A107" s="26">
        <f t="shared" si="19"/>
        <v>97</v>
      </c>
      <c r="B107" s="27" t="s">
        <v>387</v>
      </c>
      <c r="C107" s="256" t="s">
        <v>405</v>
      </c>
      <c r="D107" s="257"/>
      <c r="E107" s="24" t="s">
        <v>262</v>
      </c>
      <c r="F107" s="24" t="s">
        <v>43</v>
      </c>
      <c r="G107" s="3" t="s">
        <v>263</v>
      </c>
      <c r="H107" s="4" t="s">
        <v>181</v>
      </c>
      <c r="I107" s="33"/>
      <c r="J107" s="5">
        <v>46132</v>
      </c>
      <c r="K107" s="3" t="str">
        <f t="shared" ca="1" si="15"/>
        <v xml:space="preserve">0 Tahun 4 bulan </v>
      </c>
      <c r="L107" s="30" t="s">
        <v>346</v>
      </c>
      <c r="M107" s="5">
        <v>46132</v>
      </c>
      <c r="N107" s="3" t="str">
        <f t="shared" ca="1" si="16"/>
        <v xml:space="preserve">0 Tahun 4 bulan </v>
      </c>
      <c r="O107" s="4"/>
      <c r="P107" s="4" t="s">
        <v>35</v>
      </c>
      <c r="Q107" s="4" t="str">
        <f t="shared" si="17"/>
        <v>Laki-Laki</v>
      </c>
      <c r="R107" s="4">
        <f t="shared" si="14"/>
        <v>1</v>
      </c>
      <c r="S107" s="4" t="str">
        <f t="shared" si="25"/>
        <v>1</v>
      </c>
      <c r="T107" s="4">
        <f t="shared" si="23"/>
        <v>0</v>
      </c>
      <c r="U107" s="29"/>
      <c r="V107" s="30" t="s">
        <v>50</v>
      </c>
      <c r="W107" s="30"/>
      <c r="X107" s="30"/>
      <c r="Y107" s="30"/>
      <c r="Z107" s="30"/>
      <c r="AA107" s="30"/>
      <c r="AB107" s="29"/>
      <c r="AC107" s="29"/>
      <c r="AD107" s="37">
        <f t="shared" si="20"/>
        <v>25285</v>
      </c>
      <c r="AE107" s="3" t="str">
        <f t="shared" ca="1" si="18"/>
        <v>57 Tahun 5 bulan 9 Hari</v>
      </c>
      <c r="AF107" s="38">
        <f t="shared" si="21"/>
        <v>47209</v>
      </c>
    </row>
    <row r="108" spans="1:32" s="306" customFormat="1" ht="32.15" customHeight="1" x14ac:dyDescent="0.35">
      <c r="A108" s="26">
        <f t="shared" si="19"/>
        <v>98</v>
      </c>
      <c r="B108" s="27" t="s">
        <v>387</v>
      </c>
      <c r="C108" s="26"/>
      <c r="D108" s="67" t="s">
        <v>407</v>
      </c>
      <c r="E108" s="24" t="s">
        <v>408</v>
      </c>
      <c r="F108" s="24" t="s">
        <v>43</v>
      </c>
      <c r="G108" s="4" t="s">
        <v>409</v>
      </c>
      <c r="H108" s="4" t="s">
        <v>410</v>
      </c>
      <c r="I108" s="41" t="s">
        <v>46</v>
      </c>
      <c r="J108" s="5" t="s">
        <v>386</v>
      </c>
      <c r="K108" s="3" t="str">
        <f t="shared" ca="1" si="15"/>
        <v xml:space="preserve">5 Tahun 5 bulan </v>
      </c>
      <c r="L108" s="30" t="s">
        <v>200</v>
      </c>
      <c r="M108" s="5" t="s">
        <v>386</v>
      </c>
      <c r="N108" s="3" t="str">
        <f t="shared" ca="1" si="16"/>
        <v xml:space="preserve">5 Tahun 5 bulan </v>
      </c>
      <c r="O108" s="4"/>
      <c r="P108" s="4" t="s">
        <v>35</v>
      </c>
      <c r="Q108" s="4" t="str">
        <f t="shared" si="17"/>
        <v>Laki-Laki</v>
      </c>
      <c r="R108" s="4">
        <f t="shared" si="14"/>
        <v>1</v>
      </c>
      <c r="S108" s="4" t="str">
        <f t="shared" si="25"/>
        <v>1</v>
      </c>
      <c r="T108" s="4">
        <f t="shared" si="23"/>
        <v>0</v>
      </c>
      <c r="U108" s="29"/>
      <c r="V108" s="30" t="s">
        <v>50</v>
      </c>
      <c r="W108" s="30"/>
      <c r="X108" s="30"/>
      <c r="Y108" s="30"/>
      <c r="Z108" s="30"/>
      <c r="AA108" s="30"/>
      <c r="AB108" s="29"/>
      <c r="AC108" s="29"/>
      <c r="AD108" s="37">
        <f t="shared" si="20"/>
        <v>28218</v>
      </c>
      <c r="AE108" s="3" t="str">
        <f t="shared" ca="1" si="18"/>
        <v>49 Tahun 4 bulan 29 Hari</v>
      </c>
      <c r="AF108" s="38">
        <f t="shared" si="21"/>
        <v>50161</v>
      </c>
    </row>
    <row r="109" spans="1:32" s="306" customFormat="1" ht="32.15" customHeight="1" x14ac:dyDescent="0.35">
      <c r="A109" s="26">
        <f t="shared" si="19"/>
        <v>99</v>
      </c>
      <c r="B109" s="27" t="s">
        <v>387</v>
      </c>
      <c r="C109" s="26"/>
      <c r="D109" s="67" t="s">
        <v>411</v>
      </c>
      <c r="E109" s="45" t="s">
        <v>412</v>
      </c>
      <c r="F109" s="24" t="s">
        <v>43</v>
      </c>
      <c r="G109" s="44" t="s">
        <v>413</v>
      </c>
      <c r="H109" s="4" t="s">
        <v>414</v>
      </c>
      <c r="I109" s="4" t="s">
        <v>415</v>
      </c>
      <c r="J109" s="5" t="s">
        <v>127</v>
      </c>
      <c r="K109" s="3" t="str">
        <f t="shared" ca="1" si="15"/>
        <v xml:space="preserve">5 Tahun 6 bulan </v>
      </c>
      <c r="L109" s="30" t="s">
        <v>200</v>
      </c>
      <c r="M109" s="5" t="s">
        <v>127</v>
      </c>
      <c r="N109" s="3" t="str">
        <f t="shared" ca="1" si="16"/>
        <v xml:space="preserve">5 Tahun 6 bulan </v>
      </c>
      <c r="O109" s="36"/>
      <c r="P109" s="4" t="s">
        <v>35</v>
      </c>
      <c r="Q109" s="4" t="str">
        <f t="shared" si="17"/>
        <v>Laki-Laki</v>
      </c>
      <c r="R109" s="4">
        <f t="shared" si="14"/>
        <v>1</v>
      </c>
      <c r="S109" s="4" t="str">
        <f t="shared" si="25"/>
        <v>1</v>
      </c>
      <c r="T109" s="4">
        <f t="shared" si="23"/>
        <v>0</v>
      </c>
      <c r="U109" s="29"/>
      <c r="V109" s="30" t="s">
        <v>50</v>
      </c>
      <c r="W109" s="30"/>
      <c r="X109" s="30"/>
      <c r="Y109" s="30"/>
      <c r="Z109" s="30"/>
      <c r="AA109" s="30"/>
      <c r="AB109" s="29"/>
      <c r="AC109" s="29"/>
      <c r="AD109" s="37">
        <f t="shared" si="20"/>
        <v>28888</v>
      </c>
      <c r="AE109" s="3" t="str">
        <f t="shared" ca="1" si="18"/>
        <v>47 Tahun 6 bulan 30 Hari</v>
      </c>
      <c r="AF109" s="38">
        <f t="shared" si="21"/>
        <v>50830</v>
      </c>
    </row>
    <row r="110" spans="1:32" s="306" customFormat="1" ht="32.15" customHeight="1" x14ac:dyDescent="0.35">
      <c r="A110" s="26">
        <f t="shared" si="19"/>
        <v>100</v>
      </c>
      <c r="B110" s="27" t="s">
        <v>387</v>
      </c>
      <c r="C110" s="26"/>
      <c r="D110" s="67" t="s">
        <v>416</v>
      </c>
      <c r="E110" s="45" t="s">
        <v>108</v>
      </c>
      <c r="F110" s="45"/>
      <c r="G110" s="44"/>
      <c r="H110" s="36"/>
      <c r="I110" s="48"/>
      <c r="J110" s="5"/>
      <c r="K110" s="3" t="str">
        <f t="shared" ca="1" si="15"/>
        <v/>
      </c>
      <c r="L110" s="30" t="s">
        <v>88</v>
      </c>
      <c r="M110" s="5"/>
      <c r="N110" s="3" t="str">
        <f t="shared" ca="1" si="16"/>
        <v/>
      </c>
      <c r="O110" s="36"/>
      <c r="P110" s="4"/>
      <c r="Q110" s="4" t="str">
        <f t="shared" si="17"/>
        <v/>
      </c>
      <c r="R110" s="4">
        <f t="shared" si="14"/>
        <v>1</v>
      </c>
      <c r="S110" s="4" t="str">
        <f t="shared" si="25"/>
        <v>0</v>
      </c>
      <c r="T110" s="4">
        <f t="shared" si="23"/>
        <v>1</v>
      </c>
      <c r="U110" s="29"/>
      <c r="V110" s="30" t="s">
        <v>50</v>
      </c>
      <c r="W110" s="30"/>
      <c r="X110" s="30"/>
      <c r="Y110" s="30"/>
      <c r="Z110" s="30"/>
      <c r="AA110" s="30"/>
      <c r="AB110" s="29"/>
      <c r="AC110" s="29"/>
      <c r="AD110" s="37" t="str">
        <f t="shared" si="20"/>
        <v/>
      </c>
      <c r="AE110" s="3" t="str">
        <f t="shared" ca="1" si="18"/>
        <v/>
      </c>
      <c r="AF110" s="38" t="str">
        <f t="shared" si="21"/>
        <v/>
      </c>
    </row>
    <row r="111" spans="1:32" s="306" customFormat="1" ht="32.15" customHeight="1" x14ac:dyDescent="0.35">
      <c r="A111" s="26">
        <f t="shared" si="19"/>
        <v>101</v>
      </c>
      <c r="B111" s="27" t="s">
        <v>387</v>
      </c>
      <c r="C111" s="256" t="s">
        <v>420</v>
      </c>
      <c r="D111" s="257"/>
      <c r="E111" s="39" t="s">
        <v>421</v>
      </c>
      <c r="F111" s="24" t="s">
        <v>43</v>
      </c>
      <c r="G111" s="40" t="s">
        <v>422</v>
      </c>
      <c r="H111" s="4" t="s">
        <v>423</v>
      </c>
      <c r="I111" s="25" t="s">
        <v>86</v>
      </c>
      <c r="J111" s="5" t="s">
        <v>127</v>
      </c>
      <c r="K111" s="3" t="str">
        <f t="shared" ca="1" si="15"/>
        <v xml:space="preserve">5 Tahun 6 bulan </v>
      </c>
      <c r="L111" s="30" t="s">
        <v>346</v>
      </c>
      <c r="M111" s="5" t="s">
        <v>127</v>
      </c>
      <c r="N111" s="3" t="str">
        <f t="shared" ca="1" si="16"/>
        <v xml:space="preserve">5 Tahun 6 bulan </v>
      </c>
      <c r="O111" s="35"/>
      <c r="P111" s="4" t="s">
        <v>35</v>
      </c>
      <c r="Q111" s="4" t="str">
        <f t="shared" si="17"/>
        <v>Laki-Laki</v>
      </c>
      <c r="R111" s="4">
        <f t="shared" si="14"/>
        <v>1</v>
      </c>
      <c r="S111" s="4" t="str">
        <f t="shared" si="25"/>
        <v>1</v>
      </c>
      <c r="T111" s="4">
        <f t="shared" si="23"/>
        <v>0</v>
      </c>
      <c r="U111" s="29"/>
      <c r="V111" s="30" t="s">
        <v>50</v>
      </c>
      <c r="W111" s="30"/>
      <c r="X111" s="30"/>
      <c r="Y111" s="30"/>
      <c r="Z111" s="30"/>
      <c r="AA111" s="30"/>
      <c r="AB111" s="29"/>
      <c r="AC111" s="29"/>
      <c r="AD111" s="37">
        <f t="shared" si="20"/>
        <v>27127</v>
      </c>
      <c r="AE111" s="3" t="str">
        <f t="shared" ca="1" si="18"/>
        <v>52 Tahun 4 bulan 24 Hari</v>
      </c>
      <c r="AF111" s="38">
        <f t="shared" si="21"/>
        <v>49065</v>
      </c>
    </row>
    <row r="112" spans="1:32" s="306" customFormat="1" ht="38.25" customHeight="1" x14ac:dyDescent="0.35">
      <c r="A112" s="26">
        <f t="shared" si="19"/>
        <v>102</v>
      </c>
      <c r="B112" s="27" t="s">
        <v>387</v>
      </c>
      <c r="C112" s="26"/>
      <c r="D112" s="67" t="s">
        <v>424</v>
      </c>
      <c r="E112" s="24" t="s">
        <v>425</v>
      </c>
      <c r="F112" s="24" t="s">
        <v>43</v>
      </c>
      <c r="G112" s="3" t="s">
        <v>426</v>
      </c>
      <c r="H112" s="4" t="s">
        <v>427</v>
      </c>
      <c r="I112" s="4" t="s">
        <v>184</v>
      </c>
      <c r="J112" s="5" t="s">
        <v>127</v>
      </c>
      <c r="K112" s="3" t="str">
        <f t="shared" ca="1" si="15"/>
        <v xml:space="preserve">5 Tahun 6 bulan </v>
      </c>
      <c r="L112" s="30" t="s">
        <v>200</v>
      </c>
      <c r="M112" s="5" t="s">
        <v>127</v>
      </c>
      <c r="N112" s="3" t="str">
        <f t="shared" ca="1" si="16"/>
        <v xml:space="preserve">5 Tahun 6 bulan </v>
      </c>
      <c r="O112" s="4"/>
      <c r="P112" s="4" t="s">
        <v>35</v>
      </c>
      <c r="Q112" s="4" t="str">
        <f t="shared" si="17"/>
        <v>Laki-Laki</v>
      </c>
      <c r="R112" s="4">
        <f t="shared" si="14"/>
        <v>1</v>
      </c>
      <c r="S112" s="4" t="str">
        <f t="shared" si="25"/>
        <v>1</v>
      </c>
      <c r="T112" s="4">
        <f t="shared" si="23"/>
        <v>0</v>
      </c>
      <c r="U112" s="29"/>
      <c r="V112" s="30" t="s">
        <v>50</v>
      </c>
      <c r="W112" s="30"/>
      <c r="X112" s="30"/>
      <c r="Y112" s="30"/>
      <c r="Z112" s="30"/>
      <c r="AA112" s="30"/>
      <c r="AB112" s="29"/>
      <c r="AC112" s="29"/>
      <c r="AD112" s="37">
        <f t="shared" si="20"/>
        <v>28230</v>
      </c>
      <c r="AE112" s="3" t="str">
        <f t="shared" ca="1" si="18"/>
        <v>49 Tahun 4 bulan 17 Hari</v>
      </c>
      <c r="AF112" s="38">
        <f t="shared" si="21"/>
        <v>50161</v>
      </c>
    </row>
    <row r="113" spans="1:33" s="306" customFormat="1" ht="39" customHeight="1" x14ac:dyDescent="0.35">
      <c r="A113" s="26">
        <f t="shared" si="19"/>
        <v>103</v>
      </c>
      <c r="B113" s="27" t="s">
        <v>387</v>
      </c>
      <c r="C113" s="26"/>
      <c r="D113" s="67" t="s">
        <v>428</v>
      </c>
      <c r="E113" s="24" t="s">
        <v>417</v>
      </c>
      <c r="F113" s="24" t="s">
        <v>43</v>
      </c>
      <c r="G113" s="3" t="s">
        <v>418</v>
      </c>
      <c r="H113" s="4" t="s">
        <v>419</v>
      </c>
      <c r="I113" s="33" t="s">
        <v>1656</v>
      </c>
      <c r="J113" s="5">
        <v>46087</v>
      </c>
      <c r="K113" s="3" t="str">
        <f t="shared" ca="1" si="15"/>
        <v xml:space="preserve">0 Tahun 5 bulan </v>
      </c>
      <c r="L113" s="30" t="s">
        <v>200</v>
      </c>
      <c r="M113" s="5">
        <v>46087</v>
      </c>
      <c r="N113" s="3" t="str">
        <f t="shared" ca="1" si="16"/>
        <v xml:space="preserve">0 Tahun 5 bulan </v>
      </c>
      <c r="O113" s="4"/>
      <c r="P113" s="4" t="s">
        <v>35</v>
      </c>
      <c r="Q113" s="4" t="str">
        <f t="shared" si="17"/>
        <v>Laki-Laki</v>
      </c>
      <c r="R113" s="4">
        <f t="shared" si="14"/>
        <v>1</v>
      </c>
      <c r="S113" s="4" t="str">
        <f t="shared" si="25"/>
        <v>1</v>
      </c>
      <c r="T113" s="4">
        <f t="shared" si="23"/>
        <v>0</v>
      </c>
      <c r="U113" s="29"/>
      <c r="V113" s="30" t="s">
        <v>50</v>
      </c>
      <c r="W113" s="30"/>
      <c r="X113" s="30"/>
      <c r="Y113" s="30"/>
      <c r="Z113" s="30"/>
      <c r="AA113" s="30"/>
      <c r="AB113" s="29"/>
      <c r="AC113" s="29"/>
      <c r="AD113" s="37">
        <f t="shared" si="20"/>
        <v>27599</v>
      </c>
      <c r="AE113" s="3" t="str">
        <f t="shared" ca="1" si="18"/>
        <v>51 Tahun 1 bulan 8 Hari</v>
      </c>
      <c r="AF113" s="38">
        <f t="shared" si="21"/>
        <v>49522</v>
      </c>
    </row>
    <row r="114" spans="1:33" s="306" customFormat="1" ht="32.15" customHeight="1" x14ac:dyDescent="0.35">
      <c r="A114" s="26">
        <f t="shared" si="19"/>
        <v>104</v>
      </c>
      <c r="B114" s="27" t="s">
        <v>387</v>
      </c>
      <c r="C114" s="26"/>
      <c r="D114" s="67" t="s">
        <v>416</v>
      </c>
      <c r="E114" s="45" t="s">
        <v>431</v>
      </c>
      <c r="F114" s="24" t="s">
        <v>43</v>
      </c>
      <c r="G114" s="44" t="s">
        <v>432</v>
      </c>
      <c r="H114" s="4" t="s">
        <v>85</v>
      </c>
      <c r="I114" s="4" t="s">
        <v>184</v>
      </c>
      <c r="J114" s="5" t="s">
        <v>87</v>
      </c>
      <c r="K114" s="3" t="str">
        <f t="shared" ca="1" si="15"/>
        <v xml:space="preserve">4 Tahun 8 bulan </v>
      </c>
      <c r="L114" s="30" t="s">
        <v>88</v>
      </c>
      <c r="M114" s="5" t="s">
        <v>87</v>
      </c>
      <c r="N114" s="3" t="str">
        <f t="shared" ca="1" si="16"/>
        <v xml:space="preserve">4 Tahun 8 bulan </v>
      </c>
      <c r="O114" s="29"/>
      <c r="P114" s="4" t="s">
        <v>35</v>
      </c>
      <c r="Q114" s="4" t="str">
        <f t="shared" si="17"/>
        <v>Laki-Laki</v>
      </c>
      <c r="R114" s="4">
        <f t="shared" si="14"/>
        <v>1</v>
      </c>
      <c r="S114" s="4" t="str">
        <f t="shared" si="25"/>
        <v>1</v>
      </c>
      <c r="T114" s="4">
        <f t="shared" si="23"/>
        <v>0</v>
      </c>
      <c r="U114" s="29"/>
      <c r="V114" s="30" t="s">
        <v>50</v>
      </c>
      <c r="W114" s="30"/>
      <c r="X114" s="30"/>
      <c r="Y114" s="30"/>
      <c r="Z114" s="30"/>
      <c r="AA114" s="30"/>
      <c r="AB114" s="29"/>
      <c r="AC114" s="29"/>
      <c r="AD114" s="37">
        <f t="shared" si="20"/>
        <v>26764</v>
      </c>
      <c r="AE114" s="3" t="str">
        <f t="shared" ca="1" si="18"/>
        <v>53 Tahun 4 bulan 22 Hari</v>
      </c>
      <c r="AF114" s="38">
        <f t="shared" si="21"/>
        <v>48700</v>
      </c>
    </row>
    <row r="115" spans="1:33" s="308" customFormat="1" ht="32.15" customHeight="1" x14ac:dyDescent="0.35">
      <c r="A115" s="4"/>
      <c r="B115" s="32" t="s">
        <v>433</v>
      </c>
      <c r="C115" s="269" t="s">
        <v>434</v>
      </c>
      <c r="D115" s="270"/>
      <c r="E115" s="271" t="str">
        <f ca="1">IF(J115="","",CONCATENATE(DATEDIF(J115,NOW(),"Y")," Tahun ",DATEDIF(J115,NOW(),"YM")," bulan "))</f>
        <v/>
      </c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3"/>
    </row>
    <row r="116" spans="1:33" s="306" customFormat="1" ht="32.15" customHeight="1" x14ac:dyDescent="0.35">
      <c r="A116" s="26">
        <f>A114+1</f>
        <v>105</v>
      </c>
      <c r="B116" s="27" t="s">
        <v>433</v>
      </c>
      <c r="C116" s="278" t="s">
        <v>435</v>
      </c>
      <c r="D116" s="279"/>
      <c r="E116" s="24" t="s">
        <v>3034</v>
      </c>
      <c r="F116" s="24" t="s">
        <v>43</v>
      </c>
      <c r="G116" s="3" t="s">
        <v>436</v>
      </c>
      <c r="H116" s="4" t="s">
        <v>437</v>
      </c>
      <c r="I116" s="41" t="s">
        <v>438</v>
      </c>
      <c r="J116" s="5" t="s">
        <v>439</v>
      </c>
      <c r="K116" s="3" t="str">
        <f t="shared" ca="1" si="15"/>
        <v xml:space="preserve">6 Tahun 7 bulan </v>
      </c>
      <c r="L116" s="30" t="s">
        <v>56</v>
      </c>
      <c r="M116" s="5" t="s">
        <v>439</v>
      </c>
      <c r="N116" s="3" t="str">
        <f t="shared" ca="1" si="16"/>
        <v xml:space="preserve">6 Tahun 7 bulan </v>
      </c>
      <c r="O116" s="4" t="s">
        <v>81</v>
      </c>
      <c r="P116" s="4" t="s">
        <v>35</v>
      </c>
      <c r="Q116" s="4" t="str">
        <f t="shared" si="17"/>
        <v>Laki-Laki</v>
      </c>
      <c r="R116" s="4">
        <f>R114</f>
        <v>1</v>
      </c>
      <c r="S116" s="4" t="str">
        <f t="shared" ref="S116:S132" si="26">IF(E116="LOWONG","0","1")</f>
        <v>1</v>
      </c>
      <c r="T116" s="4">
        <f t="shared" si="23"/>
        <v>0</v>
      </c>
      <c r="U116" s="29"/>
      <c r="V116" s="30" t="s">
        <v>50</v>
      </c>
      <c r="W116" s="30"/>
      <c r="X116" s="30"/>
      <c r="Y116" s="30"/>
      <c r="Z116" s="30"/>
      <c r="AA116" s="30"/>
      <c r="AB116" s="29"/>
      <c r="AC116" s="29"/>
      <c r="AD116" s="37">
        <f t="shared" si="20"/>
        <v>29101</v>
      </c>
      <c r="AE116" s="3" t="str">
        <f t="shared" ca="1" si="18"/>
        <v>46 Tahun 11 bulan 29 Hari</v>
      </c>
      <c r="AF116" s="38">
        <f t="shared" si="21"/>
        <v>51044</v>
      </c>
    </row>
    <row r="117" spans="1:33" s="306" customFormat="1" ht="32.15" customHeight="1" x14ac:dyDescent="0.35">
      <c r="A117" s="26">
        <f t="shared" si="19"/>
        <v>106</v>
      </c>
      <c r="B117" s="27" t="s">
        <v>433</v>
      </c>
      <c r="C117" s="256" t="s">
        <v>440</v>
      </c>
      <c r="D117" s="257"/>
      <c r="E117" s="45" t="s">
        <v>3138</v>
      </c>
      <c r="F117" s="45" t="s">
        <v>43</v>
      </c>
      <c r="G117" s="44" t="s">
        <v>3139</v>
      </c>
      <c r="H117" s="4" t="s">
        <v>126</v>
      </c>
      <c r="I117" s="36" t="s">
        <v>3140</v>
      </c>
      <c r="J117" s="5">
        <v>46239</v>
      </c>
      <c r="K117" s="3" t="str">
        <f t="shared" ca="1" si="15"/>
        <v xml:space="preserve">0 Tahun 0 bulan </v>
      </c>
      <c r="L117" s="30" t="s">
        <v>79</v>
      </c>
      <c r="M117" s="5">
        <v>46239</v>
      </c>
      <c r="N117" s="3" t="str">
        <f t="shared" ca="1" si="16"/>
        <v xml:space="preserve">0 Tahun 0 bulan </v>
      </c>
      <c r="O117" s="4" t="s">
        <v>81</v>
      </c>
      <c r="P117" s="4" t="s">
        <v>35</v>
      </c>
      <c r="Q117" s="4" t="str">
        <f t="shared" si="17"/>
        <v>Perempuan</v>
      </c>
      <c r="R117" s="4">
        <f t="shared" si="14"/>
        <v>1</v>
      </c>
      <c r="S117" s="4" t="str">
        <f t="shared" si="26"/>
        <v>1</v>
      </c>
      <c r="T117" s="4">
        <f t="shared" si="23"/>
        <v>0</v>
      </c>
      <c r="U117" s="29"/>
      <c r="V117" s="30" t="s">
        <v>50</v>
      </c>
      <c r="W117" s="30"/>
      <c r="X117" s="30"/>
      <c r="Y117" s="30"/>
      <c r="Z117" s="30"/>
      <c r="AA117" s="30"/>
      <c r="AB117" s="29"/>
      <c r="AC117" s="29"/>
      <c r="AD117" s="37">
        <f t="shared" si="20"/>
        <v>27687</v>
      </c>
      <c r="AE117" s="3" t="str">
        <f t="shared" ca="1" si="18"/>
        <v>50 Tahun 10 bulan 12 Hari</v>
      </c>
      <c r="AF117" s="38">
        <f t="shared" si="21"/>
        <v>49614</v>
      </c>
    </row>
    <row r="118" spans="1:33" s="306" customFormat="1" ht="32.15" customHeight="1" x14ac:dyDescent="0.35">
      <c r="A118" s="26">
        <f t="shared" si="19"/>
        <v>107</v>
      </c>
      <c r="B118" s="27" t="s">
        <v>433</v>
      </c>
      <c r="C118" s="26"/>
      <c r="D118" s="50" t="s">
        <v>442</v>
      </c>
      <c r="E118" s="24" t="s">
        <v>443</v>
      </c>
      <c r="F118" s="24" t="s">
        <v>43</v>
      </c>
      <c r="G118" s="3" t="s">
        <v>444</v>
      </c>
      <c r="H118" s="4" t="s">
        <v>445</v>
      </c>
      <c r="I118" s="36" t="s">
        <v>446</v>
      </c>
      <c r="J118" s="5" t="s">
        <v>447</v>
      </c>
      <c r="K118" s="3" t="str">
        <f t="shared" ca="1" si="15"/>
        <v xml:space="preserve">2 Tahun 2 bulan </v>
      </c>
      <c r="L118" s="30" t="s">
        <v>200</v>
      </c>
      <c r="M118" s="5" t="s">
        <v>447</v>
      </c>
      <c r="N118" s="3" t="str">
        <f t="shared" ca="1" si="16"/>
        <v xml:space="preserve">2 Tahun 2 bulan </v>
      </c>
      <c r="O118" s="4"/>
      <c r="P118" s="4" t="s">
        <v>35</v>
      </c>
      <c r="Q118" s="4" t="str">
        <f t="shared" si="17"/>
        <v>Perempuan</v>
      </c>
      <c r="R118" s="4">
        <f t="shared" si="14"/>
        <v>1</v>
      </c>
      <c r="S118" s="4" t="str">
        <f t="shared" si="26"/>
        <v>1</v>
      </c>
      <c r="T118" s="4">
        <f t="shared" si="23"/>
        <v>0</v>
      </c>
      <c r="U118" s="29"/>
      <c r="V118" s="30"/>
      <c r="W118" s="30"/>
      <c r="X118" s="30"/>
      <c r="Y118" s="30"/>
      <c r="Z118" s="30"/>
      <c r="AA118" s="30"/>
      <c r="AB118" s="29"/>
      <c r="AC118" s="29"/>
      <c r="AD118" s="37">
        <f t="shared" si="20"/>
        <v>29872</v>
      </c>
      <c r="AE118" s="3" t="str">
        <f t="shared" ca="1" si="18"/>
        <v>44 Tahun 10 bulan 19 Hari</v>
      </c>
      <c r="AF118" s="38">
        <f t="shared" si="21"/>
        <v>51806</v>
      </c>
    </row>
    <row r="119" spans="1:33" s="306" customFormat="1" ht="32.15" customHeight="1" x14ac:dyDescent="0.35">
      <c r="A119" s="26">
        <f t="shared" si="19"/>
        <v>108</v>
      </c>
      <c r="B119" s="27" t="s">
        <v>433</v>
      </c>
      <c r="C119" s="26"/>
      <c r="D119" s="50" t="s">
        <v>448</v>
      </c>
      <c r="E119" s="45" t="s">
        <v>108</v>
      </c>
      <c r="F119" s="45"/>
      <c r="G119" s="44"/>
      <c r="H119" s="4"/>
      <c r="I119" s="36"/>
      <c r="J119" s="5"/>
      <c r="K119" s="3" t="str">
        <f t="shared" ca="1" si="15"/>
        <v/>
      </c>
      <c r="L119" s="30" t="s">
        <v>88</v>
      </c>
      <c r="M119" s="5"/>
      <c r="N119" s="3" t="str">
        <f t="shared" ca="1" si="16"/>
        <v/>
      </c>
      <c r="O119" s="4"/>
      <c r="P119" s="4"/>
      <c r="Q119" s="4" t="str">
        <f t="shared" si="17"/>
        <v/>
      </c>
      <c r="R119" s="4">
        <f t="shared" si="14"/>
        <v>1</v>
      </c>
      <c r="S119" s="4" t="str">
        <f t="shared" si="26"/>
        <v>0</v>
      </c>
      <c r="T119" s="4">
        <f t="shared" si="23"/>
        <v>1</v>
      </c>
      <c r="U119" s="29"/>
      <c r="V119" s="30"/>
      <c r="W119" s="30"/>
      <c r="X119" s="30"/>
      <c r="Y119" s="30"/>
      <c r="Z119" s="30"/>
      <c r="AA119" s="30"/>
      <c r="AB119" s="29"/>
      <c r="AC119" s="29"/>
      <c r="AD119" s="37" t="str">
        <f t="shared" si="20"/>
        <v/>
      </c>
      <c r="AE119" s="3" t="str">
        <f t="shared" ca="1" si="18"/>
        <v/>
      </c>
      <c r="AF119" s="38" t="str">
        <f t="shared" si="21"/>
        <v/>
      </c>
    </row>
    <row r="120" spans="1:33" s="306" customFormat="1" ht="32.15" customHeight="1" x14ac:dyDescent="0.35">
      <c r="A120" s="26">
        <f t="shared" si="19"/>
        <v>109</v>
      </c>
      <c r="B120" s="27" t="s">
        <v>433</v>
      </c>
      <c r="C120" s="26"/>
      <c r="D120" s="50" t="s">
        <v>449</v>
      </c>
      <c r="E120" s="45" t="s">
        <v>2955</v>
      </c>
      <c r="F120" s="45" t="s">
        <v>71</v>
      </c>
      <c r="G120" s="44" t="s">
        <v>2956</v>
      </c>
      <c r="H120" s="4" t="s">
        <v>2957</v>
      </c>
      <c r="I120" s="36" t="s">
        <v>2958</v>
      </c>
      <c r="J120" s="5">
        <v>46147</v>
      </c>
      <c r="K120" s="3" t="str">
        <f t="shared" ca="1" si="15"/>
        <v xml:space="preserve">0 Tahun 3 bulan </v>
      </c>
      <c r="L120" s="30" t="s">
        <v>200</v>
      </c>
      <c r="M120" s="5">
        <v>46147</v>
      </c>
      <c r="N120" s="3" t="str">
        <f t="shared" ca="1" si="16"/>
        <v xml:space="preserve">0 Tahun 3 bulan </v>
      </c>
      <c r="O120" s="4"/>
      <c r="P120" s="4" t="s">
        <v>35</v>
      </c>
      <c r="Q120" s="4" t="str">
        <f t="shared" si="17"/>
        <v>Perempuan</v>
      </c>
      <c r="R120" s="4">
        <f t="shared" si="14"/>
        <v>1</v>
      </c>
      <c r="S120" s="4" t="str">
        <f t="shared" si="26"/>
        <v>1</v>
      </c>
      <c r="T120" s="4">
        <f t="shared" si="23"/>
        <v>0</v>
      </c>
      <c r="U120" s="29"/>
      <c r="V120" s="30" t="s">
        <v>50</v>
      </c>
      <c r="W120" s="30"/>
      <c r="X120" s="30"/>
      <c r="Y120" s="30"/>
      <c r="Z120" s="30"/>
      <c r="AA120" s="30"/>
      <c r="AB120" s="29"/>
      <c r="AC120" s="29"/>
      <c r="AD120" s="37">
        <f t="shared" si="20"/>
        <v>32937</v>
      </c>
      <c r="AE120" s="3" t="str">
        <f t="shared" ca="1" si="18"/>
        <v>36 Tahun 5 bulan 27 Hari</v>
      </c>
      <c r="AF120" s="38">
        <f t="shared" si="21"/>
        <v>54879</v>
      </c>
    </row>
    <row r="121" spans="1:33" s="306" customFormat="1" ht="32.15" customHeight="1" x14ac:dyDescent="0.35">
      <c r="A121" s="26">
        <f t="shared" si="19"/>
        <v>110</v>
      </c>
      <c r="B121" s="27" t="s">
        <v>433</v>
      </c>
      <c r="C121" s="256" t="s">
        <v>451</v>
      </c>
      <c r="D121" s="257"/>
      <c r="E121" s="45" t="s">
        <v>452</v>
      </c>
      <c r="F121" s="24" t="s">
        <v>43</v>
      </c>
      <c r="G121" s="44" t="s">
        <v>453</v>
      </c>
      <c r="H121" s="4" t="s">
        <v>454</v>
      </c>
      <c r="I121" s="36" t="s">
        <v>107</v>
      </c>
      <c r="J121" s="5" t="s">
        <v>220</v>
      </c>
      <c r="K121" s="3" t="str">
        <f t="shared" ca="1" si="15"/>
        <v xml:space="preserve">2 Tahun 11 bulan </v>
      </c>
      <c r="L121" s="30" t="s">
        <v>346</v>
      </c>
      <c r="M121" s="5" t="s">
        <v>220</v>
      </c>
      <c r="N121" s="3" t="str">
        <f t="shared" ca="1" si="16"/>
        <v xml:space="preserve">2 Tahun 11 bulan </v>
      </c>
      <c r="O121" s="4"/>
      <c r="P121" s="4" t="s">
        <v>35</v>
      </c>
      <c r="Q121" s="4" t="str">
        <f t="shared" si="17"/>
        <v>Laki-Laki</v>
      </c>
      <c r="R121" s="4">
        <f t="shared" si="14"/>
        <v>1</v>
      </c>
      <c r="S121" s="4" t="str">
        <f t="shared" si="26"/>
        <v>1</v>
      </c>
      <c r="T121" s="4">
        <f t="shared" si="23"/>
        <v>0</v>
      </c>
      <c r="U121" s="29"/>
      <c r="V121" s="30" t="s">
        <v>50</v>
      </c>
      <c r="W121" s="30"/>
      <c r="X121" s="30"/>
      <c r="Y121" s="30"/>
      <c r="Z121" s="30"/>
      <c r="AA121" s="30"/>
      <c r="AB121" s="29"/>
      <c r="AC121" s="29"/>
      <c r="AD121" s="37">
        <f t="shared" si="20"/>
        <v>30427</v>
      </c>
      <c r="AE121" s="3" t="str">
        <f t="shared" ca="1" si="18"/>
        <v>43 Tahun 4 bulan 11 Hari</v>
      </c>
      <c r="AF121" s="38">
        <f t="shared" si="21"/>
        <v>52352</v>
      </c>
    </row>
    <row r="122" spans="1:33" s="306" customFormat="1" ht="32.15" customHeight="1" x14ac:dyDescent="0.35">
      <c r="A122" s="26">
        <f t="shared" si="19"/>
        <v>111</v>
      </c>
      <c r="B122" s="27" t="s">
        <v>433</v>
      </c>
      <c r="C122" s="26"/>
      <c r="D122" s="50" t="s">
        <v>455</v>
      </c>
      <c r="E122" s="24" t="s">
        <v>108</v>
      </c>
      <c r="F122" s="24"/>
      <c r="G122" s="4"/>
      <c r="H122" s="4"/>
      <c r="I122" s="33"/>
      <c r="J122" s="5"/>
      <c r="K122" s="3" t="str">
        <f t="shared" ca="1" si="15"/>
        <v/>
      </c>
      <c r="L122" s="30" t="s">
        <v>88</v>
      </c>
      <c r="M122" s="5"/>
      <c r="N122" s="3" t="str">
        <f t="shared" ca="1" si="16"/>
        <v/>
      </c>
      <c r="O122" s="4"/>
      <c r="P122" s="4"/>
      <c r="Q122" s="4" t="str">
        <f t="shared" si="17"/>
        <v/>
      </c>
      <c r="R122" s="4">
        <f t="shared" si="14"/>
        <v>1</v>
      </c>
      <c r="S122" s="4" t="str">
        <f t="shared" si="26"/>
        <v>0</v>
      </c>
      <c r="T122" s="4">
        <f t="shared" si="23"/>
        <v>1</v>
      </c>
      <c r="U122" s="29"/>
      <c r="V122" s="30" t="s">
        <v>50</v>
      </c>
      <c r="W122" s="30"/>
      <c r="X122" s="30"/>
      <c r="Y122" s="30"/>
      <c r="Z122" s="30"/>
      <c r="AA122" s="30"/>
      <c r="AB122" s="29"/>
      <c r="AC122" s="29"/>
      <c r="AD122" s="37" t="str">
        <f t="shared" si="20"/>
        <v/>
      </c>
      <c r="AE122" s="3" t="str">
        <f t="shared" ca="1" si="18"/>
        <v/>
      </c>
      <c r="AF122" s="38" t="str">
        <f t="shared" si="21"/>
        <v/>
      </c>
      <c r="AG122" s="307"/>
    </row>
    <row r="123" spans="1:33" s="306" customFormat="1" ht="32.15" customHeight="1" x14ac:dyDescent="0.35">
      <c r="A123" s="26">
        <f t="shared" si="19"/>
        <v>112</v>
      </c>
      <c r="B123" s="27" t="s">
        <v>433</v>
      </c>
      <c r="C123" s="26"/>
      <c r="D123" s="50" t="s">
        <v>455</v>
      </c>
      <c r="E123" s="24" t="s">
        <v>456</v>
      </c>
      <c r="F123" s="24" t="s">
        <v>43</v>
      </c>
      <c r="G123" s="3" t="s">
        <v>457</v>
      </c>
      <c r="H123" s="4" t="s">
        <v>458</v>
      </c>
      <c r="I123" s="41" t="s">
        <v>107</v>
      </c>
      <c r="J123" s="5" t="s">
        <v>87</v>
      </c>
      <c r="K123" s="3" t="str">
        <f t="shared" ca="1" si="15"/>
        <v xml:space="preserve">4 Tahun 8 bulan </v>
      </c>
      <c r="L123" s="30" t="s">
        <v>88</v>
      </c>
      <c r="M123" s="5" t="s">
        <v>87</v>
      </c>
      <c r="N123" s="3" t="str">
        <f t="shared" ca="1" si="16"/>
        <v xml:space="preserve">4 Tahun 8 bulan </v>
      </c>
      <c r="O123" s="4"/>
      <c r="P123" s="4" t="s">
        <v>35</v>
      </c>
      <c r="Q123" s="4" t="str">
        <f t="shared" si="17"/>
        <v>Laki-Laki</v>
      </c>
      <c r="R123" s="4">
        <f t="shared" si="14"/>
        <v>1</v>
      </c>
      <c r="S123" s="4" t="str">
        <f t="shared" si="26"/>
        <v>1</v>
      </c>
      <c r="T123" s="4">
        <f t="shared" si="23"/>
        <v>0</v>
      </c>
      <c r="U123" s="29"/>
      <c r="V123" s="30" t="s">
        <v>50</v>
      </c>
      <c r="W123" s="30"/>
      <c r="X123" s="30"/>
      <c r="Y123" s="30"/>
      <c r="Z123" s="30"/>
      <c r="AA123" s="30"/>
      <c r="AB123" s="29"/>
      <c r="AC123" s="29"/>
      <c r="AD123" s="37">
        <f t="shared" si="20"/>
        <v>28383</v>
      </c>
      <c r="AE123" s="3" t="str">
        <f t="shared" ca="1" si="18"/>
        <v>48 Tahun 11 bulan 17 Hari</v>
      </c>
      <c r="AF123" s="38">
        <f t="shared" si="21"/>
        <v>50314</v>
      </c>
    </row>
    <row r="124" spans="1:33" s="306" customFormat="1" ht="32.15" customHeight="1" x14ac:dyDescent="0.35">
      <c r="A124" s="26">
        <f t="shared" si="19"/>
        <v>113</v>
      </c>
      <c r="B124" s="27" t="s">
        <v>433</v>
      </c>
      <c r="C124" s="256" t="s">
        <v>459</v>
      </c>
      <c r="D124" s="257"/>
      <c r="E124" s="24" t="s">
        <v>460</v>
      </c>
      <c r="F124" s="24" t="s">
        <v>43</v>
      </c>
      <c r="G124" s="3" t="s">
        <v>461</v>
      </c>
      <c r="H124" s="4" t="s">
        <v>462</v>
      </c>
      <c r="I124" s="4" t="s">
        <v>86</v>
      </c>
      <c r="J124" s="5" t="s">
        <v>463</v>
      </c>
      <c r="K124" s="3" t="str">
        <f t="shared" ca="1" si="15"/>
        <v xml:space="preserve">3 Tahun 6 bulan </v>
      </c>
      <c r="L124" s="30" t="s">
        <v>346</v>
      </c>
      <c r="M124" s="5" t="s">
        <v>463</v>
      </c>
      <c r="N124" s="3" t="str">
        <f t="shared" ca="1" si="16"/>
        <v xml:space="preserve">3 Tahun 6 bulan </v>
      </c>
      <c r="O124" s="4"/>
      <c r="P124" s="4" t="s">
        <v>35</v>
      </c>
      <c r="Q124" s="4" t="str">
        <f t="shared" si="17"/>
        <v>Perempuan</v>
      </c>
      <c r="R124" s="4">
        <f t="shared" si="14"/>
        <v>1</v>
      </c>
      <c r="S124" s="4" t="str">
        <f t="shared" si="26"/>
        <v>1</v>
      </c>
      <c r="T124" s="4">
        <f t="shared" si="23"/>
        <v>0</v>
      </c>
      <c r="U124" s="29"/>
      <c r="V124" s="30"/>
      <c r="W124" s="30"/>
      <c r="X124" s="30"/>
      <c r="Y124" s="30"/>
      <c r="Z124" s="30"/>
      <c r="AA124" s="30"/>
      <c r="AB124" s="29"/>
      <c r="AC124" s="29"/>
      <c r="AD124" s="37">
        <f t="shared" si="20"/>
        <v>29724</v>
      </c>
      <c r="AE124" s="3" t="str">
        <f t="shared" ca="1" si="18"/>
        <v>45 Tahun 3 bulan 14 Hari</v>
      </c>
      <c r="AF124" s="38">
        <f t="shared" si="21"/>
        <v>51653</v>
      </c>
    </row>
    <row r="125" spans="1:33" s="306" customFormat="1" ht="32.15" customHeight="1" x14ac:dyDescent="0.35">
      <c r="A125" s="26">
        <f t="shared" si="19"/>
        <v>114</v>
      </c>
      <c r="B125" s="27" t="s">
        <v>433</v>
      </c>
      <c r="C125" s="26"/>
      <c r="D125" s="50" t="s">
        <v>455</v>
      </c>
      <c r="E125" s="45" t="s">
        <v>464</v>
      </c>
      <c r="F125" s="24" t="s">
        <v>43</v>
      </c>
      <c r="G125" s="36" t="s">
        <v>465</v>
      </c>
      <c r="H125" s="4" t="s">
        <v>466</v>
      </c>
      <c r="I125" s="69" t="s">
        <v>86</v>
      </c>
      <c r="J125" s="5" t="s">
        <v>87</v>
      </c>
      <c r="K125" s="3" t="str">
        <f t="shared" ca="1" si="15"/>
        <v xml:space="preserve">4 Tahun 8 bulan </v>
      </c>
      <c r="L125" s="30" t="s">
        <v>88</v>
      </c>
      <c r="M125" s="5" t="s">
        <v>87</v>
      </c>
      <c r="N125" s="3" t="str">
        <f t="shared" ca="1" si="16"/>
        <v xml:space="preserve">4 Tahun 8 bulan </v>
      </c>
      <c r="O125" s="4"/>
      <c r="P125" s="4" t="s">
        <v>35</v>
      </c>
      <c r="Q125" s="4" t="str">
        <f t="shared" si="17"/>
        <v>Perempuan</v>
      </c>
      <c r="R125" s="4">
        <f t="shared" ref="R125:R163" si="27">R124</f>
        <v>1</v>
      </c>
      <c r="S125" s="4" t="str">
        <f t="shared" si="26"/>
        <v>1</v>
      </c>
      <c r="T125" s="4">
        <f t="shared" si="23"/>
        <v>0</v>
      </c>
      <c r="U125" s="29"/>
      <c r="V125" s="30"/>
      <c r="W125" s="30"/>
      <c r="X125" s="30"/>
      <c r="Y125" s="30"/>
      <c r="Z125" s="30"/>
      <c r="AA125" s="30"/>
      <c r="AB125" s="29"/>
      <c r="AC125" s="29"/>
      <c r="AD125" s="37">
        <f t="shared" si="20"/>
        <v>28868</v>
      </c>
      <c r="AE125" s="3" t="str">
        <f t="shared" ca="1" si="18"/>
        <v>47 Tahun 7 bulan 19 Hari</v>
      </c>
      <c r="AF125" s="38">
        <f t="shared" si="21"/>
        <v>50802</v>
      </c>
    </row>
    <row r="126" spans="1:33" s="306" customFormat="1" ht="32.15" customHeight="1" x14ac:dyDescent="0.35">
      <c r="A126" s="26">
        <f t="shared" si="19"/>
        <v>115</v>
      </c>
      <c r="B126" s="27" t="s">
        <v>433</v>
      </c>
      <c r="C126" s="26"/>
      <c r="D126" s="50" t="s">
        <v>455</v>
      </c>
      <c r="E126" s="24" t="s">
        <v>467</v>
      </c>
      <c r="F126" s="24" t="s">
        <v>43</v>
      </c>
      <c r="G126" s="4" t="s">
        <v>468</v>
      </c>
      <c r="H126" s="4" t="s">
        <v>279</v>
      </c>
      <c r="I126" s="4" t="s">
        <v>86</v>
      </c>
      <c r="J126" s="5" t="s">
        <v>87</v>
      </c>
      <c r="K126" s="3" t="str">
        <f t="shared" ca="1" si="15"/>
        <v xml:space="preserve">4 Tahun 8 bulan </v>
      </c>
      <c r="L126" s="30" t="s">
        <v>88</v>
      </c>
      <c r="M126" s="5" t="s">
        <v>87</v>
      </c>
      <c r="N126" s="3" t="str">
        <f t="shared" ca="1" si="16"/>
        <v xml:space="preserve">4 Tahun 8 bulan </v>
      </c>
      <c r="O126" s="4"/>
      <c r="P126" s="4" t="s">
        <v>35</v>
      </c>
      <c r="Q126" s="4" t="str">
        <f t="shared" si="17"/>
        <v>Perempuan</v>
      </c>
      <c r="R126" s="4">
        <f t="shared" si="27"/>
        <v>1</v>
      </c>
      <c r="S126" s="4" t="str">
        <f t="shared" si="26"/>
        <v>1</v>
      </c>
      <c r="T126" s="4">
        <f t="shared" si="23"/>
        <v>0</v>
      </c>
      <c r="U126" s="29"/>
      <c r="V126" s="30"/>
      <c r="W126" s="30"/>
      <c r="X126" s="30"/>
      <c r="Y126" s="30"/>
      <c r="Z126" s="30"/>
      <c r="AA126" s="30"/>
      <c r="AB126" s="29"/>
      <c r="AC126" s="29"/>
      <c r="AD126" s="37">
        <f t="shared" si="20"/>
        <v>26465</v>
      </c>
      <c r="AE126" s="3" t="str">
        <f t="shared" ca="1" si="18"/>
        <v>54 Tahun 2 bulan 17 Hari</v>
      </c>
      <c r="AF126" s="38">
        <f t="shared" si="21"/>
        <v>48396</v>
      </c>
    </row>
    <row r="127" spans="1:33" s="306" customFormat="1" ht="41.25" customHeight="1" x14ac:dyDescent="0.35">
      <c r="A127" s="26">
        <f t="shared" si="19"/>
        <v>116</v>
      </c>
      <c r="B127" s="27" t="s">
        <v>433</v>
      </c>
      <c r="C127" s="256" t="s">
        <v>469</v>
      </c>
      <c r="D127" s="257"/>
      <c r="E127" s="24" t="s">
        <v>470</v>
      </c>
      <c r="F127" s="24" t="s">
        <v>43</v>
      </c>
      <c r="G127" s="3" t="s">
        <v>471</v>
      </c>
      <c r="H127" s="4" t="s">
        <v>472</v>
      </c>
      <c r="I127" s="36" t="s">
        <v>86</v>
      </c>
      <c r="J127" s="5" t="s">
        <v>473</v>
      </c>
      <c r="K127" s="3" t="str">
        <f t="shared" ca="1" si="15"/>
        <v xml:space="preserve">5 Tahun 8 bulan </v>
      </c>
      <c r="L127" s="30" t="s">
        <v>346</v>
      </c>
      <c r="M127" s="5" t="s">
        <v>473</v>
      </c>
      <c r="N127" s="3" t="str">
        <f t="shared" ca="1" si="16"/>
        <v xml:space="preserve">5 Tahun 8 bulan </v>
      </c>
      <c r="O127" s="4" t="s">
        <v>128</v>
      </c>
      <c r="P127" s="4" t="s">
        <v>35</v>
      </c>
      <c r="Q127" s="4" t="str">
        <f t="shared" si="17"/>
        <v>Perempuan</v>
      </c>
      <c r="R127" s="4">
        <f t="shared" si="27"/>
        <v>1</v>
      </c>
      <c r="S127" s="4" t="str">
        <f t="shared" si="26"/>
        <v>1</v>
      </c>
      <c r="T127" s="4">
        <f t="shared" si="23"/>
        <v>0</v>
      </c>
      <c r="U127" s="29"/>
      <c r="V127" s="30"/>
      <c r="W127" s="30"/>
      <c r="X127" s="30"/>
      <c r="Y127" s="30"/>
      <c r="Z127" s="30"/>
      <c r="AA127" s="30"/>
      <c r="AB127" s="29"/>
      <c r="AC127" s="29"/>
      <c r="AD127" s="37">
        <f t="shared" si="20"/>
        <v>26374</v>
      </c>
      <c r="AE127" s="3" t="str">
        <f t="shared" ca="1" si="18"/>
        <v>54 Tahun 5 bulan 16 Hari</v>
      </c>
      <c r="AF127" s="38">
        <f t="shared" si="21"/>
        <v>48305</v>
      </c>
    </row>
    <row r="128" spans="1:33" s="306" customFormat="1" ht="32.15" customHeight="1" x14ac:dyDescent="0.35">
      <c r="A128" s="26">
        <f t="shared" si="19"/>
        <v>117</v>
      </c>
      <c r="B128" s="27" t="s">
        <v>433</v>
      </c>
      <c r="C128" s="26"/>
      <c r="D128" s="50" t="s">
        <v>474</v>
      </c>
      <c r="E128" s="24" t="s">
        <v>475</v>
      </c>
      <c r="F128" s="24" t="s">
        <v>43</v>
      </c>
      <c r="G128" s="3" t="s">
        <v>476</v>
      </c>
      <c r="H128" s="4" t="s">
        <v>385</v>
      </c>
      <c r="I128" s="36" t="s">
        <v>46</v>
      </c>
      <c r="J128" s="5" t="s">
        <v>87</v>
      </c>
      <c r="K128" s="3" t="str">
        <f t="shared" ca="1" si="15"/>
        <v xml:space="preserve">4 Tahun 8 bulan </v>
      </c>
      <c r="L128" s="30" t="s">
        <v>88</v>
      </c>
      <c r="M128" s="5" t="s">
        <v>87</v>
      </c>
      <c r="N128" s="3" t="str">
        <f t="shared" ca="1" si="16"/>
        <v xml:space="preserve">4 Tahun 8 bulan </v>
      </c>
      <c r="O128" s="4"/>
      <c r="P128" s="4" t="s">
        <v>35</v>
      </c>
      <c r="Q128" s="4" t="str">
        <f t="shared" si="17"/>
        <v>Perempuan</v>
      </c>
      <c r="R128" s="4">
        <f t="shared" si="27"/>
        <v>1</v>
      </c>
      <c r="S128" s="4" t="str">
        <f t="shared" si="26"/>
        <v>1</v>
      </c>
      <c r="T128" s="4">
        <f t="shared" si="23"/>
        <v>0</v>
      </c>
      <c r="U128" s="29"/>
      <c r="V128" s="30"/>
      <c r="W128" s="30"/>
      <c r="X128" s="30"/>
      <c r="Y128" s="30"/>
      <c r="Z128" s="30"/>
      <c r="AA128" s="30"/>
      <c r="AB128" s="29"/>
      <c r="AC128" s="29"/>
      <c r="AD128" s="37">
        <f t="shared" si="20"/>
        <v>28010</v>
      </c>
      <c r="AE128" s="3" t="str">
        <f t="shared" ca="1" si="18"/>
        <v>49 Tahun 11 bulan 25 Hari</v>
      </c>
      <c r="AF128" s="38">
        <f t="shared" si="21"/>
        <v>49949</v>
      </c>
    </row>
    <row r="129" spans="1:32" s="306" customFormat="1" ht="32.15" customHeight="1" x14ac:dyDescent="0.35">
      <c r="A129" s="26">
        <f t="shared" si="19"/>
        <v>118</v>
      </c>
      <c r="B129" s="27" t="s">
        <v>433</v>
      </c>
      <c r="C129" s="26"/>
      <c r="D129" s="50" t="s">
        <v>455</v>
      </c>
      <c r="E129" s="45" t="s">
        <v>477</v>
      </c>
      <c r="F129" s="24" t="s">
        <v>43</v>
      </c>
      <c r="G129" s="44" t="s">
        <v>478</v>
      </c>
      <c r="H129" s="4" t="s">
        <v>479</v>
      </c>
      <c r="I129" s="36" t="s">
        <v>350</v>
      </c>
      <c r="J129" s="5" t="s">
        <v>87</v>
      </c>
      <c r="K129" s="3" t="str">
        <f t="shared" ca="1" si="15"/>
        <v xml:space="preserve">4 Tahun 8 bulan </v>
      </c>
      <c r="L129" s="30" t="s">
        <v>88</v>
      </c>
      <c r="M129" s="5" t="s">
        <v>87</v>
      </c>
      <c r="N129" s="3" t="str">
        <f t="shared" ca="1" si="16"/>
        <v xml:space="preserve">4 Tahun 8 bulan </v>
      </c>
      <c r="O129" s="4"/>
      <c r="P129" s="4" t="s">
        <v>35</v>
      </c>
      <c r="Q129" s="4" t="str">
        <f t="shared" si="17"/>
        <v>Perempuan</v>
      </c>
      <c r="R129" s="4">
        <f t="shared" si="27"/>
        <v>1</v>
      </c>
      <c r="S129" s="4" t="str">
        <f t="shared" si="26"/>
        <v>1</v>
      </c>
      <c r="T129" s="4">
        <f t="shared" si="23"/>
        <v>0</v>
      </c>
      <c r="U129" s="29"/>
      <c r="V129" s="30" t="s">
        <v>50</v>
      </c>
      <c r="W129" s="30"/>
      <c r="X129" s="30"/>
      <c r="Y129" s="30"/>
      <c r="Z129" s="30"/>
      <c r="AA129" s="30"/>
      <c r="AB129" s="29"/>
      <c r="AC129" s="29"/>
      <c r="AD129" s="37">
        <f t="shared" si="20"/>
        <v>26047</v>
      </c>
      <c r="AE129" s="3" t="str">
        <f t="shared" ca="1" si="18"/>
        <v>55 Tahun 4 bulan 8 Hari</v>
      </c>
      <c r="AF129" s="38">
        <f t="shared" si="21"/>
        <v>47969</v>
      </c>
    </row>
    <row r="130" spans="1:32" s="306" customFormat="1" ht="32.15" customHeight="1" x14ac:dyDescent="0.35">
      <c r="A130" s="26">
        <f t="shared" si="19"/>
        <v>119</v>
      </c>
      <c r="B130" s="27" t="s">
        <v>433</v>
      </c>
      <c r="C130" s="256" t="s">
        <v>480</v>
      </c>
      <c r="D130" s="257"/>
      <c r="E130" s="24" t="s">
        <v>481</v>
      </c>
      <c r="F130" s="24" t="s">
        <v>43</v>
      </c>
      <c r="G130" s="3" t="s">
        <v>482</v>
      </c>
      <c r="H130" s="4" t="s">
        <v>385</v>
      </c>
      <c r="I130" s="33" t="s">
        <v>46</v>
      </c>
      <c r="J130" s="5" t="s">
        <v>127</v>
      </c>
      <c r="K130" s="3" t="str">
        <f t="shared" ca="1" si="15"/>
        <v xml:space="preserve">5 Tahun 6 bulan </v>
      </c>
      <c r="L130" s="30" t="s">
        <v>346</v>
      </c>
      <c r="M130" s="5" t="s">
        <v>127</v>
      </c>
      <c r="N130" s="3" t="str">
        <f t="shared" ca="1" si="16"/>
        <v xml:space="preserve">5 Tahun 6 bulan </v>
      </c>
      <c r="O130" s="35" t="s">
        <v>128</v>
      </c>
      <c r="P130" s="4" t="s">
        <v>35</v>
      </c>
      <c r="Q130" s="4" t="str">
        <f t="shared" si="17"/>
        <v>Perempuan</v>
      </c>
      <c r="R130" s="4">
        <f t="shared" si="27"/>
        <v>1</v>
      </c>
      <c r="S130" s="4" t="str">
        <f t="shared" si="26"/>
        <v>1</v>
      </c>
      <c r="T130" s="4">
        <f t="shared" si="23"/>
        <v>0</v>
      </c>
      <c r="U130" s="29"/>
      <c r="V130" s="30"/>
      <c r="W130" s="30"/>
      <c r="X130" s="30"/>
      <c r="Y130" s="30"/>
      <c r="Z130" s="30"/>
      <c r="AA130" s="30"/>
      <c r="AB130" s="29"/>
      <c r="AC130" s="29"/>
      <c r="AD130" s="37">
        <f t="shared" si="20"/>
        <v>28557</v>
      </c>
      <c r="AE130" s="3" t="str">
        <f t="shared" ca="1" si="18"/>
        <v>48 Tahun 5 bulan 24 Hari</v>
      </c>
      <c r="AF130" s="38">
        <f t="shared" si="21"/>
        <v>50496</v>
      </c>
    </row>
    <row r="131" spans="1:32" s="306" customFormat="1" ht="32.15" customHeight="1" x14ac:dyDescent="0.35">
      <c r="A131" s="26">
        <f t="shared" si="19"/>
        <v>120</v>
      </c>
      <c r="B131" s="27" t="s">
        <v>433</v>
      </c>
      <c r="C131" s="26"/>
      <c r="D131" s="50" t="s">
        <v>474</v>
      </c>
      <c r="E131" s="45" t="s">
        <v>108</v>
      </c>
      <c r="F131" s="45" t="str">
        <f t="shared" ref="F131:F132" si="28">IF(E131="LOWONG","",E131)</f>
        <v/>
      </c>
      <c r="G131" s="44"/>
      <c r="H131" s="4"/>
      <c r="I131" s="36"/>
      <c r="J131" s="5"/>
      <c r="K131" s="3" t="str">
        <f t="shared" ca="1" si="15"/>
        <v/>
      </c>
      <c r="L131" s="30" t="s">
        <v>88</v>
      </c>
      <c r="M131" s="5"/>
      <c r="N131" s="3" t="str">
        <f t="shared" ca="1" si="16"/>
        <v/>
      </c>
      <c r="O131" s="4"/>
      <c r="P131" s="4"/>
      <c r="Q131" s="4" t="str">
        <f t="shared" si="17"/>
        <v/>
      </c>
      <c r="R131" s="4">
        <f t="shared" si="27"/>
        <v>1</v>
      </c>
      <c r="S131" s="4" t="str">
        <f t="shared" si="26"/>
        <v>0</v>
      </c>
      <c r="T131" s="4">
        <f t="shared" si="23"/>
        <v>1</v>
      </c>
      <c r="U131" s="29"/>
      <c r="V131" s="30"/>
      <c r="W131" s="30"/>
      <c r="X131" s="30"/>
      <c r="Y131" s="30"/>
      <c r="Z131" s="30"/>
      <c r="AA131" s="30"/>
      <c r="AB131" s="29"/>
      <c r="AC131" s="29"/>
      <c r="AD131" s="37" t="str">
        <f t="shared" si="20"/>
        <v/>
      </c>
      <c r="AE131" s="3" t="str">
        <f t="shared" ca="1" si="18"/>
        <v/>
      </c>
      <c r="AF131" s="38" t="str">
        <f t="shared" si="21"/>
        <v/>
      </c>
    </row>
    <row r="132" spans="1:32" s="306" customFormat="1" ht="32.15" customHeight="1" x14ac:dyDescent="0.35">
      <c r="A132" s="26">
        <f t="shared" si="19"/>
        <v>121</v>
      </c>
      <c r="B132" s="27" t="s">
        <v>433</v>
      </c>
      <c r="C132" s="26"/>
      <c r="D132" s="50" t="s">
        <v>474</v>
      </c>
      <c r="E132" s="45" t="s">
        <v>108</v>
      </c>
      <c r="F132" s="45" t="str">
        <f t="shared" si="28"/>
        <v/>
      </c>
      <c r="G132" s="44"/>
      <c r="H132" s="4"/>
      <c r="I132" s="36"/>
      <c r="J132" s="5"/>
      <c r="K132" s="3" t="str">
        <f t="shared" ca="1" si="15"/>
        <v/>
      </c>
      <c r="L132" s="30" t="s">
        <v>88</v>
      </c>
      <c r="M132" s="5"/>
      <c r="N132" s="3" t="str">
        <f t="shared" ca="1" si="16"/>
        <v/>
      </c>
      <c r="O132" s="4"/>
      <c r="P132" s="4"/>
      <c r="Q132" s="4" t="str">
        <f t="shared" si="17"/>
        <v/>
      </c>
      <c r="R132" s="4">
        <f t="shared" si="27"/>
        <v>1</v>
      </c>
      <c r="S132" s="4" t="str">
        <f t="shared" si="26"/>
        <v>0</v>
      </c>
      <c r="T132" s="4">
        <f t="shared" si="23"/>
        <v>1</v>
      </c>
      <c r="U132" s="29"/>
      <c r="V132" s="30"/>
      <c r="W132" s="30"/>
      <c r="X132" s="30"/>
      <c r="Y132" s="30"/>
      <c r="Z132" s="30"/>
      <c r="AA132" s="30"/>
      <c r="AB132" s="29"/>
      <c r="AC132" s="29"/>
      <c r="AD132" s="37" t="str">
        <f t="shared" si="20"/>
        <v/>
      </c>
      <c r="AE132" s="3" t="str">
        <f t="shared" ca="1" si="18"/>
        <v/>
      </c>
      <c r="AF132" s="38" t="str">
        <f t="shared" si="21"/>
        <v/>
      </c>
    </row>
    <row r="133" spans="1:32" s="308" customFormat="1" ht="32.15" customHeight="1" x14ac:dyDescent="0.35">
      <c r="A133" s="4"/>
      <c r="B133" s="32" t="s">
        <v>483</v>
      </c>
      <c r="C133" s="269" t="s">
        <v>484</v>
      </c>
      <c r="D133" s="270"/>
      <c r="E133" s="271" t="str">
        <f ca="1">IF(J133="","",CONCATENATE(DATEDIF(J133,NOW(),"Y")," Tahun ",DATEDIF(J133,NOW(),"YM")," bulan "))</f>
        <v/>
      </c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3"/>
    </row>
    <row r="134" spans="1:32" s="306" customFormat="1" ht="32.15" customHeight="1" x14ac:dyDescent="0.35">
      <c r="A134" s="26">
        <f>A132+1</f>
        <v>122</v>
      </c>
      <c r="B134" s="27" t="s">
        <v>483</v>
      </c>
      <c r="C134" s="278" t="s">
        <v>485</v>
      </c>
      <c r="D134" s="279"/>
      <c r="E134" s="24" t="s">
        <v>2875</v>
      </c>
      <c r="F134" s="24" t="s">
        <v>43</v>
      </c>
      <c r="G134" s="3" t="s">
        <v>2876</v>
      </c>
      <c r="H134" s="36" t="s">
        <v>2874</v>
      </c>
      <c r="I134" s="33"/>
      <c r="J134" s="5"/>
      <c r="K134" s="3" t="str">
        <f t="shared" ca="1" si="15"/>
        <v/>
      </c>
      <c r="L134" s="30" t="s">
        <v>56</v>
      </c>
      <c r="M134" s="5"/>
      <c r="N134" s="3" t="str">
        <f t="shared" ca="1" si="16"/>
        <v/>
      </c>
      <c r="O134" s="4"/>
      <c r="P134" s="4" t="s">
        <v>35</v>
      </c>
      <c r="Q134" s="4" t="str">
        <f t="shared" si="17"/>
        <v>Laki-Laki</v>
      </c>
      <c r="R134" s="4">
        <f>R131</f>
        <v>1</v>
      </c>
      <c r="S134" s="4" t="e">
        <f>IF(#REF!="LOWONG","0","1")</f>
        <v>#REF!</v>
      </c>
      <c r="T134" s="4" t="e">
        <f t="shared" si="23"/>
        <v>#REF!</v>
      </c>
      <c r="U134" s="29"/>
      <c r="V134" s="30" t="s">
        <v>50</v>
      </c>
      <c r="W134" s="30"/>
      <c r="X134" s="30"/>
      <c r="Y134" s="30"/>
      <c r="Z134" s="30"/>
      <c r="AA134" s="30"/>
      <c r="AB134" s="29"/>
      <c r="AC134" s="29"/>
      <c r="AD134" s="37">
        <f t="shared" si="20"/>
        <v>26572</v>
      </c>
      <c r="AE134" s="3" t="str">
        <f t="shared" ca="1" si="18"/>
        <v>53 Tahun 11 bulan 2 Hari</v>
      </c>
      <c r="AF134" s="38">
        <f t="shared" si="21"/>
        <v>48488</v>
      </c>
    </row>
    <row r="135" spans="1:32" s="306" customFormat="1" ht="32.15" customHeight="1" x14ac:dyDescent="0.35">
      <c r="A135" s="26">
        <f t="shared" si="19"/>
        <v>123</v>
      </c>
      <c r="B135" s="27" t="s">
        <v>483</v>
      </c>
      <c r="C135" s="256" t="s">
        <v>489</v>
      </c>
      <c r="D135" s="257"/>
      <c r="E135" s="24" t="s">
        <v>2932</v>
      </c>
      <c r="F135" s="24" t="s">
        <v>43</v>
      </c>
      <c r="G135" s="4" t="s">
        <v>2933</v>
      </c>
      <c r="H135" s="4" t="s">
        <v>2934</v>
      </c>
      <c r="I135" s="4"/>
      <c r="J135" s="5">
        <v>46132</v>
      </c>
      <c r="K135" s="3" t="str">
        <f t="shared" ref="K135:K198" ca="1" si="29">IF(J135="","",CONCATENATE(DATEDIF(J135,NOW(),"Y")," Tahun ",DATEDIF(J135,NOW(),"YM")," bulan "))</f>
        <v xml:space="preserve">0 Tahun 4 bulan </v>
      </c>
      <c r="L135" s="30" t="s">
        <v>79</v>
      </c>
      <c r="M135" s="5">
        <v>46132</v>
      </c>
      <c r="N135" s="3" t="str">
        <f t="shared" ref="N135:N198" ca="1" si="30">IF(M135="","",CONCATENATE(DATEDIF(M135,NOW(),"Y")," Tahun ",DATEDIF(M135,NOW(),"YM")," bulan "))</f>
        <v xml:space="preserve">0 Tahun 4 bulan </v>
      </c>
      <c r="O135" s="4"/>
      <c r="P135" s="4" t="s">
        <v>35</v>
      </c>
      <c r="Q135" s="4" t="str">
        <f t="shared" ref="Q135:Q198" si="31">CONCATENATE(IF(MID(G135,17,1)="1","Laki-Laki",IF(MID(G135,17,1)="2","Perempuan",)))</f>
        <v>Laki-Laki</v>
      </c>
      <c r="R135" s="4">
        <f>R134</f>
        <v>1</v>
      </c>
      <c r="S135" s="4" t="str">
        <f>IF(E135="LOWONG","0","1")</f>
        <v>1</v>
      </c>
      <c r="T135" s="4">
        <f t="shared" si="23"/>
        <v>0</v>
      </c>
      <c r="U135" s="29"/>
      <c r="V135" s="30" t="s">
        <v>50</v>
      </c>
      <c r="W135" s="30"/>
      <c r="X135" s="30"/>
      <c r="Y135" s="30"/>
      <c r="Z135" s="30"/>
      <c r="AA135" s="30"/>
      <c r="AB135" s="29"/>
      <c r="AC135" s="29"/>
      <c r="AD135" s="37">
        <f t="shared" si="20"/>
        <v>28443</v>
      </c>
      <c r="AE135" s="3" t="str">
        <f t="shared" ref="AE135:AE198" ca="1" si="32">IF(TRIM(AD135)="", "", CONCATENATE(DATEDIF(AD135,NOW(),"Y")," Tahun ",DATEDIF(AD135,NOW(),"YM")," bulan ",DATEDIF(AD135,NOW(),"MD")," Hari"))</f>
        <v>48 Tahun 9 bulan 18 Hari</v>
      </c>
      <c r="AF135" s="38">
        <f t="shared" si="21"/>
        <v>50375</v>
      </c>
    </row>
    <row r="136" spans="1:32" s="306" customFormat="1" ht="32.15" customHeight="1" x14ac:dyDescent="0.35">
      <c r="A136" s="26">
        <f t="shared" ref="A136:A199" si="33">A135+1</f>
        <v>124</v>
      </c>
      <c r="B136" s="27" t="s">
        <v>483</v>
      </c>
      <c r="C136" s="26"/>
      <c r="D136" s="50" t="s">
        <v>2936</v>
      </c>
      <c r="E136" s="45" t="s">
        <v>3011</v>
      </c>
      <c r="F136" s="24" t="s">
        <v>43</v>
      </c>
      <c r="G136" s="44" t="s">
        <v>3012</v>
      </c>
      <c r="H136" s="44" t="s">
        <v>3013</v>
      </c>
      <c r="I136" s="44" t="s">
        <v>3014</v>
      </c>
      <c r="J136" s="5">
        <v>46198</v>
      </c>
      <c r="K136" s="3" t="str">
        <f t="shared" ca="1" si="29"/>
        <v xml:space="preserve">0 Tahun 2 bulan </v>
      </c>
      <c r="L136" s="44" t="s">
        <v>200</v>
      </c>
      <c r="M136" s="210">
        <v>46198</v>
      </c>
      <c r="N136" s="3" t="str">
        <f t="shared" ca="1" si="30"/>
        <v xml:space="preserve">0 Tahun 2 bulan </v>
      </c>
      <c r="O136" s="44"/>
      <c r="P136" s="44" t="str">
        <f t="shared" ref="P136:V136" si="34">P988</f>
        <v>Islam</v>
      </c>
      <c r="Q136" s="4" t="str">
        <f t="shared" si="31"/>
        <v>Laki-Laki</v>
      </c>
      <c r="R136" s="44">
        <f t="shared" si="34"/>
        <v>1</v>
      </c>
      <c r="S136" s="44" t="str">
        <f t="shared" si="34"/>
        <v>1</v>
      </c>
      <c r="T136" s="44">
        <f t="shared" si="34"/>
        <v>0</v>
      </c>
      <c r="U136" s="44">
        <f t="shared" si="34"/>
        <v>0</v>
      </c>
      <c r="V136" s="44" t="str">
        <f t="shared" si="34"/>
        <v>Baik</v>
      </c>
      <c r="W136" s="30"/>
      <c r="X136" s="30"/>
      <c r="Y136" s="30"/>
      <c r="Z136" s="30"/>
      <c r="AA136" s="30"/>
      <c r="AB136" s="29"/>
      <c r="AC136" s="29"/>
      <c r="AD136" s="37">
        <f t="shared" ref="AD136:AD199" si="35">IF(TRIM(G136)="", "", DATE(LEFT(G136,4),MID(G136,5,2),MID(G136,7,2)))</f>
        <v>30891</v>
      </c>
      <c r="AE136" s="3" t="str">
        <f t="shared" ca="1" si="32"/>
        <v>42 Tahun 1 bulan 4 Hari</v>
      </c>
      <c r="AF136" s="38">
        <f t="shared" ref="AF136:AF199" si="36">IF(TRIM(AD136)="","",DATE(YEAR(AD136)+60,MONTH(AD136)+1,1))</f>
        <v>52810</v>
      </c>
    </row>
    <row r="137" spans="1:32" s="306" customFormat="1" ht="32.15" customHeight="1" x14ac:dyDescent="0.35">
      <c r="A137" s="26">
        <f t="shared" si="33"/>
        <v>125</v>
      </c>
      <c r="B137" s="27" t="s">
        <v>483</v>
      </c>
      <c r="C137" s="26"/>
      <c r="D137" s="50" t="s">
        <v>492</v>
      </c>
      <c r="E137" s="39" t="s">
        <v>493</v>
      </c>
      <c r="F137" s="24" t="s">
        <v>43</v>
      </c>
      <c r="G137" s="25" t="s">
        <v>494</v>
      </c>
      <c r="H137" s="4" t="s">
        <v>94</v>
      </c>
      <c r="I137" s="25" t="s">
        <v>495</v>
      </c>
      <c r="J137" s="5" t="s">
        <v>87</v>
      </c>
      <c r="K137" s="3" t="str">
        <f t="shared" ca="1" si="29"/>
        <v xml:space="preserve">4 Tahun 8 bulan </v>
      </c>
      <c r="L137" s="30" t="s">
        <v>88</v>
      </c>
      <c r="M137" s="5" t="s">
        <v>87</v>
      </c>
      <c r="N137" s="3" t="str">
        <f t="shared" ca="1" si="30"/>
        <v xml:space="preserve">4 Tahun 8 bulan </v>
      </c>
      <c r="O137" s="4"/>
      <c r="P137" s="4" t="s">
        <v>35</v>
      </c>
      <c r="Q137" s="4" t="str">
        <f t="shared" si="31"/>
        <v>Laki-Laki</v>
      </c>
      <c r="R137" s="4">
        <f t="shared" si="27"/>
        <v>1</v>
      </c>
      <c r="S137" s="4" t="str">
        <f t="shared" ref="S137:S158" si="37">IF(E137="LOWONG","0","1")</f>
        <v>1</v>
      </c>
      <c r="T137" s="4">
        <f t="shared" si="23"/>
        <v>0</v>
      </c>
      <c r="U137" s="29"/>
      <c r="V137" s="30" t="s">
        <v>50</v>
      </c>
      <c r="W137" s="30"/>
      <c r="X137" s="30"/>
      <c r="Y137" s="30"/>
      <c r="Z137" s="30"/>
      <c r="AA137" s="30"/>
      <c r="AB137" s="29"/>
      <c r="AC137" s="29"/>
      <c r="AD137" s="37">
        <f t="shared" si="35"/>
        <v>29510</v>
      </c>
      <c r="AE137" s="3" t="str">
        <f t="shared" ca="1" si="32"/>
        <v>45 Tahun 10 bulan 16 Hari</v>
      </c>
      <c r="AF137" s="38">
        <f t="shared" si="36"/>
        <v>51441</v>
      </c>
    </row>
    <row r="138" spans="1:32" s="306" customFormat="1" ht="32.15" customHeight="1" x14ac:dyDescent="0.35">
      <c r="A138" s="26">
        <f t="shared" si="33"/>
        <v>126</v>
      </c>
      <c r="B138" s="27" t="s">
        <v>483</v>
      </c>
      <c r="C138" s="26"/>
      <c r="D138" s="50" t="s">
        <v>496</v>
      </c>
      <c r="E138" s="24" t="s">
        <v>497</v>
      </c>
      <c r="F138" s="24" t="s">
        <v>43</v>
      </c>
      <c r="G138" s="4" t="s">
        <v>498</v>
      </c>
      <c r="H138" s="4" t="s">
        <v>91</v>
      </c>
      <c r="I138" s="4" t="s">
        <v>86</v>
      </c>
      <c r="J138" s="5" t="s">
        <v>87</v>
      </c>
      <c r="K138" s="3" t="str">
        <f t="shared" ca="1" si="29"/>
        <v xml:space="preserve">4 Tahun 8 bulan </v>
      </c>
      <c r="L138" s="30" t="s">
        <v>88</v>
      </c>
      <c r="M138" s="5" t="s">
        <v>87</v>
      </c>
      <c r="N138" s="3" t="str">
        <f t="shared" ca="1" si="30"/>
        <v xml:space="preserve">4 Tahun 8 bulan </v>
      </c>
      <c r="O138" s="4"/>
      <c r="P138" s="4" t="s">
        <v>35</v>
      </c>
      <c r="Q138" s="4" t="str">
        <f t="shared" si="31"/>
        <v>Perempuan</v>
      </c>
      <c r="R138" s="4">
        <f t="shared" si="27"/>
        <v>1</v>
      </c>
      <c r="S138" s="4" t="str">
        <f t="shared" si="37"/>
        <v>1</v>
      </c>
      <c r="T138" s="4">
        <f t="shared" si="23"/>
        <v>0</v>
      </c>
      <c r="U138" s="29"/>
      <c r="V138" s="30"/>
      <c r="W138" s="30"/>
      <c r="X138" s="30"/>
      <c r="Y138" s="30"/>
      <c r="Z138" s="30"/>
      <c r="AA138" s="30"/>
      <c r="AB138" s="29"/>
      <c r="AC138" s="29"/>
      <c r="AD138" s="37">
        <f t="shared" si="35"/>
        <v>29970</v>
      </c>
      <c r="AE138" s="3" t="str">
        <f t="shared" ca="1" si="32"/>
        <v>44 Tahun 7 bulan 13 Hari</v>
      </c>
      <c r="AF138" s="38">
        <f t="shared" si="36"/>
        <v>51898</v>
      </c>
    </row>
    <row r="139" spans="1:32" s="306" customFormat="1" ht="32.15" customHeight="1" x14ac:dyDescent="0.35">
      <c r="A139" s="26">
        <f t="shared" si="33"/>
        <v>127</v>
      </c>
      <c r="B139" s="27" t="s">
        <v>483</v>
      </c>
      <c r="C139" s="256" t="s">
        <v>499</v>
      </c>
      <c r="D139" s="257"/>
      <c r="E139" s="24" t="s">
        <v>1133</v>
      </c>
      <c r="F139" s="24" t="s">
        <v>43</v>
      </c>
      <c r="G139" s="3" t="s">
        <v>1134</v>
      </c>
      <c r="H139" s="4" t="s">
        <v>462</v>
      </c>
      <c r="I139" s="4" t="s">
        <v>2886</v>
      </c>
      <c r="J139" s="5">
        <v>46087</v>
      </c>
      <c r="K139" s="3" t="str">
        <f t="shared" ca="1" si="29"/>
        <v xml:space="preserve">0 Tahun 5 bulan </v>
      </c>
      <c r="L139" s="30" t="s">
        <v>346</v>
      </c>
      <c r="M139" s="5">
        <v>46087</v>
      </c>
      <c r="N139" s="3" t="str">
        <f t="shared" ca="1" si="30"/>
        <v xml:space="preserve">0 Tahun 5 bulan </v>
      </c>
      <c r="O139" s="4"/>
      <c r="P139" s="4" t="s">
        <v>35</v>
      </c>
      <c r="Q139" s="4" t="str">
        <f t="shared" si="31"/>
        <v>Perempuan</v>
      </c>
      <c r="R139" s="4">
        <f t="shared" si="27"/>
        <v>1</v>
      </c>
      <c r="S139" s="4" t="str">
        <f t="shared" si="37"/>
        <v>1</v>
      </c>
      <c r="T139" s="4">
        <f t="shared" si="23"/>
        <v>0</v>
      </c>
      <c r="U139" s="29"/>
      <c r="V139" s="30" t="s">
        <v>50</v>
      </c>
      <c r="W139" s="30"/>
      <c r="X139" s="30"/>
      <c r="Y139" s="30"/>
      <c r="Z139" s="30"/>
      <c r="AA139" s="30"/>
      <c r="AB139" s="29"/>
      <c r="AC139" s="29"/>
      <c r="AD139" s="37">
        <f t="shared" si="35"/>
        <v>28916</v>
      </c>
      <c r="AE139" s="3" t="str">
        <f t="shared" ca="1" si="32"/>
        <v>47 Tahun 5 bulan 30 Hari</v>
      </c>
      <c r="AF139" s="38">
        <f t="shared" si="36"/>
        <v>50861</v>
      </c>
    </row>
    <row r="140" spans="1:32" s="306" customFormat="1" ht="32.15" customHeight="1" x14ac:dyDescent="0.35">
      <c r="A140" s="26">
        <f t="shared" si="33"/>
        <v>128</v>
      </c>
      <c r="B140" s="27" t="s">
        <v>483</v>
      </c>
      <c r="C140" s="26"/>
      <c r="D140" s="67" t="s">
        <v>500</v>
      </c>
      <c r="E140" s="24" t="s">
        <v>2895</v>
      </c>
      <c r="F140" s="24" t="s">
        <v>43</v>
      </c>
      <c r="G140" s="4" t="s">
        <v>2896</v>
      </c>
      <c r="H140" s="4" t="s">
        <v>2897</v>
      </c>
      <c r="I140" s="25" t="s">
        <v>2861</v>
      </c>
      <c r="J140" s="5">
        <v>46087</v>
      </c>
      <c r="K140" s="3" t="str">
        <f t="shared" ca="1" si="29"/>
        <v xml:space="preserve">0 Tahun 5 bulan </v>
      </c>
      <c r="L140" s="30" t="s">
        <v>200</v>
      </c>
      <c r="M140" s="5">
        <v>46087</v>
      </c>
      <c r="N140" s="3" t="str">
        <f t="shared" ca="1" si="30"/>
        <v xml:space="preserve">0 Tahun 5 bulan </v>
      </c>
      <c r="O140" s="4"/>
      <c r="P140" s="4" t="s">
        <v>35</v>
      </c>
      <c r="Q140" s="4" t="str">
        <f t="shared" si="31"/>
        <v>Perempuan</v>
      </c>
      <c r="R140" s="4">
        <f t="shared" si="27"/>
        <v>1</v>
      </c>
      <c r="S140" s="4" t="str">
        <f t="shared" si="37"/>
        <v>1</v>
      </c>
      <c r="T140" s="4">
        <f t="shared" si="23"/>
        <v>0</v>
      </c>
      <c r="U140" s="29"/>
      <c r="V140" s="30" t="s">
        <v>50</v>
      </c>
      <c r="W140" s="30"/>
      <c r="X140" s="30"/>
      <c r="Y140" s="30"/>
      <c r="Z140" s="30"/>
      <c r="AA140" s="30"/>
      <c r="AB140" s="29"/>
      <c r="AC140" s="29"/>
      <c r="AD140" s="37">
        <f t="shared" si="35"/>
        <v>28315</v>
      </c>
      <c r="AE140" s="3" t="str">
        <f t="shared" ca="1" si="32"/>
        <v>49 Tahun 1 bulan 23 Hari</v>
      </c>
      <c r="AF140" s="38">
        <f t="shared" si="36"/>
        <v>50253</v>
      </c>
    </row>
    <row r="141" spans="1:32" s="306" customFormat="1" ht="32.15" customHeight="1" x14ac:dyDescent="0.35">
      <c r="A141" s="26">
        <f t="shared" si="33"/>
        <v>129</v>
      </c>
      <c r="B141" s="27" t="s">
        <v>483</v>
      </c>
      <c r="C141" s="26"/>
      <c r="D141" s="67" t="s">
        <v>502</v>
      </c>
      <c r="E141" s="24" t="s">
        <v>2289</v>
      </c>
      <c r="F141" s="24" t="s">
        <v>43</v>
      </c>
      <c r="G141" s="4" t="s">
        <v>2290</v>
      </c>
      <c r="H141" s="4" t="s">
        <v>2894</v>
      </c>
      <c r="I141" s="33" t="s">
        <v>1961</v>
      </c>
      <c r="J141" s="5">
        <v>46087</v>
      </c>
      <c r="K141" s="3" t="str">
        <f t="shared" ca="1" si="29"/>
        <v xml:space="preserve">0 Tahun 5 bulan </v>
      </c>
      <c r="L141" s="30" t="s">
        <v>200</v>
      </c>
      <c r="M141" s="5"/>
      <c r="N141" s="3" t="str">
        <f t="shared" ca="1" si="30"/>
        <v/>
      </c>
      <c r="O141" s="4"/>
      <c r="P141" s="4" t="s">
        <v>35</v>
      </c>
      <c r="Q141" s="4" t="str">
        <f t="shared" si="31"/>
        <v>Perempuan</v>
      </c>
      <c r="R141" s="4">
        <f t="shared" si="27"/>
        <v>1</v>
      </c>
      <c r="S141" s="4" t="str">
        <f t="shared" si="37"/>
        <v>1</v>
      </c>
      <c r="T141" s="4">
        <f t="shared" si="23"/>
        <v>0</v>
      </c>
      <c r="U141" s="29"/>
      <c r="V141" s="30"/>
      <c r="W141" s="30"/>
      <c r="X141" s="30"/>
      <c r="Y141" s="30"/>
      <c r="Z141" s="30"/>
      <c r="AA141" s="30"/>
      <c r="AB141" s="29"/>
      <c r="AC141" s="29"/>
      <c r="AD141" s="37">
        <f t="shared" si="35"/>
        <v>27864</v>
      </c>
      <c r="AE141" s="3" t="str">
        <f t="shared" ca="1" si="32"/>
        <v>50 Tahun 4 bulan 18 Hari</v>
      </c>
      <c r="AF141" s="38">
        <f t="shared" si="36"/>
        <v>49796</v>
      </c>
    </row>
    <row r="142" spans="1:32" s="306" customFormat="1" ht="32.15" customHeight="1" x14ac:dyDescent="0.35">
      <c r="A142" s="26">
        <f t="shared" si="33"/>
        <v>130</v>
      </c>
      <c r="B142" s="27" t="s">
        <v>483</v>
      </c>
      <c r="C142" s="26"/>
      <c r="D142" s="67" t="s">
        <v>504</v>
      </c>
      <c r="E142" s="24" t="s">
        <v>108</v>
      </c>
      <c r="F142" s="24"/>
      <c r="G142" s="3"/>
      <c r="H142" s="4"/>
      <c r="I142" s="4"/>
      <c r="J142" s="5"/>
      <c r="K142" s="3" t="str">
        <f t="shared" ca="1" si="29"/>
        <v/>
      </c>
      <c r="L142" s="30" t="s">
        <v>88</v>
      </c>
      <c r="M142" s="5"/>
      <c r="N142" s="3" t="str">
        <f t="shared" ca="1" si="30"/>
        <v/>
      </c>
      <c r="O142" s="4"/>
      <c r="P142" s="4"/>
      <c r="Q142" s="4" t="str">
        <f t="shared" si="31"/>
        <v/>
      </c>
      <c r="R142" s="4">
        <f t="shared" si="27"/>
        <v>1</v>
      </c>
      <c r="S142" s="4" t="str">
        <f t="shared" si="37"/>
        <v>0</v>
      </c>
      <c r="T142" s="4">
        <f t="shared" si="23"/>
        <v>1</v>
      </c>
      <c r="U142" s="29"/>
      <c r="V142" s="30"/>
      <c r="W142" s="30"/>
      <c r="X142" s="30"/>
      <c r="Y142" s="30"/>
      <c r="Z142" s="30"/>
      <c r="AA142" s="30"/>
      <c r="AB142" s="29"/>
      <c r="AC142" s="29"/>
      <c r="AD142" s="37" t="str">
        <f t="shared" si="35"/>
        <v/>
      </c>
      <c r="AE142" s="3" t="str">
        <f t="shared" ca="1" si="32"/>
        <v/>
      </c>
      <c r="AF142" s="38" t="str">
        <f t="shared" si="36"/>
        <v/>
      </c>
    </row>
    <row r="143" spans="1:32" s="306" customFormat="1" ht="32.15" customHeight="1" x14ac:dyDescent="0.35">
      <c r="A143" s="26">
        <f t="shared" si="33"/>
        <v>131</v>
      </c>
      <c r="B143" s="27" t="s">
        <v>483</v>
      </c>
      <c r="C143" s="256" t="s">
        <v>505</v>
      </c>
      <c r="D143" s="257"/>
      <c r="E143" s="24" t="s">
        <v>2883</v>
      </c>
      <c r="F143" s="24" t="s">
        <v>43</v>
      </c>
      <c r="G143" s="4" t="s">
        <v>2884</v>
      </c>
      <c r="H143" s="4" t="s">
        <v>2885</v>
      </c>
      <c r="I143" s="4" t="s">
        <v>1020</v>
      </c>
      <c r="J143" s="5">
        <v>46087</v>
      </c>
      <c r="K143" s="3" t="str">
        <f t="shared" ca="1" si="29"/>
        <v xml:space="preserve">0 Tahun 5 bulan </v>
      </c>
      <c r="L143" s="30" t="s">
        <v>346</v>
      </c>
      <c r="M143" s="5">
        <v>46087</v>
      </c>
      <c r="N143" s="3" t="str">
        <f t="shared" ca="1" si="30"/>
        <v xml:space="preserve">0 Tahun 5 bulan </v>
      </c>
      <c r="O143" s="4"/>
      <c r="P143" s="4" t="s">
        <v>35</v>
      </c>
      <c r="Q143" s="4" t="str">
        <f t="shared" si="31"/>
        <v>Laki-Laki</v>
      </c>
      <c r="R143" s="4">
        <f t="shared" si="27"/>
        <v>1</v>
      </c>
      <c r="S143" s="4" t="str">
        <f t="shared" si="37"/>
        <v>1</v>
      </c>
      <c r="T143" s="4">
        <f t="shared" si="23"/>
        <v>0</v>
      </c>
      <c r="U143" s="29"/>
      <c r="V143" s="30" t="s">
        <v>50</v>
      </c>
      <c r="W143" s="30"/>
      <c r="X143" s="30"/>
      <c r="Y143" s="30"/>
      <c r="Z143" s="30"/>
      <c r="AA143" s="30"/>
      <c r="AB143" s="29"/>
      <c r="AC143" s="29"/>
      <c r="AD143" s="37">
        <f t="shared" si="35"/>
        <v>25389</v>
      </c>
      <c r="AE143" s="3" t="str">
        <f t="shared" ca="1" si="32"/>
        <v>57 Tahun 1 bulan 27 Hari</v>
      </c>
      <c r="AF143" s="38">
        <f t="shared" si="36"/>
        <v>47331</v>
      </c>
    </row>
    <row r="144" spans="1:32" s="306" customFormat="1" ht="32.15" customHeight="1" x14ac:dyDescent="0.35">
      <c r="A144" s="26">
        <f t="shared" si="33"/>
        <v>132</v>
      </c>
      <c r="B144" s="27" t="s">
        <v>483</v>
      </c>
      <c r="C144" s="26"/>
      <c r="D144" s="67" t="s">
        <v>507</v>
      </c>
      <c r="E144" s="24" t="s">
        <v>2146</v>
      </c>
      <c r="F144" s="24" t="s">
        <v>43</v>
      </c>
      <c r="G144" s="3" t="s">
        <v>2147</v>
      </c>
      <c r="H144" s="4" t="s">
        <v>1936</v>
      </c>
      <c r="I144" s="4" t="s">
        <v>2898</v>
      </c>
      <c r="J144" s="5">
        <v>46087</v>
      </c>
      <c r="K144" s="3" t="str">
        <f t="shared" ca="1" si="29"/>
        <v xml:space="preserve">0 Tahun 5 bulan </v>
      </c>
      <c r="L144" s="30" t="s">
        <v>200</v>
      </c>
      <c r="M144" s="5">
        <v>45187</v>
      </c>
      <c r="N144" s="3" t="str">
        <f t="shared" ca="1" si="30"/>
        <v xml:space="preserve">2 Tahun 11 bulan </v>
      </c>
      <c r="O144" s="24"/>
      <c r="P144" s="4" t="s">
        <v>35</v>
      </c>
      <c r="Q144" s="4" t="str">
        <f t="shared" si="31"/>
        <v>Laki-Laki</v>
      </c>
      <c r="R144" s="4">
        <f t="shared" si="27"/>
        <v>1</v>
      </c>
      <c r="S144" s="4" t="str">
        <f t="shared" si="37"/>
        <v>1</v>
      </c>
      <c r="T144" s="4">
        <f t="shared" si="23"/>
        <v>0</v>
      </c>
      <c r="U144" s="29"/>
      <c r="V144" s="30"/>
      <c r="W144" s="30"/>
      <c r="X144" s="30"/>
      <c r="Y144" s="30"/>
      <c r="Z144" s="30"/>
      <c r="AA144" s="30"/>
      <c r="AB144" s="29"/>
      <c r="AC144" s="29"/>
      <c r="AD144" s="37">
        <f t="shared" si="35"/>
        <v>25321</v>
      </c>
      <c r="AE144" s="3" t="str">
        <f t="shared" ca="1" si="32"/>
        <v>57 Tahun 4 bulan 4 Hari</v>
      </c>
      <c r="AF144" s="38">
        <f t="shared" si="36"/>
        <v>47239</v>
      </c>
    </row>
    <row r="145" spans="1:33" s="306" customFormat="1" ht="32.15" customHeight="1" x14ac:dyDescent="0.35">
      <c r="A145" s="26">
        <f t="shared" si="33"/>
        <v>133</v>
      </c>
      <c r="B145" s="27" t="s">
        <v>483</v>
      </c>
      <c r="C145" s="26"/>
      <c r="D145" s="67" t="s">
        <v>508</v>
      </c>
      <c r="E145" s="24" t="s">
        <v>3009</v>
      </c>
      <c r="F145" s="24" t="s">
        <v>43</v>
      </c>
      <c r="G145" s="3" t="s">
        <v>3010</v>
      </c>
      <c r="H145" s="4" t="s">
        <v>2662</v>
      </c>
      <c r="I145" s="4" t="s">
        <v>2715</v>
      </c>
      <c r="J145" s="5">
        <v>46198</v>
      </c>
      <c r="K145" s="3" t="str">
        <f t="shared" ca="1" si="29"/>
        <v xml:space="preserve">0 Tahun 2 bulan </v>
      </c>
      <c r="L145" s="30" t="s">
        <v>200</v>
      </c>
      <c r="M145" s="5">
        <v>46198</v>
      </c>
      <c r="N145" s="3" t="str">
        <f t="shared" ca="1" si="30"/>
        <v xml:space="preserve">0 Tahun 2 bulan </v>
      </c>
      <c r="O145" s="24"/>
      <c r="P145" s="4" t="s">
        <v>35</v>
      </c>
      <c r="Q145" s="4" t="str">
        <f t="shared" si="31"/>
        <v>Laki-Laki</v>
      </c>
      <c r="R145" s="4">
        <f t="shared" si="27"/>
        <v>1</v>
      </c>
      <c r="S145" s="4" t="str">
        <f t="shared" si="37"/>
        <v>1</v>
      </c>
      <c r="T145" s="4">
        <f t="shared" si="23"/>
        <v>0</v>
      </c>
      <c r="U145" s="29"/>
      <c r="V145" s="30" t="s">
        <v>50</v>
      </c>
      <c r="W145" s="30"/>
      <c r="X145" s="30"/>
      <c r="Y145" s="30"/>
      <c r="Z145" s="30"/>
      <c r="AA145" s="30"/>
      <c r="AB145" s="29"/>
      <c r="AC145" s="29"/>
      <c r="AD145" s="37">
        <f t="shared" si="35"/>
        <v>32301</v>
      </c>
      <c r="AE145" s="3" t="str">
        <f t="shared" ca="1" si="32"/>
        <v>38 Tahun 2 bulan 25 Hari</v>
      </c>
      <c r="AF145" s="38">
        <f t="shared" si="36"/>
        <v>54240</v>
      </c>
    </row>
    <row r="146" spans="1:33" s="306" customFormat="1" ht="32.15" customHeight="1" x14ac:dyDescent="0.35">
      <c r="A146" s="26">
        <f t="shared" si="33"/>
        <v>134</v>
      </c>
      <c r="B146" s="27" t="s">
        <v>483</v>
      </c>
      <c r="C146" s="26"/>
      <c r="D146" s="67" t="s">
        <v>511</v>
      </c>
      <c r="E146" s="45" t="s">
        <v>512</v>
      </c>
      <c r="F146" s="24" t="s">
        <v>43</v>
      </c>
      <c r="G146" s="4" t="s">
        <v>513</v>
      </c>
      <c r="H146" s="4" t="s">
        <v>85</v>
      </c>
      <c r="I146" s="4" t="s">
        <v>514</v>
      </c>
      <c r="J146" s="5" t="s">
        <v>515</v>
      </c>
      <c r="K146" s="3" t="str">
        <f t="shared" ca="1" si="29"/>
        <v xml:space="preserve">4 Tahun 8 bulan </v>
      </c>
      <c r="L146" s="30" t="s">
        <v>88</v>
      </c>
      <c r="M146" s="5" t="s">
        <v>87</v>
      </c>
      <c r="N146" s="3" t="str">
        <f t="shared" ca="1" si="30"/>
        <v xml:space="preserve">4 Tahun 8 bulan </v>
      </c>
      <c r="O146" s="4"/>
      <c r="P146" s="4" t="s">
        <v>35</v>
      </c>
      <c r="Q146" s="4" t="str">
        <f t="shared" si="31"/>
        <v>Perempuan</v>
      </c>
      <c r="R146" s="4">
        <f t="shared" si="27"/>
        <v>1</v>
      </c>
      <c r="S146" s="4" t="str">
        <f t="shared" si="37"/>
        <v>1</v>
      </c>
      <c r="T146" s="4">
        <f t="shared" si="23"/>
        <v>0</v>
      </c>
      <c r="U146" s="29"/>
      <c r="V146" s="30"/>
      <c r="W146" s="30"/>
      <c r="X146" s="30"/>
      <c r="Y146" s="30"/>
      <c r="Z146" s="30"/>
      <c r="AA146" s="30"/>
      <c r="AB146" s="29"/>
      <c r="AC146" s="29"/>
      <c r="AD146" s="37">
        <f t="shared" si="35"/>
        <v>30375</v>
      </c>
      <c r="AE146" s="3" t="str">
        <f t="shared" ca="1" si="32"/>
        <v>43 Tahun 6 bulan 4 Hari</v>
      </c>
      <c r="AF146" s="38">
        <f t="shared" si="36"/>
        <v>52291</v>
      </c>
    </row>
    <row r="147" spans="1:33" s="306" customFormat="1" ht="32.15" customHeight="1" x14ac:dyDescent="0.35">
      <c r="A147" s="26">
        <f t="shared" si="33"/>
        <v>135</v>
      </c>
      <c r="B147" s="27" t="s">
        <v>483</v>
      </c>
      <c r="C147" s="256" t="s">
        <v>516</v>
      </c>
      <c r="D147" s="257"/>
      <c r="E147" s="45" t="s">
        <v>517</v>
      </c>
      <c r="F147" s="24" t="s">
        <v>43</v>
      </c>
      <c r="G147" s="36" t="s">
        <v>2817</v>
      </c>
      <c r="H147" s="4" t="s">
        <v>1154</v>
      </c>
      <c r="I147" s="36" t="s">
        <v>2818</v>
      </c>
      <c r="J147" s="5">
        <v>45993</v>
      </c>
      <c r="K147" s="3" t="str">
        <f t="shared" ca="1" si="29"/>
        <v xml:space="preserve">0 Tahun 8 bulan </v>
      </c>
      <c r="L147" s="30" t="s">
        <v>346</v>
      </c>
      <c r="M147" s="5"/>
      <c r="N147" s="3" t="str">
        <f t="shared" ca="1" si="30"/>
        <v/>
      </c>
      <c r="O147" s="4"/>
      <c r="P147" s="4" t="s">
        <v>35</v>
      </c>
      <c r="Q147" s="4" t="str">
        <f t="shared" si="31"/>
        <v>Perempuan</v>
      </c>
      <c r="R147" s="4">
        <f t="shared" si="27"/>
        <v>1</v>
      </c>
      <c r="S147" s="4" t="str">
        <f t="shared" si="37"/>
        <v>1</v>
      </c>
      <c r="T147" s="4">
        <f t="shared" ref="T147:T217" si="38">R147-S147</f>
        <v>0</v>
      </c>
      <c r="U147" s="29"/>
      <c r="V147" s="30"/>
      <c r="W147" s="30"/>
      <c r="X147" s="30"/>
      <c r="Y147" s="30"/>
      <c r="Z147" s="30"/>
      <c r="AA147" s="30"/>
      <c r="AB147" s="29"/>
      <c r="AC147" s="29"/>
      <c r="AD147" s="37">
        <f t="shared" si="35"/>
        <v>29084</v>
      </c>
      <c r="AE147" s="3" t="str">
        <f t="shared" ca="1" si="32"/>
        <v>47 Tahun 0 bulan 15 Hari</v>
      </c>
      <c r="AF147" s="38">
        <f t="shared" si="36"/>
        <v>51014</v>
      </c>
    </row>
    <row r="148" spans="1:33" s="306" customFormat="1" ht="32.15" customHeight="1" x14ac:dyDescent="0.35">
      <c r="A148" s="26">
        <f t="shared" si="33"/>
        <v>136</v>
      </c>
      <c r="B148" s="27" t="s">
        <v>483</v>
      </c>
      <c r="C148" s="26"/>
      <c r="D148" s="67" t="s">
        <v>518</v>
      </c>
      <c r="E148" s="24" t="s">
        <v>1349</v>
      </c>
      <c r="F148" s="24" t="s">
        <v>43</v>
      </c>
      <c r="G148" s="4" t="s">
        <v>1350</v>
      </c>
      <c r="H148" s="4" t="s">
        <v>2962</v>
      </c>
      <c r="I148" s="33" t="s">
        <v>2965</v>
      </c>
      <c r="J148" s="5">
        <v>46198</v>
      </c>
      <c r="K148" s="3" t="str">
        <f t="shared" ca="1" si="29"/>
        <v xml:space="preserve">0 Tahun 2 bulan </v>
      </c>
      <c r="L148" s="30" t="s">
        <v>200</v>
      </c>
      <c r="M148" s="5">
        <v>44280</v>
      </c>
      <c r="N148" s="3" t="str">
        <f t="shared" ca="1" si="30"/>
        <v xml:space="preserve">5 Tahun 5 bulan </v>
      </c>
      <c r="O148" s="30"/>
      <c r="P148" s="4"/>
      <c r="Q148" s="4" t="str">
        <f t="shared" si="31"/>
        <v>Perempuan</v>
      </c>
      <c r="R148" s="4">
        <f t="shared" si="27"/>
        <v>1</v>
      </c>
      <c r="S148" s="4" t="str">
        <f t="shared" si="37"/>
        <v>1</v>
      </c>
      <c r="T148" s="4">
        <f t="shared" si="38"/>
        <v>0</v>
      </c>
      <c r="U148" s="29"/>
      <c r="V148" s="30"/>
      <c r="W148" s="30"/>
      <c r="X148" s="30"/>
      <c r="Y148" s="30"/>
      <c r="Z148" s="30"/>
      <c r="AA148" s="30"/>
      <c r="AB148" s="29"/>
      <c r="AC148" s="29"/>
      <c r="AD148" s="37">
        <f t="shared" si="35"/>
        <v>28426</v>
      </c>
      <c r="AE148" s="3" t="str">
        <f t="shared" ca="1" si="32"/>
        <v>48 Tahun 10 bulan 4 Hari</v>
      </c>
      <c r="AF148" s="38">
        <f t="shared" si="36"/>
        <v>50345</v>
      </c>
    </row>
    <row r="149" spans="1:33" s="306" customFormat="1" ht="32.15" customHeight="1" x14ac:dyDescent="0.35">
      <c r="A149" s="26">
        <f t="shared" si="33"/>
        <v>137</v>
      </c>
      <c r="B149" s="27" t="s">
        <v>483</v>
      </c>
      <c r="C149" s="26"/>
      <c r="D149" s="67" t="s">
        <v>519</v>
      </c>
      <c r="E149" s="24" t="s">
        <v>108</v>
      </c>
      <c r="F149" s="24"/>
      <c r="G149" s="4"/>
      <c r="H149" s="4"/>
      <c r="I149" s="33"/>
      <c r="J149" s="5"/>
      <c r="K149" s="3" t="str">
        <f t="shared" ca="1" si="29"/>
        <v/>
      </c>
      <c r="L149" s="30" t="s">
        <v>200</v>
      </c>
      <c r="M149" s="5"/>
      <c r="N149" s="3" t="str">
        <f t="shared" ca="1" si="30"/>
        <v/>
      </c>
      <c r="O149" s="4"/>
      <c r="P149" s="4" t="s">
        <v>35</v>
      </c>
      <c r="Q149" s="4" t="str">
        <f t="shared" si="31"/>
        <v/>
      </c>
      <c r="R149" s="4">
        <f t="shared" si="27"/>
        <v>1</v>
      </c>
      <c r="S149" s="4" t="str">
        <f t="shared" si="37"/>
        <v>0</v>
      </c>
      <c r="T149" s="4">
        <f t="shared" si="38"/>
        <v>1</v>
      </c>
      <c r="U149" s="29"/>
      <c r="V149" s="30" t="s">
        <v>50</v>
      </c>
      <c r="W149" s="30"/>
      <c r="X149" s="30"/>
      <c r="Y149" s="30"/>
      <c r="Z149" s="30"/>
      <c r="AA149" s="30"/>
      <c r="AB149" s="29"/>
      <c r="AC149" s="29"/>
      <c r="AD149" s="37" t="str">
        <f t="shared" si="35"/>
        <v/>
      </c>
      <c r="AE149" s="3" t="str">
        <f t="shared" ca="1" si="32"/>
        <v/>
      </c>
      <c r="AF149" s="38" t="str">
        <f t="shared" si="36"/>
        <v/>
      </c>
    </row>
    <row r="150" spans="1:33" s="306" customFormat="1" ht="32.15" customHeight="1" x14ac:dyDescent="0.35">
      <c r="A150" s="26">
        <f t="shared" si="33"/>
        <v>138</v>
      </c>
      <c r="B150" s="27" t="s">
        <v>483</v>
      </c>
      <c r="C150" s="26"/>
      <c r="D150" s="67" t="s">
        <v>520</v>
      </c>
      <c r="E150" s="24" t="s">
        <v>521</v>
      </c>
      <c r="F150" s="24" t="s">
        <v>43</v>
      </c>
      <c r="G150" s="3" t="s">
        <v>522</v>
      </c>
      <c r="H150" s="4" t="s">
        <v>523</v>
      </c>
      <c r="I150" s="4" t="s">
        <v>524</v>
      </c>
      <c r="J150" s="5" t="s">
        <v>87</v>
      </c>
      <c r="K150" s="3" t="str">
        <f t="shared" ca="1" si="29"/>
        <v xml:space="preserve">4 Tahun 8 bulan </v>
      </c>
      <c r="L150" s="30" t="s">
        <v>88</v>
      </c>
      <c r="M150" s="5" t="s">
        <v>87</v>
      </c>
      <c r="N150" s="3" t="str">
        <f t="shared" ca="1" si="30"/>
        <v xml:space="preserve">4 Tahun 8 bulan </v>
      </c>
      <c r="O150" s="4"/>
      <c r="P150" s="4" t="s">
        <v>35</v>
      </c>
      <c r="Q150" s="4" t="str">
        <f t="shared" si="31"/>
        <v>Perempuan</v>
      </c>
      <c r="R150" s="4">
        <f t="shared" si="27"/>
        <v>1</v>
      </c>
      <c r="S150" s="4" t="str">
        <f t="shared" si="37"/>
        <v>1</v>
      </c>
      <c r="T150" s="4">
        <f t="shared" si="38"/>
        <v>0</v>
      </c>
      <c r="U150" s="29"/>
      <c r="V150" s="30"/>
      <c r="W150" s="30"/>
      <c r="X150" s="30"/>
      <c r="Y150" s="30"/>
      <c r="Z150" s="30"/>
      <c r="AA150" s="30"/>
      <c r="AB150" s="29"/>
      <c r="AC150" s="29"/>
      <c r="AD150" s="37">
        <f t="shared" si="35"/>
        <v>28522</v>
      </c>
      <c r="AE150" s="3" t="str">
        <f t="shared" ca="1" si="32"/>
        <v>48 Tahun 7 bulan 0 Hari</v>
      </c>
      <c r="AF150" s="38">
        <f t="shared" si="36"/>
        <v>50465</v>
      </c>
    </row>
    <row r="151" spans="1:33" s="306" customFormat="1" ht="32.15" customHeight="1" x14ac:dyDescent="0.35">
      <c r="A151" s="26">
        <f t="shared" si="33"/>
        <v>139</v>
      </c>
      <c r="B151" s="27" t="s">
        <v>483</v>
      </c>
      <c r="C151" s="256" t="s">
        <v>525</v>
      </c>
      <c r="D151" s="257"/>
      <c r="E151" s="24" t="s">
        <v>526</v>
      </c>
      <c r="F151" s="24" t="s">
        <v>43</v>
      </c>
      <c r="G151" s="4" t="s">
        <v>2819</v>
      </c>
      <c r="H151" s="4" t="s">
        <v>988</v>
      </c>
      <c r="I151" s="33" t="s">
        <v>2820</v>
      </c>
      <c r="J151" s="5">
        <v>45993</v>
      </c>
      <c r="K151" s="3" t="str">
        <f t="shared" ca="1" si="29"/>
        <v xml:space="preserve">0 Tahun 8 bulan </v>
      </c>
      <c r="L151" s="30" t="s">
        <v>346</v>
      </c>
      <c r="M151" s="5"/>
      <c r="N151" s="3" t="str">
        <f t="shared" ca="1" si="30"/>
        <v/>
      </c>
      <c r="O151" s="4"/>
      <c r="P151" s="4" t="s">
        <v>35</v>
      </c>
      <c r="Q151" s="4" t="str">
        <f t="shared" si="31"/>
        <v>Laki-Laki</v>
      </c>
      <c r="R151" s="4">
        <f t="shared" si="27"/>
        <v>1</v>
      </c>
      <c r="S151" s="4" t="str">
        <f t="shared" si="37"/>
        <v>1</v>
      </c>
      <c r="T151" s="4">
        <f t="shared" si="38"/>
        <v>0</v>
      </c>
      <c r="U151" s="29"/>
      <c r="V151" s="30" t="s">
        <v>50</v>
      </c>
      <c r="W151" s="30"/>
      <c r="X151" s="30"/>
      <c r="Y151" s="30"/>
      <c r="Z151" s="30"/>
      <c r="AA151" s="30"/>
      <c r="AB151" s="29"/>
      <c r="AC151" s="29"/>
      <c r="AD151" s="37">
        <f t="shared" si="35"/>
        <v>26098</v>
      </c>
      <c r="AE151" s="3" t="str">
        <f t="shared" ca="1" si="32"/>
        <v>55 Tahun 2 bulan 18 Hari</v>
      </c>
      <c r="AF151" s="38">
        <f t="shared" si="36"/>
        <v>48030</v>
      </c>
    </row>
    <row r="152" spans="1:33" s="306" customFormat="1" ht="39" customHeight="1" x14ac:dyDescent="0.35">
      <c r="A152" s="26">
        <f t="shared" si="33"/>
        <v>140</v>
      </c>
      <c r="B152" s="27" t="s">
        <v>483</v>
      </c>
      <c r="C152" s="26"/>
      <c r="D152" s="67" t="s">
        <v>527</v>
      </c>
      <c r="E152" s="45" t="s">
        <v>528</v>
      </c>
      <c r="F152" s="24" t="s">
        <v>43</v>
      </c>
      <c r="G152" s="44" t="s">
        <v>2968</v>
      </c>
      <c r="H152" s="4" t="s">
        <v>1728</v>
      </c>
      <c r="I152" s="4" t="s">
        <v>2969</v>
      </c>
      <c r="J152" s="5">
        <v>45993</v>
      </c>
      <c r="K152" s="3" t="str">
        <f t="shared" ca="1" si="29"/>
        <v xml:space="preserve">0 Tahun 8 bulan </v>
      </c>
      <c r="L152" s="30" t="s">
        <v>200</v>
      </c>
      <c r="M152" s="5">
        <v>45993</v>
      </c>
      <c r="N152" s="3" t="str">
        <f t="shared" ca="1" si="30"/>
        <v xml:space="preserve">0 Tahun 8 bulan </v>
      </c>
      <c r="O152" s="4"/>
      <c r="P152" s="4" t="s">
        <v>35</v>
      </c>
      <c r="Q152" s="4" t="str">
        <f t="shared" si="31"/>
        <v>Laki-Laki</v>
      </c>
      <c r="R152" s="4">
        <f t="shared" si="27"/>
        <v>1</v>
      </c>
      <c r="S152" s="4" t="str">
        <f t="shared" si="37"/>
        <v>1</v>
      </c>
      <c r="T152" s="4">
        <f t="shared" si="38"/>
        <v>0</v>
      </c>
      <c r="U152" s="29"/>
      <c r="V152" s="30" t="s">
        <v>50</v>
      </c>
      <c r="W152" s="30"/>
      <c r="X152" s="30"/>
      <c r="Y152" s="30"/>
      <c r="Z152" s="30"/>
      <c r="AA152" s="30"/>
      <c r="AB152" s="29"/>
      <c r="AC152" s="29"/>
      <c r="AD152" s="37">
        <f t="shared" si="35"/>
        <v>32042</v>
      </c>
      <c r="AE152" s="3" t="str">
        <f t="shared" ca="1" si="32"/>
        <v>38 Tahun 11 bulan 10 Hari</v>
      </c>
      <c r="AF152" s="38">
        <f t="shared" si="36"/>
        <v>53966</v>
      </c>
    </row>
    <row r="153" spans="1:33" s="306" customFormat="1" ht="33.75" customHeight="1" x14ac:dyDescent="0.35">
      <c r="A153" s="26">
        <f t="shared" si="33"/>
        <v>141</v>
      </c>
      <c r="B153" s="27" t="s">
        <v>483</v>
      </c>
      <c r="C153" s="26"/>
      <c r="D153" s="67" t="s">
        <v>529</v>
      </c>
      <c r="E153" s="45" t="s">
        <v>530</v>
      </c>
      <c r="F153" s="24" t="s">
        <v>71</v>
      </c>
      <c r="G153" s="4" t="s">
        <v>531</v>
      </c>
      <c r="H153" s="4" t="s">
        <v>379</v>
      </c>
      <c r="I153" s="4" t="s">
        <v>446</v>
      </c>
      <c r="J153" s="5" t="s">
        <v>532</v>
      </c>
      <c r="K153" s="3" t="str">
        <f t="shared" ca="1" si="29"/>
        <v xml:space="preserve">1 Tahun 6 bulan </v>
      </c>
      <c r="L153" s="30" t="s">
        <v>200</v>
      </c>
      <c r="M153" s="5" t="s">
        <v>533</v>
      </c>
      <c r="N153" s="3" t="str">
        <f t="shared" ca="1" si="30"/>
        <v xml:space="preserve">9 Tahun 7 bulan </v>
      </c>
      <c r="O153" s="4"/>
      <c r="P153" s="4" t="s">
        <v>35</v>
      </c>
      <c r="Q153" s="4" t="str">
        <f t="shared" si="31"/>
        <v>Laki-Laki</v>
      </c>
      <c r="R153" s="4">
        <f t="shared" si="27"/>
        <v>1</v>
      </c>
      <c r="S153" s="4" t="str">
        <f t="shared" si="37"/>
        <v>1</v>
      </c>
      <c r="T153" s="4">
        <f t="shared" si="38"/>
        <v>0</v>
      </c>
      <c r="U153" s="29"/>
      <c r="V153" s="30" t="s">
        <v>50</v>
      </c>
      <c r="W153" s="30"/>
      <c r="X153" s="30"/>
      <c r="Y153" s="30"/>
      <c r="Z153" s="30"/>
      <c r="AA153" s="30"/>
      <c r="AB153" s="29"/>
      <c r="AC153" s="29"/>
      <c r="AD153" s="37">
        <f t="shared" si="35"/>
        <v>28646</v>
      </c>
      <c r="AE153" s="3" t="str">
        <f t="shared" ca="1" si="32"/>
        <v>48 Tahun 2 bulan 27 Hari</v>
      </c>
      <c r="AF153" s="38">
        <f t="shared" si="36"/>
        <v>50587</v>
      </c>
    </row>
    <row r="154" spans="1:33" s="306" customFormat="1" ht="32.15" customHeight="1" x14ac:dyDescent="0.35">
      <c r="A154" s="26">
        <f t="shared" si="33"/>
        <v>142</v>
      </c>
      <c r="B154" s="27" t="s">
        <v>483</v>
      </c>
      <c r="C154" s="26"/>
      <c r="D154" s="67" t="s">
        <v>534</v>
      </c>
      <c r="E154" s="24" t="s">
        <v>108</v>
      </c>
      <c r="F154" s="24"/>
      <c r="G154" s="3"/>
      <c r="H154" s="4"/>
      <c r="I154" s="33"/>
      <c r="J154" s="5"/>
      <c r="K154" s="3" t="str">
        <f t="shared" ca="1" si="29"/>
        <v/>
      </c>
      <c r="L154" s="30" t="s">
        <v>88</v>
      </c>
      <c r="M154" s="5"/>
      <c r="N154" s="3" t="str">
        <f t="shared" ca="1" si="30"/>
        <v/>
      </c>
      <c r="O154" s="4"/>
      <c r="P154" s="4" t="s">
        <v>35</v>
      </c>
      <c r="Q154" s="4" t="str">
        <f t="shared" si="31"/>
        <v/>
      </c>
      <c r="R154" s="4">
        <f t="shared" si="27"/>
        <v>1</v>
      </c>
      <c r="S154" s="4" t="str">
        <f t="shared" si="37"/>
        <v>0</v>
      </c>
      <c r="T154" s="4">
        <f t="shared" si="38"/>
        <v>1</v>
      </c>
      <c r="U154" s="29"/>
      <c r="V154" s="30" t="s">
        <v>50</v>
      </c>
      <c r="W154" s="30"/>
      <c r="X154" s="30"/>
      <c r="Y154" s="30"/>
      <c r="Z154" s="30"/>
      <c r="AA154" s="30"/>
      <c r="AB154" s="29"/>
      <c r="AC154" s="29"/>
      <c r="AD154" s="37" t="str">
        <f t="shared" si="35"/>
        <v/>
      </c>
      <c r="AE154" s="3" t="str">
        <f t="shared" ca="1" si="32"/>
        <v/>
      </c>
      <c r="AF154" s="38" t="str">
        <f t="shared" si="36"/>
        <v/>
      </c>
      <c r="AG154" s="307"/>
    </row>
    <row r="155" spans="1:33" s="306" customFormat="1" ht="32.15" customHeight="1" x14ac:dyDescent="0.35">
      <c r="A155" s="26">
        <f t="shared" si="33"/>
        <v>143</v>
      </c>
      <c r="B155" s="27" t="s">
        <v>483</v>
      </c>
      <c r="C155" s="256" t="s">
        <v>535</v>
      </c>
      <c r="D155" s="257"/>
      <c r="E155" s="24" t="s">
        <v>536</v>
      </c>
      <c r="F155" s="24" t="s">
        <v>43</v>
      </c>
      <c r="G155" s="4" t="s">
        <v>1157</v>
      </c>
      <c r="H155" s="4" t="s">
        <v>1158</v>
      </c>
      <c r="I155" s="4" t="s">
        <v>2821</v>
      </c>
      <c r="J155" s="5">
        <v>45993</v>
      </c>
      <c r="K155" s="3" t="str">
        <f t="shared" ca="1" si="29"/>
        <v xml:space="preserve">0 Tahun 8 bulan </v>
      </c>
      <c r="L155" s="30" t="s">
        <v>346</v>
      </c>
      <c r="M155" s="5"/>
      <c r="N155" s="3" t="str">
        <f t="shared" ca="1" si="30"/>
        <v/>
      </c>
      <c r="O155" s="4"/>
      <c r="P155" s="4" t="s">
        <v>35</v>
      </c>
      <c r="Q155" s="4" t="str">
        <f t="shared" si="31"/>
        <v>Perempuan</v>
      </c>
      <c r="R155" s="4">
        <f>R385</f>
        <v>1</v>
      </c>
      <c r="S155" s="4" t="str">
        <f t="shared" si="37"/>
        <v>1</v>
      </c>
      <c r="T155" s="4">
        <f>R155-S155</f>
        <v>0</v>
      </c>
      <c r="U155" s="29"/>
      <c r="V155" s="30"/>
      <c r="W155" s="30"/>
      <c r="X155" s="30"/>
      <c r="Y155" s="30"/>
      <c r="Z155" s="30"/>
      <c r="AA155" s="30"/>
      <c r="AB155" s="29"/>
      <c r="AC155" s="29"/>
      <c r="AD155" s="37">
        <f t="shared" si="35"/>
        <v>29552</v>
      </c>
      <c r="AE155" s="3" t="str">
        <f t="shared" ca="1" si="32"/>
        <v>45 Tahun 9 bulan 5 Hari</v>
      </c>
      <c r="AF155" s="38">
        <f t="shared" si="36"/>
        <v>51471</v>
      </c>
    </row>
    <row r="156" spans="1:33" s="306" customFormat="1" ht="32.15" customHeight="1" x14ac:dyDescent="0.35">
      <c r="A156" s="26">
        <f>A155+1</f>
        <v>144</v>
      </c>
      <c r="B156" s="27" t="s">
        <v>483</v>
      </c>
      <c r="C156" s="26"/>
      <c r="D156" s="50" t="s">
        <v>537</v>
      </c>
      <c r="E156" s="24" t="s">
        <v>538</v>
      </c>
      <c r="F156" s="24" t="s">
        <v>43</v>
      </c>
      <c r="G156" s="3" t="s">
        <v>539</v>
      </c>
      <c r="H156" s="4" t="s">
        <v>337</v>
      </c>
      <c r="I156" s="33" t="s">
        <v>86</v>
      </c>
      <c r="J156" s="5" t="s">
        <v>87</v>
      </c>
      <c r="K156" s="3" t="str">
        <f t="shared" ca="1" si="29"/>
        <v xml:space="preserve">4 Tahun 8 bulan </v>
      </c>
      <c r="L156" s="30" t="s">
        <v>88</v>
      </c>
      <c r="M156" s="5" t="s">
        <v>87</v>
      </c>
      <c r="N156" s="3" t="str">
        <f t="shared" ca="1" si="30"/>
        <v xml:space="preserve">4 Tahun 8 bulan </v>
      </c>
      <c r="O156" s="4"/>
      <c r="P156" s="4" t="s">
        <v>35</v>
      </c>
      <c r="Q156" s="4" t="str">
        <f t="shared" si="31"/>
        <v>Laki-Laki</v>
      </c>
      <c r="R156" s="4">
        <f>R155</f>
        <v>1</v>
      </c>
      <c r="S156" s="4" t="str">
        <f t="shared" si="37"/>
        <v>1</v>
      </c>
      <c r="T156" s="4">
        <f>R156-S156</f>
        <v>0</v>
      </c>
      <c r="U156" s="29"/>
      <c r="V156" s="30" t="s">
        <v>50</v>
      </c>
      <c r="W156" s="30"/>
      <c r="X156" s="30"/>
      <c r="Y156" s="30"/>
      <c r="Z156" s="30"/>
      <c r="AA156" s="30"/>
      <c r="AB156" s="29"/>
      <c r="AC156" s="29"/>
      <c r="AD156" s="37">
        <f t="shared" si="35"/>
        <v>29785</v>
      </c>
      <c r="AE156" s="3" t="str">
        <f t="shared" ca="1" si="32"/>
        <v>45 Tahun 1 bulan 14 Hari</v>
      </c>
      <c r="AF156" s="38">
        <f t="shared" si="36"/>
        <v>51714</v>
      </c>
    </row>
    <row r="157" spans="1:33" s="306" customFormat="1" ht="32.15" customHeight="1" x14ac:dyDescent="0.35">
      <c r="A157" s="26">
        <f>A156+1</f>
        <v>145</v>
      </c>
      <c r="B157" s="27" t="s">
        <v>483</v>
      </c>
      <c r="C157" s="26"/>
      <c r="D157" s="50" t="s">
        <v>537</v>
      </c>
      <c r="E157" s="45" t="s">
        <v>540</v>
      </c>
      <c r="F157" s="24" t="s">
        <v>43</v>
      </c>
      <c r="G157" s="44" t="s">
        <v>541</v>
      </c>
      <c r="H157" s="4" t="s">
        <v>542</v>
      </c>
      <c r="I157" s="25" t="s">
        <v>86</v>
      </c>
      <c r="J157" s="5" t="s">
        <v>87</v>
      </c>
      <c r="K157" s="3" t="str">
        <f t="shared" ca="1" si="29"/>
        <v xml:space="preserve">4 Tahun 8 bulan </v>
      </c>
      <c r="L157" s="30" t="s">
        <v>88</v>
      </c>
      <c r="M157" s="5" t="s">
        <v>87</v>
      </c>
      <c r="N157" s="3" t="str">
        <f t="shared" ca="1" si="30"/>
        <v xml:space="preserve">4 Tahun 8 bulan </v>
      </c>
      <c r="O157" s="4"/>
      <c r="P157" s="4" t="s">
        <v>35</v>
      </c>
      <c r="Q157" s="4" t="str">
        <f t="shared" si="31"/>
        <v/>
      </c>
      <c r="R157" s="4">
        <f>R156</f>
        <v>1</v>
      </c>
      <c r="S157" s="4" t="str">
        <f t="shared" si="37"/>
        <v>1</v>
      </c>
      <c r="T157" s="4">
        <f>R157-S157</f>
        <v>0</v>
      </c>
      <c r="U157" s="29"/>
      <c r="V157" s="30"/>
      <c r="W157" s="30"/>
      <c r="X157" s="30"/>
      <c r="Y157" s="30"/>
      <c r="Z157" s="30"/>
      <c r="AA157" s="30"/>
      <c r="AB157" s="29"/>
      <c r="AC157" s="29"/>
      <c r="AD157" s="37">
        <f t="shared" si="35"/>
        <v>26587</v>
      </c>
      <c r="AE157" s="3" t="str">
        <f t="shared" ca="1" si="32"/>
        <v>53 Tahun 10 bulan 17 Hari</v>
      </c>
      <c r="AF157" s="38">
        <f t="shared" si="36"/>
        <v>48519</v>
      </c>
    </row>
    <row r="158" spans="1:33" s="306" customFormat="1" ht="32.15" customHeight="1" x14ac:dyDescent="0.35">
      <c r="A158" s="26">
        <f>A157+1</f>
        <v>146</v>
      </c>
      <c r="B158" s="27" t="s">
        <v>483</v>
      </c>
      <c r="C158" s="26"/>
      <c r="D158" s="50" t="s">
        <v>537</v>
      </c>
      <c r="E158" s="39" t="s">
        <v>543</v>
      </c>
      <c r="F158" s="24" t="s">
        <v>43</v>
      </c>
      <c r="G158" s="25" t="s">
        <v>544</v>
      </c>
      <c r="H158" s="4" t="s">
        <v>545</v>
      </c>
      <c r="I158" s="25" t="s">
        <v>86</v>
      </c>
      <c r="J158" s="5" t="s">
        <v>87</v>
      </c>
      <c r="K158" s="3" t="str">
        <f t="shared" ca="1" si="29"/>
        <v xml:space="preserve">4 Tahun 8 bulan </v>
      </c>
      <c r="L158" s="30" t="s">
        <v>88</v>
      </c>
      <c r="M158" s="5" t="s">
        <v>87</v>
      </c>
      <c r="N158" s="3" t="str">
        <f t="shared" ca="1" si="30"/>
        <v xml:space="preserve">4 Tahun 8 bulan </v>
      </c>
      <c r="O158" s="4"/>
      <c r="P158" s="4" t="s">
        <v>35</v>
      </c>
      <c r="Q158" s="4" t="str">
        <f t="shared" si="31"/>
        <v>Laki-Laki</v>
      </c>
      <c r="R158" s="4">
        <f>R157</f>
        <v>1</v>
      </c>
      <c r="S158" s="4" t="str">
        <f t="shared" si="37"/>
        <v>1</v>
      </c>
      <c r="T158" s="4">
        <f>R158-S158</f>
        <v>0</v>
      </c>
      <c r="U158" s="29"/>
      <c r="V158" s="30"/>
      <c r="W158" s="30"/>
      <c r="X158" s="30"/>
      <c r="Y158" s="30"/>
      <c r="Z158" s="30"/>
      <c r="AA158" s="30"/>
      <c r="AB158" s="29"/>
      <c r="AC158" s="29"/>
      <c r="AD158" s="37">
        <f t="shared" si="35"/>
        <v>28523</v>
      </c>
      <c r="AE158" s="3" t="str">
        <f t="shared" ca="1" si="32"/>
        <v>48 Tahun 6 bulan 30 Hari</v>
      </c>
      <c r="AF158" s="38">
        <f t="shared" si="36"/>
        <v>50465</v>
      </c>
    </row>
    <row r="159" spans="1:33" s="308" customFormat="1" ht="32.15" customHeight="1" x14ac:dyDescent="0.35">
      <c r="A159" s="4"/>
      <c r="B159" s="32" t="s">
        <v>546</v>
      </c>
      <c r="C159" s="269" t="s">
        <v>547</v>
      </c>
      <c r="D159" s="270"/>
      <c r="E159" s="271" t="str">
        <f ca="1">IF(J159="","",CONCATENATE(DATEDIF(J159,NOW(),"Y")," Tahun ",DATEDIF(J159,NOW(),"YM")," bulan "))</f>
        <v/>
      </c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3"/>
    </row>
    <row r="160" spans="1:33" s="306" customFormat="1" ht="32.15" customHeight="1" x14ac:dyDescent="0.35">
      <c r="A160" s="26">
        <f>A158+1</f>
        <v>147</v>
      </c>
      <c r="B160" s="27" t="s">
        <v>546</v>
      </c>
      <c r="C160" s="278" t="s">
        <v>548</v>
      </c>
      <c r="D160" s="279"/>
      <c r="E160" s="24" t="s">
        <v>549</v>
      </c>
      <c r="F160" s="24" t="s">
        <v>43</v>
      </c>
      <c r="G160" s="70" t="s">
        <v>550</v>
      </c>
      <c r="H160" s="4" t="s">
        <v>287</v>
      </c>
      <c r="I160" s="25"/>
      <c r="J160" s="5">
        <v>46048</v>
      </c>
      <c r="K160" s="3" t="str">
        <f t="shared" ca="1" si="29"/>
        <v xml:space="preserve">0 Tahun 7 bulan </v>
      </c>
      <c r="L160" s="30" t="s">
        <v>56</v>
      </c>
      <c r="M160" s="5">
        <v>46048</v>
      </c>
      <c r="N160" s="3" t="str">
        <f t="shared" ca="1" si="30"/>
        <v xml:space="preserve">0 Tahun 7 bulan </v>
      </c>
      <c r="O160" s="4"/>
      <c r="P160" s="4" t="s">
        <v>35</v>
      </c>
      <c r="Q160" s="4" t="str">
        <f t="shared" si="31"/>
        <v>Laki-Laki</v>
      </c>
      <c r="R160" s="4">
        <f>R154</f>
        <v>1</v>
      </c>
      <c r="S160" s="4" t="str">
        <f t="shared" ref="S160:S177" si="39">IF(E160="LOWONG","0","1")</f>
        <v>1</v>
      </c>
      <c r="T160" s="4">
        <f t="shared" si="38"/>
        <v>0</v>
      </c>
      <c r="U160" s="29"/>
      <c r="V160" s="30" t="s">
        <v>50</v>
      </c>
      <c r="W160" s="30"/>
      <c r="X160" s="30"/>
      <c r="Y160" s="30"/>
      <c r="Z160" s="30"/>
      <c r="AA160" s="30"/>
      <c r="AB160" s="29"/>
      <c r="AC160" s="29"/>
      <c r="AD160" s="37">
        <f t="shared" si="35"/>
        <v>26627</v>
      </c>
      <c r="AE160" s="3" t="str">
        <f t="shared" ca="1" si="32"/>
        <v>53 Tahun 9 bulan 8 Hari</v>
      </c>
      <c r="AF160" s="38">
        <f t="shared" si="36"/>
        <v>48549</v>
      </c>
    </row>
    <row r="161" spans="1:33" s="306" customFormat="1" ht="32.15" customHeight="1" x14ac:dyDescent="0.35">
      <c r="A161" s="26">
        <f t="shared" si="33"/>
        <v>148</v>
      </c>
      <c r="B161" s="27" t="s">
        <v>546</v>
      </c>
      <c r="C161" s="256" t="s">
        <v>551</v>
      </c>
      <c r="D161" s="257"/>
      <c r="E161" s="71" t="s">
        <v>2996</v>
      </c>
      <c r="F161" s="24" t="s">
        <v>43</v>
      </c>
      <c r="G161" s="70" t="s">
        <v>2475</v>
      </c>
      <c r="H161" s="4" t="s">
        <v>781</v>
      </c>
      <c r="I161" s="25" t="s">
        <v>1692</v>
      </c>
      <c r="J161" s="5">
        <v>46198</v>
      </c>
      <c r="K161" s="3" t="str">
        <f t="shared" ca="1" si="29"/>
        <v xml:space="preserve">0 Tahun 2 bulan </v>
      </c>
      <c r="L161" s="30" t="s">
        <v>79</v>
      </c>
      <c r="M161" s="5">
        <v>46198</v>
      </c>
      <c r="N161" s="3" t="str">
        <f t="shared" ca="1" si="30"/>
        <v xml:space="preserve">0 Tahun 2 bulan </v>
      </c>
      <c r="O161" s="4"/>
      <c r="P161" s="4" t="s">
        <v>35</v>
      </c>
      <c r="Q161" s="4" t="str">
        <f t="shared" si="31"/>
        <v>Laki-Laki</v>
      </c>
      <c r="R161" s="4">
        <f t="shared" si="27"/>
        <v>1</v>
      </c>
      <c r="S161" s="4" t="str">
        <f t="shared" si="39"/>
        <v>1</v>
      </c>
      <c r="T161" s="4">
        <f t="shared" si="38"/>
        <v>0</v>
      </c>
      <c r="U161" s="29"/>
      <c r="V161" s="30" t="s">
        <v>50</v>
      </c>
      <c r="W161" s="30"/>
      <c r="X161" s="30"/>
      <c r="Y161" s="30"/>
      <c r="Z161" s="30"/>
      <c r="AA161" s="30"/>
      <c r="AB161" s="29"/>
      <c r="AC161" s="29"/>
      <c r="AD161" s="37">
        <f t="shared" si="35"/>
        <v>29321</v>
      </c>
      <c r="AE161" s="3" t="str">
        <f t="shared" ca="1" si="32"/>
        <v>46 Tahun 4 bulan 22 Hari</v>
      </c>
      <c r="AF161" s="38">
        <f t="shared" si="36"/>
        <v>51257</v>
      </c>
    </row>
    <row r="162" spans="1:33" s="306" customFormat="1" ht="33.75" customHeight="1" x14ac:dyDescent="0.35">
      <c r="A162" s="26">
        <f t="shared" si="33"/>
        <v>149</v>
      </c>
      <c r="B162" s="27" t="s">
        <v>546</v>
      </c>
      <c r="C162" s="26"/>
      <c r="D162" s="50" t="s">
        <v>552</v>
      </c>
      <c r="E162" s="39" t="s">
        <v>3026</v>
      </c>
      <c r="F162" s="24" t="s">
        <v>43</v>
      </c>
      <c r="G162" s="73" t="s">
        <v>3027</v>
      </c>
      <c r="H162" s="4" t="s">
        <v>3028</v>
      </c>
      <c r="I162" s="4" t="s">
        <v>3029</v>
      </c>
      <c r="J162" s="5">
        <v>46260</v>
      </c>
      <c r="K162" s="3" t="str">
        <f t="shared" ca="1" si="29"/>
        <v xml:space="preserve">0 Tahun 0 bulan </v>
      </c>
      <c r="L162" s="30" t="s">
        <v>200</v>
      </c>
      <c r="M162" s="5">
        <v>46260</v>
      </c>
      <c r="N162" s="3" t="str">
        <f t="shared" ca="1" si="30"/>
        <v xml:space="preserve">0 Tahun 0 bulan </v>
      </c>
      <c r="O162" s="29"/>
      <c r="P162" s="4" t="s">
        <v>35</v>
      </c>
      <c r="Q162" s="4" t="str">
        <f t="shared" si="31"/>
        <v>Perempuan</v>
      </c>
      <c r="R162" s="4">
        <f t="shared" si="27"/>
        <v>1</v>
      </c>
      <c r="S162" s="4" t="str">
        <f t="shared" si="39"/>
        <v>1</v>
      </c>
      <c r="T162" s="4">
        <f t="shared" si="38"/>
        <v>0</v>
      </c>
      <c r="U162" s="29"/>
      <c r="V162" s="30" t="s">
        <v>50</v>
      </c>
      <c r="W162" s="30"/>
      <c r="X162" s="30"/>
      <c r="Y162" s="30"/>
      <c r="Z162" s="30"/>
      <c r="AA162" s="30"/>
      <c r="AB162" s="29"/>
      <c r="AC162" s="29"/>
      <c r="AD162" s="37">
        <f t="shared" si="35"/>
        <v>34951</v>
      </c>
      <c r="AE162" s="3" t="str">
        <f t="shared" ca="1" si="32"/>
        <v>30 Tahun 11 bulan 23 Hari</v>
      </c>
      <c r="AF162" s="38">
        <f t="shared" si="36"/>
        <v>56888</v>
      </c>
    </row>
    <row r="163" spans="1:33" s="306" customFormat="1" ht="32.15" customHeight="1" x14ac:dyDescent="0.35">
      <c r="A163" s="26">
        <f t="shared" si="33"/>
        <v>150</v>
      </c>
      <c r="B163" s="27" t="s">
        <v>546</v>
      </c>
      <c r="C163" s="26"/>
      <c r="D163" s="50" t="s">
        <v>555</v>
      </c>
      <c r="E163" s="24" t="s">
        <v>3088</v>
      </c>
      <c r="F163" s="24" t="s">
        <v>43</v>
      </c>
      <c r="G163" s="3" t="s">
        <v>3089</v>
      </c>
      <c r="H163" s="4" t="s">
        <v>3013</v>
      </c>
      <c r="I163" s="33"/>
      <c r="J163" s="5">
        <v>46260</v>
      </c>
      <c r="K163" s="3" t="str">
        <f t="shared" ca="1" si="29"/>
        <v xml:space="preserve">0 Tahun 0 bulan </v>
      </c>
      <c r="L163" s="30" t="s">
        <v>200</v>
      </c>
      <c r="M163" s="5"/>
      <c r="N163" s="3" t="str">
        <f t="shared" ca="1" si="30"/>
        <v/>
      </c>
      <c r="O163" s="4"/>
      <c r="P163" s="4" t="s">
        <v>35</v>
      </c>
      <c r="Q163" s="4" t="str">
        <f t="shared" si="31"/>
        <v>Laki-Laki</v>
      </c>
      <c r="R163" s="4">
        <f t="shared" si="27"/>
        <v>1</v>
      </c>
      <c r="S163" s="4" t="str">
        <f t="shared" si="39"/>
        <v>1</v>
      </c>
      <c r="T163" s="4">
        <f t="shared" si="38"/>
        <v>0</v>
      </c>
      <c r="U163" s="29"/>
      <c r="V163" s="30" t="s">
        <v>50</v>
      </c>
      <c r="W163" s="30"/>
      <c r="X163" s="30"/>
      <c r="Y163" s="30"/>
      <c r="Z163" s="30"/>
      <c r="AA163" s="30"/>
      <c r="AB163" s="29"/>
      <c r="AC163" s="29"/>
      <c r="AD163" s="37">
        <f t="shared" si="35"/>
        <v>32997</v>
      </c>
      <c r="AE163" s="3" t="str">
        <f t="shared" ca="1" si="32"/>
        <v>36 Tahun 3 bulan 28 Hari</v>
      </c>
      <c r="AF163" s="38">
        <f t="shared" si="36"/>
        <v>54940</v>
      </c>
    </row>
    <row r="164" spans="1:33" s="306" customFormat="1" ht="32.15" customHeight="1" x14ac:dyDescent="0.35">
      <c r="A164" s="26">
        <f t="shared" si="33"/>
        <v>151</v>
      </c>
      <c r="B164" s="27" t="s">
        <v>546</v>
      </c>
      <c r="C164" s="26"/>
      <c r="D164" s="50" t="s">
        <v>559</v>
      </c>
      <c r="E164" s="58" t="s">
        <v>108</v>
      </c>
      <c r="F164" s="24"/>
      <c r="G164" s="29"/>
      <c r="H164" s="29"/>
      <c r="I164" s="29"/>
      <c r="J164" s="5"/>
      <c r="K164" s="3" t="str">
        <f t="shared" ca="1" si="29"/>
        <v/>
      </c>
      <c r="L164" s="30" t="s">
        <v>88</v>
      </c>
      <c r="M164" s="5"/>
      <c r="N164" s="3" t="str">
        <f t="shared" ca="1" si="30"/>
        <v/>
      </c>
      <c r="O164" s="29"/>
      <c r="P164" s="29"/>
      <c r="Q164" s="4" t="str">
        <f t="shared" si="31"/>
        <v/>
      </c>
      <c r="R164" s="4">
        <v>1</v>
      </c>
      <c r="S164" s="4" t="str">
        <f t="shared" si="39"/>
        <v>0</v>
      </c>
      <c r="T164" s="4">
        <f t="shared" si="38"/>
        <v>1</v>
      </c>
      <c r="U164" s="29"/>
      <c r="V164" s="30"/>
      <c r="W164" s="30"/>
      <c r="X164" s="30"/>
      <c r="Y164" s="30"/>
      <c r="Z164" s="30"/>
      <c r="AA164" s="30"/>
      <c r="AB164" s="29"/>
      <c r="AC164" s="29"/>
      <c r="AD164" s="37" t="str">
        <f t="shared" si="35"/>
        <v/>
      </c>
      <c r="AE164" s="3" t="str">
        <f t="shared" ca="1" si="32"/>
        <v/>
      </c>
      <c r="AF164" s="38" t="str">
        <f t="shared" si="36"/>
        <v/>
      </c>
    </row>
    <row r="165" spans="1:33" s="306" customFormat="1" ht="32.15" customHeight="1" x14ac:dyDescent="0.35">
      <c r="A165" s="26">
        <f t="shared" si="33"/>
        <v>152</v>
      </c>
      <c r="B165" s="27" t="s">
        <v>546</v>
      </c>
      <c r="C165" s="256" t="s">
        <v>560</v>
      </c>
      <c r="D165" s="257"/>
      <c r="E165" s="24" t="s">
        <v>561</v>
      </c>
      <c r="F165" s="24" t="s">
        <v>43</v>
      </c>
      <c r="G165" s="3" t="s">
        <v>562</v>
      </c>
      <c r="H165" s="4" t="s">
        <v>563</v>
      </c>
      <c r="I165" s="4" t="s">
        <v>564</v>
      </c>
      <c r="J165" s="5" t="s">
        <v>565</v>
      </c>
      <c r="K165" s="3" t="str">
        <f t="shared" ca="1" si="29"/>
        <v xml:space="preserve">5 Tahun 9 bulan </v>
      </c>
      <c r="L165" s="30" t="s">
        <v>346</v>
      </c>
      <c r="M165" s="5" t="s">
        <v>565</v>
      </c>
      <c r="N165" s="3" t="str">
        <f t="shared" ca="1" si="30"/>
        <v xml:space="preserve">5 Tahun 9 bulan </v>
      </c>
      <c r="O165" s="4"/>
      <c r="P165" s="4" t="s">
        <v>35</v>
      </c>
      <c r="Q165" s="4" t="str">
        <f t="shared" si="31"/>
        <v>Perempuan</v>
      </c>
      <c r="R165" s="4">
        <f>[1]Sheet2!J4</f>
        <v>1</v>
      </c>
      <c r="S165" s="4" t="str">
        <f t="shared" si="39"/>
        <v>1</v>
      </c>
      <c r="T165" s="4">
        <f t="shared" si="38"/>
        <v>0</v>
      </c>
      <c r="U165" s="29"/>
      <c r="V165" s="30"/>
      <c r="W165" s="30"/>
      <c r="X165" s="30"/>
      <c r="Y165" s="30"/>
      <c r="Z165" s="30"/>
      <c r="AA165" s="30"/>
      <c r="AB165" s="29"/>
      <c r="AC165" s="29"/>
      <c r="AD165" s="37">
        <f t="shared" si="35"/>
        <v>27049</v>
      </c>
      <c r="AE165" s="3" t="str">
        <f t="shared" ca="1" si="32"/>
        <v>52 Tahun 7 bulan 12 Hari</v>
      </c>
      <c r="AF165" s="38">
        <f t="shared" si="36"/>
        <v>48976</v>
      </c>
    </row>
    <row r="166" spans="1:33" s="306" customFormat="1" ht="32.15" customHeight="1" x14ac:dyDescent="0.35">
      <c r="A166" s="26">
        <f t="shared" si="33"/>
        <v>153</v>
      </c>
      <c r="B166" s="27" t="s">
        <v>546</v>
      </c>
      <c r="C166" s="26"/>
      <c r="D166" s="50" t="s">
        <v>566</v>
      </c>
      <c r="E166" s="24" t="s">
        <v>108</v>
      </c>
      <c r="F166" s="24"/>
      <c r="G166" s="3"/>
      <c r="H166" s="4"/>
      <c r="I166" s="4"/>
      <c r="J166" s="5"/>
      <c r="K166" s="3" t="str">
        <f t="shared" ca="1" si="29"/>
        <v/>
      </c>
      <c r="L166" s="30" t="s">
        <v>88</v>
      </c>
      <c r="M166" s="5"/>
      <c r="N166" s="3" t="str">
        <f t="shared" ca="1" si="30"/>
        <v/>
      </c>
      <c r="O166" s="4"/>
      <c r="P166" s="4"/>
      <c r="Q166" s="4" t="str">
        <f t="shared" si="31"/>
        <v/>
      </c>
      <c r="R166" s="4">
        <f>R165</f>
        <v>1</v>
      </c>
      <c r="S166" s="4" t="str">
        <f t="shared" si="39"/>
        <v>0</v>
      </c>
      <c r="T166" s="4">
        <f t="shared" si="38"/>
        <v>1</v>
      </c>
      <c r="U166" s="29"/>
      <c r="V166" s="30"/>
      <c r="W166" s="30"/>
      <c r="X166" s="30"/>
      <c r="Y166" s="30"/>
      <c r="Z166" s="30"/>
      <c r="AA166" s="30"/>
      <c r="AB166" s="29"/>
      <c r="AC166" s="29"/>
      <c r="AD166" s="37" t="str">
        <f t="shared" si="35"/>
        <v/>
      </c>
      <c r="AE166" s="3" t="str">
        <f t="shared" ca="1" si="32"/>
        <v/>
      </c>
      <c r="AF166" s="38" t="str">
        <f t="shared" si="36"/>
        <v/>
      </c>
    </row>
    <row r="167" spans="1:33" s="306" customFormat="1" ht="32.15" customHeight="1" x14ac:dyDescent="0.35">
      <c r="A167" s="26">
        <f t="shared" si="33"/>
        <v>154</v>
      </c>
      <c r="B167" s="27" t="s">
        <v>546</v>
      </c>
      <c r="C167" s="26"/>
      <c r="D167" s="50" t="s">
        <v>566</v>
      </c>
      <c r="E167" s="24" t="s">
        <v>567</v>
      </c>
      <c r="F167" s="24" t="s">
        <v>43</v>
      </c>
      <c r="G167" s="3" t="s">
        <v>568</v>
      </c>
      <c r="H167" s="4" t="s">
        <v>135</v>
      </c>
      <c r="I167" s="4" t="s">
        <v>46</v>
      </c>
      <c r="J167" s="5" t="s">
        <v>87</v>
      </c>
      <c r="K167" s="3" t="str">
        <f t="shared" ca="1" si="29"/>
        <v xml:space="preserve">4 Tahun 8 bulan </v>
      </c>
      <c r="L167" s="30" t="s">
        <v>88</v>
      </c>
      <c r="M167" s="5" t="s">
        <v>87</v>
      </c>
      <c r="N167" s="3" t="str">
        <f t="shared" ca="1" si="30"/>
        <v xml:space="preserve">4 Tahun 8 bulan </v>
      </c>
      <c r="O167" s="4"/>
      <c r="P167" s="4" t="s">
        <v>35</v>
      </c>
      <c r="Q167" s="4" t="str">
        <f t="shared" si="31"/>
        <v>Perempuan</v>
      </c>
      <c r="R167" s="4">
        <f>R166</f>
        <v>1</v>
      </c>
      <c r="S167" s="4" t="str">
        <f t="shared" si="39"/>
        <v>1</v>
      </c>
      <c r="T167" s="4">
        <f t="shared" si="38"/>
        <v>0</v>
      </c>
      <c r="U167" s="29"/>
      <c r="V167" s="30"/>
      <c r="W167" s="30"/>
      <c r="X167" s="30"/>
      <c r="Y167" s="30"/>
      <c r="Z167" s="30"/>
      <c r="AA167" s="30"/>
      <c r="AB167" s="29"/>
      <c r="AC167" s="29"/>
      <c r="AD167" s="37">
        <f t="shared" si="35"/>
        <v>27933</v>
      </c>
      <c r="AE167" s="3" t="str">
        <f t="shared" ca="1" si="32"/>
        <v>50 Tahun 2 bulan 10 Hari</v>
      </c>
      <c r="AF167" s="38">
        <f t="shared" si="36"/>
        <v>49857</v>
      </c>
    </row>
    <row r="168" spans="1:33" s="306" customFormat="1" ht="32.15" customHeight="1" x14ac:dyDescent="0.35">
      <c r="A168" s="26">
        <f t="shared" si="33"/>
        <v>155</v>
      </c>
      <c r="B168" s="27" t="s">
        <v>546</v>
      </c>
      <c r="C168" s="256" t="s">
        <v>569</v>
      </c>
      <c r="D168" s="257"/>
      <c r="E168" s="24" t="s">
        <v>2937</v>
      </c>
      <c r="F168" s="24" t="s">
        <v>43</v>
      </c>
      <c r="G168" s="3" t="s">
        <v>553</v>
      </c>
      <c r="H168" s="4" t="s">
        <v>2938</v>
      </c>
      <c r="I168" s="4" t="s">
        <v>2862</v>
      </c>
      <c r="J168" s="5">
        <v>46198</v>
      </c>
      <c r="K168" s="3" t="str">
        <f t="shared" ca="1" si="29"/>
        <v xml:space="preserve">0 Tahun 2 bulan </v>
      </c>
      <c r="L168" s="30" t="s">
        <v>346</v>
      </c>
      <c r="M168" s="5">
        <v>46198</v>
      </c>
      <c r="N168" s="3" t="str">
        <f t="shared" ca="1" si="30"/>
        <v xml:space="preserve">0 Tahun 2 bulan </v>
      </c>
      <c r="O168" s="6"/>
      <c r="P168" s="4" t="s">
        <v>35</v>
      </c>
      <c r="Q168" s="4" t="str">
        <f t="shared" si="31"/>
        <v>Laki-Laki</v>
      </c>
      <c r="R168" s="4">
        <f>R167</f>
        <v>1</v>
      </c>
      <c r="S168" s="4" t="str">
        <f t="shared" si="39"/>
        <v>1</v>
      </c>
      <c r="T168" s="4">
        <f t="shared" si="38"/>
        <v>0</v>
      </c>
      <c r="U168" s="29"/>
      <c r="V168" s="30" t="s">
        <v>50</v>
      </c>
      <c r="W168" s="30"/>
      <c r="X168" s="30"/>
      <c r="Y168" s="30"/>
      <c r="Z168" s="30"/>
      <c r="AA168" s="30"/>
      <c r="AB168" s="29"/>
      <c r="AC168" s="29"/>
      <c r="AD168" s="37">
        <f t="shared" si="35"/>
        <v>30852</v>
      </c>
      <c r="AE168" s="3" t="str">
        <f t="shared" ca="1" si="32"/>
        <v>42 Tahun 2 bulan 13 Hari</v>
      </c>
      <c r="AF168" s="38">
        <f t="shared" si="36"/>
        <v>52779</v>
      </c>
    </row>
    <row r="169" spans="1:33" s="306" customFormat="1" ht="32.15" customHeight="1" x14ac:dyDescent="0.35">
      <c r="A169" s="26">
        <f t="shared" si="33"/>
        <v>156</v>
      </c>
      <c r="B169" s="27" t="s">
        <v>546</v>
      </c>
      <c r="C169" s="26"/>
      <c r="D169" s="50" t="s">
        <v>566</v>
      </c>
      <c r="E169" s="24" t="s">
        <v>572</v>
      </c>
      <c r="F169" s="24" t="s">
        <v>43</v>
      </c>
      <c r="G169" s="3" t="s">
        <v>573</v>
      </c>
      <c r="H169" s="4" t="s">
        <v>574</v>
      </c>
      <c r="I169" s="4" t="s">
        <v>564</v>
      </c>
      <c r="J169" s="5" t="s">
        <v>87</v>
      </c>
      <c r="K169" s="3" t="str">
        <f t="shared" ca="1" si="29"/>
        <v xml:space="preserve">4 Tahun 8 bulan </v>
      </c>
      <c r="L169" s="30" t="s">
        <v>88</v>
      </c>
      <c r="M169" s="5" t="s">
        <v>87</v>
      </c>
      <c r="N169" s="3" t="str">
        <f t="shared" ca="1" si="30"/>
        <v xml:space="preserve">4 Tahun 8 bulan </v>
      </c>
      <c r="O169" s="4"/>
      <c r="P169" s="4" t="s">
        <v>35</v>
      </c>
      <c r="Q169" s="4" t="str">
        <f t="shared" si="31"/>
        <v>Laki-Laki</v>
      </c>
      <c r="R169" s="4">
        <f>R168</f>
        <v>1</v>
      </c>
      <c r="S169" s="4" t="str">
        <f t="shared" si="39"/>
        <v>1</v>
      </c>
      <c r="T169" s="4">
        <f t="shared" si="38"/>
        <v>0</v>
      </c>
      <c r="U169" s="29"/>
      <c r="V169" s="30" t="s">
        <v>50</v>
      </c>
      <c r="W169" s="30"/>
      <c r="X169" s="30"/>
      <c r="Y169" s="30"/>
      <c r="Z169" s="30"/>
      <c r="AA169" s="30"/>
      <c r="AB169" s="29"/>
      <c r="AC169" s="29"/>
      <c r="AD169" s="37">
        <f t="shared" si="35"/>
        <v>30714</v>
      </c>
      <c r="AE169" s="3" t="str">
        <f t="shared" ca="1" si="32"/>
        <v>42 Tahun 6 bulan 30 Hari</v>
      </c>
      <c r="AF169" s="38">
        <f t="shared" si="36"/>
        <v>52657</v>
      </c>
    </row>
    <row r="170" spans="1:33" s="306" customFormat="1" ht="32.15" customHeight="1" x14ac:dyDescent="0.35">
      <c r="A170" s="26">
        <f t="shared" si="33"/>
        <v>157</v>
      </c>
      <c r="B170" s="27" t="s">
        <v>546</v>
      </c>
      <c r="C170" s="26"/>
      <c r="D170" s="50" t="s">
        <v>566</v>
      </c>
      <c r="E170" s="24" t="s">
        <v>575</v>
      </c>
      <c r="F170" s="24" t="s">
        <v>43</v>
      </c>
      <c r="G170" s="3" t="s">
        <v>576</v>
      </c>
      <c r="H170" s="4" t="s">
        <v>414</v>
      </c>
      <c r="I170" s="4" t="s">
        <v>577</v>
      </c>
      <c r="J170" s="5" t="s">
        <v>87</v>
      </c>
      <c r="K170" s="3" t="str">
        <f t="shared" ca="1" si="29"/>
        <v xml:space="preserve">4 Tahun 8 bulan </v>
      </c>
      <c r="L170" s="30" t="s">
        <v>88</v>
      </c>
      <c r="M170" s="5" t="s">
        <v>87</v>
      </c>
      <c r="N170" s="3" t="str">
        <f t="shared" ca="1" si="30"/>
        <v xml:space="preserve">4 Tahun 8 bulan </v>
      </c>
      <c r="O170" s="4"/>
      <c r="P170" s="4" t="s">
        <v>35</v>
      </c>
      <c r="Q170" s="4" t="str">
        <f t="shared" si="31"/>
        <v>Perempuan</v>
      </c>
      <c r="R170" s="4">
        <f>R169</f>
        <v>1</v>
      </c>
      <c r="S170" s="4" t="str">
        <f t="shared" si="39"/>
        <v>1</v>
      </c>
      <c r="T170" s="4">
        <f t="shared" si="38"/>
        <v>0</v>
      </c>
      <c r="U170" s="29"/>
      <c r="V170" s="30"/>
      <c r="W170" s="30"/>
      <c r="X170" s="30"/>
      <c r="Y170" s="30"/>
      <c r="Z170" s="30"/>
      <c r="AA170" s="30"/>
      <c r="AB170" s="29"/>
      <c r="AC170" s="29"/>
      <c r="AD170" s="37">
        <f t="shared" si="35"/>
        <v>28038</v>
      </c>
      <c r="AE170" s="3" t="str">
        <f t="shared" ca="1" si="32"/>
        <v>49 Tahun 10 bulan 27 Hari</v>
      </c>
      <c r="AF170" s="38">
        <f t="shared" si="36"/>
        <v>49980</v>
      </c>
    </row>
    <row r="171" spans="1:33" s="306" customFormat="1" ht="32.15" customHeight="1" x14ac:dyDescent="0.35">
      <c r="A171" s="26">
        <f t="shared" si="33"/>
        <v>158</v>
      </c>
      <c r="B171" s="27" t="s">
        <v>546</v>
      </c>
      <c r="C171" s="256" t="s">
        <v>578</v>
      </c>
      <c r="D171" s="257"/>
      <c r="E171" s="24" t="s">
        <v>579</v>
      </c>
      <c r="F171" s="24" t="s">
        <v>43</v>
      </c>
      <c r="G171" s="3" t="s">
        <v>580</v>
      </c>
      <c r="H171" s="4" t="s">
        <v>66</v>
      </c>
      <c r="I171" s="4" t="s">
        <v>46</v>
      </c>
      <c r="J171" s="5" t="s">
        <v>98</v>
      </c>
      <c r="K171" s="3" t="str">
        <f t="shared" ca="1" si="29"/>
        <v xml:space="preserve">3 Tahun 0 bulan </v>
      </c>
      <c r="L171" s="30" t="s">
        <v>346</v>
      </c>
      <c r="M171" s="5" t="s">
        <v>98</v>
      </c>
      <c r="N171" s="3" t="str">
        <f t="shared" ca="1" si="30"/>
        <v xml:space="preserve">3 Tahun 0 bulan </v>
      </c>
      <c r="O171" s="4"/>
      <c r="P171" s="4" t="s">
        <v>35</v>
      </c>
      <c r="Q171" s="4" t="str">
        <f t="shared" si="31"/>
        <v>Laki-Laki</v>
      </c>
      <c r="R171" s="4">
        <f>R213</f>
        <v>1</v>
      </c>
      <c r="S171" s="4" t="str">
        <f t="shared" si="39"/>
        <v>1</v>
      </c>
      <c r="T171" s="4">
        <f t="shared" si="38"/>
        <v>0</v>
      </c>
      <c r="U171" s="29"/>
      <c r="V171" s="30" t="s">
        <v>50</v>
      </c>
      <c r="W171" s="30"/>
      <c r="X171" s="30"/>
      <c r="Y171" s="30"/>
      <c r="Z171" s="30"/>
      <c r="AA171" s="30"/>
      <c r="AB171" s="29"/>
      <c r="AC171" s="29"/>
      <c r="AD171" s="37">
        <f t="shared" si="35"/>
        <v>27246</v>
      </c>
      <c r="AE171" s="3" t="str">
        <f t="shared" ca="1" si="32"/>
        <v>52 Tahun 0 bulan 27 Hari</v>
      </c>
      <c r="AF171" s="38">
        <f t="shared" si="36"/>
        <v>49188</v>
      </c>
    </row>
    <row r="172" spans="1:33" s="306" customFormat="1" ht="32.15" customHeight="1" x14ac:dyDescent="0.35">
      <c r="A172" s="26">
        <f t="shared" si="33"/>
        <v>159</v>
      </c>
      <c r="B172" s="27" t="s">
        <v>546</v>
      </c>
      <c r="C172" s="26"/>
      <c r="D172" s="50" t="s">
        <v>581</v>
      </c>
      <c r="E172" s="24" t="s">
        <v>582</v>
      </c>
      <c r="F172" s="24" t="s">
        <v>43</v>
      </c>
      <c r="G172" s="3" t="s">
        <v>583</v>
      </c>
      <c r="H172" s="4" t="s">
        <v>584</v>
      </c>
      <c r="I172" s="4" t="s">
        <v>585</v>
      </c>
      <c r="J172" s="5" t="s">
        <v>87</v>
      </c>
      <c r="K172" s="3" t="str">
        <f t="shared" ca="1" si="29"/>
        <v xml:space="preserve">4 Tahun 8 bulan </v>
      </c>
      <c r="L172" s="30" t="s">
        <v>88</v>
      </c>
      <c r="M172" s="5" t="s">
        <v>87</v>
      </c>
      <c r="N172" s="3" t="str">
        <f t="shared" ca="1" si="30"/>
        <v xml:space="preserve">4 Tahun 8 bulan </v>
      </c>
      <c r="O172" s="4"/>
      <c r="P172" s="4" t="s">
        <v>35</v>
      </c>
      <c r="Q172" s="4" t="str">
        <f t="shared" si="31"/>
        <v>Perempuan</v>
      </c>
      <c r="R172" s="4">
        <f>R161</f>
        <v>1</v>
      </c>
      <c r="S172" s="4" t="str">
        <f t="shared" si="39"/>
        <v>1</v>
      </c>
      <c r="T172" s="4">
        <f t="shared" si="38"/>
        <v>0</v>
      </c>
      <c r="U172" s="29"/>
      <c r="V172" s="30"/>
      <c r="W172" s="30"/>
      <c r="X172" s="30"/>
      <c r="Y172" s="30"/>
      <c r="Z172" s="30"/>
      <c r="AA172" s="30"/>
      <c r="AB172" s="29"/>
      <c r="AC172" s="29"/>
      <c r="AD172" s="37">
        <f t="shared" si="35"/>
        <v>29677</v>
      </c>
      <c r="AE172" s="3" t="str">
        <f t="shared" ca="1" si="32"/>
        <v>45 Tahun 5 bulan 0 Hari</v>
      </c>
      <c r="AF172" s="38">
        <f t="shared" si="36"/>
        <v>51622</v>
      </c>
    </row>
    <row r="173" spans="1:33" s="306" customFormat="1" ht="32.15" customHeight="1" x14ac:dyDescent="0.35">
      <c r="A173" s="26">
        <f t="shared" si="33"/>
        <v>160</v>
      </c>
      <c r="B173" s="27" t="s">
        <v>546</v>
      </c>
      <c r="C173" s="26"/>
      <c r="D173" s="50" t="s">
        <v>581</v>
      </c>
      <c r="E173" s="71" t="s">
        <v>586</v>
      </c>
      <c r="F173" s="24" t="s">
        <v>43</v>
      </c>
      <c r="G173" s="70" t="s">
        <v>587</v>
      </c>
      <c r="H173" s="4" t="s">
        <v>574</v>
      </c>
      <c r="I173" s="56" t="s">
        <v>588</v>
      </c>
      <c r="J173" s="5" t="s">
        <v>87</v>
      </c>
      <c r="K173" s="3" t="str">
        <f t="shared" ca="1" si="29"/>
        <v xml:space="preserve">4 Tahun 8 bulan </v>
      </c>
      <c r="L173" s="30" t="s">
        <v>88</v>
      </c>
      <c r="M173" s="5" t="s">
        <v>87</v>
      </c>
      <c r="N173" s="3" t="str">
        <f t="shared" ca="1" si="30"/>
        <v xml:space="preserve">4 Tahun 8 bulan </v>
      </c>
      <c r="O173" s="74"/>
      <c r="P173" s="4" t="s">
        <v>35</v>
      </c>
      <c r="Q173" s="4" t="str">
        <f t="shared" si="31"/>
        <v>Laki-Laki</v>
      </c>
      <c r="R173" s="4">
        <f t="shared" ref="R173:R180" si="40">R172</f>
        <v>1</v>
      </c>
      <c r="S173" s="4" t="str">
        <f t="shared" si="39"/>
        <v>1</v>
      </c>
      <c r="T173" s="4">
        <f t="shared" si="38"/>
        <v>0</v>
      </c>
      <c r="U173" s="29"/>
      <c r="V173" s="30" t="s">
        <v>50</v>
      </c>
      <c r="W173" s="30"/>
      <c r="X173" s="30"/>
      <c r="Y173" s="30"/>
      <c r="Z173" s="30"/>
      <c r="AA173" s="30"/>
      <c r="AB173" s="29"/>
      <c r="AC173" s="29"/>
      <c r="AD173" s="37">
        <f t="shared" si="35"/>
        <v>28135</v>
      </c>
      <c r="AE173" s="3" t="str">
        <f t="shared" ca="1" si="32"/>
        <v>49 Tahun 7 bulan 22 Hari</v>
      </c>
      <c r="AF173" s="38">
        <f t="shared" si="36"/>
        <v>50072</v>
      </c>
    </row>
    <row r="174" spans="1:33" s="306" customFormat="1" ht="32.15" customHeight="1" x14ac:dyDescent="0.35">
      <c r="A174" s="26">
        <f t="shared" si="33"/>
        <v>161</v>
      </c>
      <c r="B174" s="27" t="s">
        <v>546</v>
      </c>
      <c r="C174" s="26"/>
      <c r="D174" s="50" t="s">
        <v>581</v>
      </c>
      <c r="E174" s="24" t="s">
        <v>108</v>
      </c>
      <c r="F174" s="24"/>
      <c r="G174" s="3"/>
      <c r="H174" s="4"/>
      <c r="I174" s="4"/>
      <c r="J174" s="5"/>
      <c r="K174" s="3" t="str">
        <f t="shared" ca="1" si="29"/>
        <v/>
      </c>
      <c r="L174" s="30" t="s">
        <v>88</v>
      </c>
      <c r="M174" s="5"/>
      <c r="N174" s="3" t="str">
        <f t="shared" ca="1" si="30"/>
        <v/>
      </c>
      <c r="O174" s="4"/>
      <c r="P174" s="4" t="s">
        <v>35</v>
      </c>
      <c r="Q174" s="4" t="str">
        <f t="shared" si="31"/>
        <v/>
      </c>
      <c r="R174" s="4">
        <f t="shared" si="40"/>
        <v>1</v>
      </c>
      <c r="S174" s="4" t="str">
        <f t="shared" si="39"/>
        <v>0</v>
      </c>
      <c r="T174" s="4">
        <f t="shared" si="38"/>
        <v>1</v>
      </c>
      <c r="U174" s="29"/>
      <c r="V174" s="30" t="s">
        <v>50</v>
      </c>
      <c r="W174" s="30"/>
      <c r="X174" s="30"/>
      <c r="Y174" s="30"/>
      <c r="Z174" s="30"/>
      <c r="AA174" s="30"/>
      <c r="AB174" s="29"/>
      <c r="AC174" s="29"/>
      <c r="AD174" s="37" t="str">
        <f t="shared" si="35"/>
        <v/>
      </c>
      <c r="AE174" s="3" t="str">
        <f t="shared" ca="1" si="32"/>
        <v/>
      </c>
      <c r="AF174" s="38" t="str">
        <f t="shared" si="36"/>
        <v/>
      </c>
      <c r="AG174" s="307"/>
    </row>
    <row r="175" spans="1:33" s="306" customFormat="1" ht="32.15" customHeight="1" x14ac:dyDescent="0.35">
      <c r="A175" s="26">
        <f t="shared" si="33"/>
        <v>162</v>
      </c>
      <c r="B175" s="27" t="s">
        <v>546</v>
      </c>
      <c r="C175" s="256" t="s">
        <v>590</v>
      </c>
      <c r="D175" s="257"/>
      <c r="E175" s="24" t="s">
        <v>2863</v>
      </c>
      <c r="F175" s="24" t="s">
        <v>43</v>
      </c>
      <c r="G175" s="3" t="s">
        <v>592</v>
      </c>
      <c r="H175" s="4" t="s">
        <v>102</v>
      </c>
      <c r="I175" s="4" t="s">
        <v>2891</v>
      </c>
      <c r="J175" s="5">
        <v>46087</v>
      </c>
      <c r="K175" s="3" t="str">
        <f t="shared" ca="1" si="29"/>
        <v xml:space="preserve">0 Tahun 5 bulan </v>
      </c>
      <c r="L175" s="30" t="s">
        <v>346</v>
      </c>
      <c r="M175" s="5">
        <v>46087</v>
      </c>
      <c r="N175" s="3" t="str">
        <f t="shared" ca="1" si="30"/>
        <v xml:space="preserve">0 Tahun 5 bulan </v>
      </c>
      <c r="O175" s="4"/>
      <c r="P175" s="4" t="s">
        <v>35</v>
      </c>
      <c r="Q175" s="4" t="s">
        <v>591</v>
      </c>
      <c r="R175" s="4">
        <f t="shared" si="40"/>
        <v>1</v>
      </c>
      <c r="S175" s="4" t="str">
        <f t="shared" si="39"/>
        <v>1</v>
      </c>
      <c r="T175" s="4">
        <f t="shared" si="38"/>
        <v>0</v>
      </c>
      <c r="U175" s="29"/>
      <c r="V175" s="30" t="s">
        <v>50</v>
      </c>
      <c r="W175" s="30"/>
      <c r="X175" s="30"/>
      <c r="Y175" s="30"/>
      <c r="Z175" s="30"/>
      <c r="AA175" s="30"/>
      <c r="AB175" s="29"/>
      <c r="AC175" s="29"/>
      <c r="AD175" s="37">
        <f t="shared" si="35"/>
        <v>28254</v>
      </c>
      <c r="AE175" s="3" t="str">
        <f t="shared" ca="1" si="32"/>
        <v>49 Tahun 3 bulan 23 Hari</v>
      </c>
      <c r="AF175" s="38">
        <f t="shared" si="36"/>
        <v>50192</v>
      </c>
    </row>
    <row r="176" spans="1:33" s="306" customFormat="1" ht="32.15" customHeight="1" x14ac:dyDescent="0.35">
      <c r="A176" s="26">
        <f t="shared" si="33"/>
        <v>163</v>
      </c>
      <c r="B176" s="27" t="s">
        <v>546</v>
      </c>
      <c r="C176" s="26"/>
      <c r="D176" s="50" t="s">
        <v>566</v>
      </c>
      <c r="E176" s="24" t="s">
        <v>2999</v>
      </c>
      <c r="F176" s="24" t="s">
        <v>43</v>
      </c>
      <c r="G176" s="4" t="s">
        <v>3000</v>
      </c>
      <c r="H176" s="56" t="s">
        <v>2962</v>
      </c>
      <c r="I176" s="4" t="s">
        <v>3003</v>
      </c>
      <c r="J176" s="5">
        <v>46198</v>
      </c>
      <c r="K176" s="3" t="str">
        <f t="shared" ca="1" si="29"/>
        <v xml:space="preserve">0 Tahun 2 bulan </v>
      </c>
      <c r="L176" s="30" t="s">
        <v>88</v>
      </c>
      <c r="M176" s="5">
        <v>41820</v>
      </c>
      <c r="N176" s="3" t="str">
        <f t="shared" ca="1" si="30"/>
        <v xml:space="preserve">12 Tahun 2 bulan </v>
      </c>
      <c r="O176" s="4"/>
      <c r="P176" s="4" t="s">
        <v>2805</v>
      </c>
      <c r="Q176" s="4" t="str">
        <f t="shared" si="31"/>
        <v>Perempuan</v>
      </c>
      <c r="R176" s="4">
        <f t="shared" si="40"/>
        <v>1</v>
      </c>
      <c r="S176" s="4" t="str">
        <f t="shared" si="39"/>
        <v>1</v>
      </c>
      <c r="T176" s="4">
        <f t="shared" si="38"/>
        <v>0</v>
      </c>
      <c r="U176" s="29"/>
      <c r="V176" s="30"/>
      <c r="W176" s="30"/>
      <c r="X176" s="30"/>
      <c r="Y176" s="30"/>
      <c r="Z176" s="30"/>
      <c r="AA176" s="30"/>
      <c r="AB176" s="29"/>
      <c r="AC176" s="29"/>
      <c r="AD176" s="37">
        <f t="shared" si="35"/>
        <v>27595</v>
      </c>
      <c r="AE176" s="3" t="str">
        <f t="shared" ca="1" si="32"/>
        <v>51 Tahun 1 bulan 12 Hari</v>
      </c>
      <c r="AF176" s="38">
        <f t="shared" si="36"/>
        <v>49522</v>
      </c>
    </row>
    <row r="177" spans="1:32" s="306" customFormat="1" ht="32.15" customHeight="1" x14ac:dyDescent="0.35">
      <c r="A177" s="26">
        <f t="shared" si="33"/>
        <v>164</v>
      </c>
      <c r="B177" s="27" t="s">
        <v>546</v>
      </c>
      <c r="C177" s="26"/>
      <c r="D177" s="50" t="s">
        <v>566</v>
      </c>
      <c r="E177" s="24" t="s">
        <v>3001</v>
      </c>
      <c r="F177" s="24" t="s">
        <v>43</v>
      </c>
      <c r="G177" s="3" t="s">
        <v>3002</v>
      </c>
      <c r="H177" s="4" t="s">
        <v>102</v>
      </c>
      <c r="I177" s="4" t="s">
        <v>2549</v>
      </c>
      <c r="J177" s="5">
        <v>46198</v>
      </c>
      <c r="K177" s="3" t="str">
        <f t="shared" ca="1" si="29"/>
        <v xml:space="preserve">0 Tahun 2 bulan </v>
      </c>
      <c r="L177" s="30" t="s">
        <v>88</v>
      </c>
      <c r="M177" s="5">
        <v>41820</v>
      </c>
      <c r="N177" s="3" t="str">
        <f t="shared" ca="1" si="30"/>
        <v xml:space="preserve">12 Tahun 2 bulan </v>
      </c>
      <c r="O177" s="4"/>
      <c r="P177" s="4" t="s">
        <v>35</v>
      </c>
      <c r="Q177" s="4" t="str">
        <f t="shared" si="31"/>
        <v>Perempuan</v>
      </c>
      <c r="R177" s="4">
        <f t="shared" si="40"/>
        <v>1</v>
      </c>
      <c r="S177" s="4" t="str">
        <f t="shared" si="39"/>
        <v>1</v>
      </c>
      <c r="T177" s="4">
        <f t="shared" si="38"/>
        <v>0</v>
      </c>
      <c r="U177" s="29"/>
      <c r="V177" s="30"/>
      <c r="W177" s="30"/>
      <c r="X177" s="30"/>
      <c r="Y177" s="30"/>
      <c r="Z177" s="30"/>
      <c r="AA177" s="30"/>
      <c r="AB177" s="29"/>
      <c r="AC177" s="29"/>
      <c r="AD177" s="37">
        <f t="shared" si="35"/>
        <v>31665</v>
      </c>
      <c r="AE177" s="3" t="str">
        <f t="shared" ca="1" si="32"/>
        <v>39 Tahun 11 bulan 22 Hari</v>
      </c>
      <c r="AF177" s="38">
        <f t="shared" si="36"/>
        <v>53601</v>
      </c>
    </row>
    <row r="178" spans="1:32" s="308" customFormat="1" ht="32.15" customHeight="1" x14ac:dyDescent="0.35">
      <c r="A178" s="4"/>
      <c r="B178" s="32" t="s">
        <v>593</v>
      </c>
      <c r="C178" s="269" t="s">
        <v>594</v>
      </c>
      <c r="D178" s="270"/>
      <c r="E178" s="271" t="str">
        <f ca="1">IF(J178="","",CONCATENATE(DATEDIF(J178,NOW(),"Y")," Tahun ",DATEDIF(J178,NOW(),"YM")," bulan "))</f>
        <v/>
      </c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3"/>
      <c r="W178" s="25"/>
      <c r="X178" s="25"/>
      <c r="Y178" s="25"/>
      <c r="Z178" s="25"/>
      <c r="AA178" s="25"/>
      <c r="AB178" s="35"/>
      <c r="AC178" s="35"/>
      <c r="AD178" s="37" t="str">
        <f t="shared" si="35"/>
        <v/>
      </c>
      <c r="AE178" s="3" t="str">
        <f t="shared" ca="1" si="32"/>
        <v/>
      </c>
      <c r="AF178" s="38" t="str">
        <f t="shared" si="36"/>
        <v/>
      </c>
    </row>
    <row r="179" spans="1:32" s="306" customFormat="1" ht="32.15" customHeight="1" x14ac:dyDescent="0.35">
      <c r="A179" s="26">
        <f>A177+1</f>
        <v>165</v>
      </c>
      <c r="B179" s="27" t="s">
        <v>593</v>
      </c>
      <c r="C179" s="278" t="s">
        <v>595</v>
      </c>
      <c r="D179" s="279"/>
      <c r="E179" s="24" t="s">
        <v>2866</v>
      </c>
      <c r="F179" s="24" t="s">
        <v>71</v>
      </c>
      <c r="G179" s="3" t="s">
        <v>2867</v>
      </c>
      <c r="H179" s="4" t="s">
        <v>3129</v>
      </c>
      <c r="I179" s="33" t="s">
        <v>2921</v>
      </c>
      <c r="J179" s="5">
        <v>46260</v>
      </c>
      <c r="K179" s="3" t="str">
        <f t="shared" ca="1" si="29"/>
        <v xml:space="preserve">0 Tahun 0 bulan </v>
      </c>
      <c r="L179" s="30" t="s">
        <v>56</v>
      </c>
      <c r="M179" s="5">
        <v>46260</v>
      </c>
      <c r="N179" s="3" t="str">
        <f t="shared" ca="1" si="30"/>
        <v xml:space="preserve">0 Tahun 0 bulan </v>
      </c>
      <c r="O179" s="4"/>
      <c r="P179" s="4" t="s">
        <v>35</v>
      </c>
      <c r="Q179" s="4" t="str">
        <f t="shared" si="31"/>
        <v>Laki-Laki</v>
      </c>
      <c r="R179" s="4">
        <f>R177</f>
        <v>1</v>
      </c>
      <c r="S179" s="4" t="str">
        <f t="shared" ref="S179:S207" si="41">IF(E179="LOWONG","0","1")</f>
        <v>1</v>
      </c>
      <c r="T179" s="4">
        <f t="shared" si="38"/>
        <v>0</v>
      </c>
      <c r="U179" s="29"/>
      <c r="V179" s="30" t="s">
        <v>50</v>
      </c>
      <c r="W179" s="30"/>
      <c r="X179" s="30"/>
      <c r="Y179" s="30"/>
      <c r="Z179" s="30"/>
      <c r="AA179" s="30"/>
      <c r="AB179" s="29"/>
      <c r="AC179" s="29"/>
      <c r="AD179" s="37">
        <f t="shared" si="35"/>
        <v>29587</v>
      </c>
      <c r="AE179" s="3" t="str">
        <f t="shared" ca="1" si="32"/>
        <v>45 Tahun 8 bulan 0 Hari</v>
      </c>
      <c r="AF179" s="38">
        <f t="shared" si="36"/>
        <v>51533</v>
      </c>
    </row>
    <row r="180" spans="1:32" s="306" customFormat="1" ht="32.15" customHeight="1" x14ac:dyDescent="0.35">
      <c r="A180" s="26">
        <f t="shared" si="33"/>
        <v>166</v>
      </c>
      <c r="B180" s="27" t="s">
        <v>593</v>
      </c>
      <c r="C180" s="256" t="s">
        <v>600</v>
      </c>
      <c r="D180" s="257"/>
      <c r="E180" s="24" t="s">
        <v>601</v>
      </c>
      <c r="F180" s="24" t="s">
        <v>43</v>
      </c>
      <c r="G180" s="3" t="s">
        <v>2822</v>
      </c>
      <c r="H180" s="4" t="s">
        <v>3033</v>
      </c>
      <c r="I180" s="33" t="s">
        <v>2823</v>
      </c>
      <c r="J180" s="5">
        <v>45993</v>
      </c>
      <c r="K180" s="3" t="str">
        <f t="shared" ca="1" si="29"/>
        <v xml:space="preserve">0 Tahun 8 bulan </v>
      </c>
      <c r="L180" s="30" t="s">
        <v>79</v>
      </c>
      <c r="M180" s="5">
        <v>45993</v>
      </c>
      <c r="N180" s="3" t="str">
        <f t="shared" ca="1" si="30"/>
        <v xml:space="preserve">0 Tahun 8 bulan </v>
      </c>
      <c r="O180" s="4"/>
      <c r="P180" s="4" t="s">
        <v>35</v>
      </c>
      <c r="Q180" s="4" t="str">
        <f t="shared" si="31"/>
        <v>Laki-Laki</v>
      </c>
      <c r="R180" s="4">
        <f t="shared" si="40"/>
        <v>1</v>
      </c>
      <c r="S180" s="4" t="str">
        <f t="shared" si="41"/>
        <v>1</v>
      </c>
      <c r="T180" s="4">
        <f t="shared" si="38"/>
        <v>0</v>
      </c>
      <c r="U180" s="29"/>
      <c r="V180" s="30" t="s">
        <v>50</v>
      </c>
      <c r="W180" s="30"/>
      <c r="X180" s="30"/>
      <c r="Y180" s="30"/>
      <c r="Z180" s="30"/>
      <c r="AA180" s="30"/>
      <c r="AB180" s="29"/>
      <c r="AC180" s="29"/>
      <c r="AD180" s="37">
        <f t="shared" si="35"/>
        <v>28949</v>
      </c>
      <c r="AE180" s="3" t="str">
        <f t="shared" ca="1" si="32"/>
        <v>47 Tahun 4 bulan 28 Hari</v>
      </c>
      <c r="AF180" s="38">
        <f t="shared" si="36"/>
        <v>50891</v>
      </c>
    </row>
    <row r="181" spans="1:32" s="306" customFormat="1" ht="32.15" customHeight="1" x14ac:dyDescent="0.35">
      <c r="A181" s="26">
        <f t="shared" si="33"/>
        <v>167</v>
      </c>
      <c r="B181" s="27" t="s">
        <v>593</v>
      </c>
      <c r="C181" s="26"/>
      <c r="D181" s="50" t="s">
        <v>602</v>
      </c>
      <c r="E181" s="51" t="s">
        <v>3006</v>
      </c>
      <c r="F181" s="24" t="s">
        <v>43</v>
      </c>
      <c r="G181" s="59" t="s">
        <v>3007</v>
      </c>
      <c r="H181" s="4" t="s">
        <v>3008</v>
      </c>
      <c r="I181" s="33" t="s">
        <v>2965</v>
      </c>
      <c r="J181" s="5">
        <v>46198</v>
      </c>
      <c r="K181" s="3" t="str">
        <f t="shared" ca="1" si="29"/>
        <v xml:space="preserve">0 Tahun 2 bulan </v>
      </c>
      <c r="L181" s="30" t="s">
        <v>200</v>
      </c>
      <c r="M181" s="5">
        <v>46198</v>
      </c>
      <c r="N181" s="3" t="str">
        <f t="shared" ca="1" si="30"/>
        <v xml:space="preserve">0 Tahun 2 bulan </v>
      </c>
      <c r="O181" s="4"/>
      <c r="P181" s="4"/>
      <c r="Q181" s="4" t="str">
        <f t="shared" si="31"/>
        <v>Laki-Laki</v>
      </c>
      <c r="R181" s="4">
        <v>1</v>
      </c>
      <c r="S181" s="4" t="str">
        <f t="shared" si="41"/>
        <v>1</v>
      </c>
      <c r="T181" s="4">
        <f t="shared" si="38"/>
        <v>0</v>
      </c>
      <c r="U181" s="29"/>
      <c r="V181" s="30"/>
      <c r="W181" s="30"/>
      <c r="X181" s="30"/>
      <c r="Y181" s="30"/>
      <c r="Z181" s="30"/>
      <c r="AA181" s="30"/>
      <c r="AB181" s="29"/>
      <c r="AC181" s="29"/>
      <c r="AD181" s="37">
        <f t="shared" si="35"/>
        <v>26395</v>
      </c>
      <c r="AE181" s="3" t="str">
        <f t="shared" ca="1" si="32"/>
        <v>54 Tahun 4 bulan 26 Hari</v>
      </c>
      <c r="AF181" s="38">
        <f t="shared" si="36"/>
        <v>48335</v>
      </c>
    </row>
    <row r="182" spans="1:32" s="306" customFormat="1" ht="32.15" customHeight="1" x14ac:dyDescent="0.35">
      <c r="A182" s="26">
        <f t="shared" si="33"/>
        <v>168</v>
      </c>
      <c r="B182" s="27" t="s">
        <v>593</v>
      </c>
      <c r="C182" s="26"/>
      <c r="D182" s="50" t="s">
        <v>605</v>
      </c>
      <c r="E182" s="45" t="s">
        <v>606</v>
      </c>
      <c r="F182" s="24" t="s">
        <v>43</v>
      </c>
      <c r="G182" s="44" t="s">
        <v>607</v>
      </c>
      <c r="H182" s="4" t="s">
        <v>410</v>
      </c>
      <c r="I182" s="33" t="s">
        <v>107</v>
      </c>
      <c r="J182" s="5" t="s">
        <v>292</v>
      </c>
      <c r="K182" s="3" t="str">
        <f t="shared" ca="1" si="29"/>
        <v xml:space="preserve">7 Tahun 7 bulan </v>
      </c>
      <c r="L182" s="30" t="s">
        <v>200</v>
      </c>
      <c r="M182" s="5" t="s">
        <v>292</v>
      </c>
      <c r="N182" s="3" t="str">
        <f t="shared" ca="1" si="30"/>
        <v xml:space="preserve">7 Tahun 7 bulan </v>
      </c>
      <c r="O182" s="60"/>
      <c r="P182" s="4" t="s">
        <v>35</v>
      </c>
      <c r="Q182" s="4" t="str">
        <f t="shared" si="31"/>
        <v>Perempuan</v>
      </c>
      <c r="R182" s="4">
        <f>[1]Sheet2!J3</f>
        <v>1</v>
      </c>
      <c r="S182" s="4" t="str">
        <f t="shared" si="41"/>
        <v>1</v>
      </c>
      <c r="T182" s="4">
        <f t="shared" si="38"/>
        <v>0</v>
      </c>
      <c r="U182" s="29"/>
      <c r="V182" s="30"/>
      <c r="W182" s="30"/>
      <c r="X182" s="30"/>
      <c r="Y182" s="30"/>
      <c r="Z182" s="30"/>
      <c r="AA182" s="30"/>
      <c r="AB182" s="29"/>
      <c r="AC182" s="29"/>
      <c r="AD182" s="37">
        <f t="shared" si="35"/>
        <v>27826</v>
      </c>
      <c r="AE182" s="3" t="str">
        <f t="shared" ca="1" si="32"/>
        <v>50 Tahun 5 bulan 25 Hari</v>
      </c>
      <c r="AF182" s="38">
        <f t="shared" si="36"/>
        <v>49766</v>
      </c>
    </row>
    <row r="183" spans="1:32" s="306" customFormat="1" ht="32.15" customHeight="1" x14ac:dyDescent="0.35">
      <c r="A183" s="26">
        <f t="shared" si="33"/>
        <v>169</v>
      </c>
      <c r="B183" s="27" t="s">
        <v>593</v>
      </c>
      <c r="C183" s="26"/>
      <c r="D183" s="46" t="s">
        <v>608</v>
      </c>
      <c r="E183" s="75" t="s">
        <v>609</v>
      </c>
      <c r="F183" s="24" t="s">
        <v>43</v>
      </c>
      <c r="G183" s="76" t="s">
        <v>610</v>
      </c>
      <c r="H183" s="4" t="s">
        <v>135</v>
      </c>
      <c r="I183" s="33" t="s">
        <v>184</v>
      </c>
      <c r="J183" s="5">
        <v>44561</v>
      </c>
      <c r="K183" s="3" t="str">
        <f t="shared" ca="1" si="29"/>
        <v xml:space="preserve">4 Tahun 8 bulan </v>
      </c>
      <c r="L183" s="30" t="s">
        <v>88</v>
      </c>
      <c r="M183" s="5">
        <v>44561</v>
      </c>
      <c r="N183" s="3" t="str">
        <f t="shared" ca="1" si="30"/>
        <v xml:space="preserve">4 Tahun 8 bulan </v>
      </c>
      <c r="O183" s="29"/>
      <c r="P183" s="4" t="s">
        <v>35</v>
      </c>
      <c r="Q183" s="4" t="str">
        <f t="shared" si="31"/>
        <v>Laki-Laki</v>
      </c>
      <c r="R183" s="4">
        <f t="shared" ref="R183:R214" si="42">R182</f>
        <v>1</v>
      </c>
      <c r="S183" s="4" t="str">
        <f t="shared" si="41"/>
        <v>1</v>
      </c>
      <c r="T183" s="4">
        <f t="shared" si="38"/>
        <v>0</v>
      </c>
      <c r="U183" s="29"/>
      <c r="V183" s="30" t="s">
        <v>50</v>
      </c>
      <c r="W183" s="30"/>
      <c r="X183" s="30"/>
      <c r="Y183" s="30"/>
      <c r="Z183" s="30"/>
      <c r="AA183" s="30"/>
      <c r="AB183" s="29"/>
      <c r="AC183" s="29"/>
      <c r="AD183" s="37">
        <f t="shared" si="35"/>
        <v>28839</v>
      </c>
      <c r="AE183" s="3" t="str">
        <f t="shared" ca="1" si="32"/>
        <v>47 Tahun 8 bulan 17 Hari</v>
      </c>
      <c r="AF183" s="38">
        <f t="shared" si="36"/>
        <v>50771</v>
      </c>
    </row>
    <row r="184" spans="1:32" s="306" customFormat="1" ht="32.15" customHeight="1" x14ac:dyDescent="0.35">
      <c r="A184" s="26">
        <f t="shared" si="33"/>
        <v>170</v>
      </c>
      <c r="B184" s="27" t="s">
        <v>593</v>
      </c>
      <c r="C184" s="256" t="s">
        <v>611</v>
      </c>
      <c r="D184" s="257"/>
      <c r="E184" s="24" t="s">
        <v>612</v>
      </c>
      <c r="F184" s="24" t="s">
        <v>43</v>
      </c>
      <c r="G184" s="3" t="s">
        <v>613</v>
      </c>
      <c r="H184" s="4" t="s">
        <v>154</v>
      </c>
      <c r="I184" s="33" t="s">
        <v>614</v>
      </c>
      <c r="J184" s="5" t="s">
        <v>127</v>
      </c>
      <c r="K184" s="3" t="str">
        <f t="shared" ca="1" si="29"/>
        <v xml:space="preserve">5 Tahun 6 bulan </v>
      </c>
      <c r="L184" s="30" t="s">
        <v>346</v>
      </c>
      <c r="M184" s="5" t="s">
        <v>127</v>
      </c>
      <c r="N184" s="3" t="str">
        <f t="shared" ca="1" si="30"/>
        <v xml:space="preserve">5 Tahun 6 bulan </v>
      </c>
      <c r="O184" s="4"/>
      <c r="P184" s="4" t="s">
        <v>35</v>
      </c>
      <c r="Q184" s="4" t="str">
        <f t="shared" si="31"/>
        <v>Laki-Laki</v>
      </c>
      <c r="R184" s="4">
        <f t="shared" si="42"/>
        <v>1</v>
      </c>
      <c r="S184" s="4" t="str">
        <f t="shared" si="41"/>
        <v>1</v>
      </c>
      <c r="T184" s="4">
        <f t="shared" si="38"/>
        <v>0</v>
      </c>
      <c r="U184" s="29"/>
      <c r="V184" s="30" t="s">
        <v>50</v>
      </c>
      <c r="W184" s="30"/>
      <c r="X184" s="30"/>
      <c r="Y184" s="30"/>
      <c r="Z184" s="30"/>
      <c r="AA184" s="30"/>
      <c r="AB184" s="29"/>
      <c r="AC184" s="29"/>
      <c r="AD184" s="37">
        <f t="shared" si="35"/>
        <v>27818</v>
      </c>
      <c r="AE184" s="3" t="str">
        <f t="shared" ca="1" si="32"/>
        <v>50 Tahun 6 bulan 4 Hari</v>
      </c>
      <c r="AF184" s="38">
        <f t="shared" si="36"/>
        <v>49735</v>
      </c>
    </row>
    <row r="185" spans="1:32" s="306" customFormat="1" ht="32.15" customHeight="1" x14ac:dyDescent="0.35">
      <c r="A185" s="26">
        <f t="shared" si="33"/>
        <v>171</v>
      </c>
      <c r="B185" s="27" t="s">
        <v>593</v>
      </c>
      <c r="C185" s="26"/>
      <c r="D185" s="50" t="s">
        <v>615</v>
      </c>
      <c r="E185" s="24" t="s">
        <v>616</v>
      </c>
      <c r="F185" s="24" t="s">
        <v>43</v>
      </c>
      <c r="G185" s="3" t="s">
        <v>617</v>
      </c>
      <c r="H185" s="4" t="s">
        <v>259</v>
      </c>
      <c r="I185" s="33" t="s">
        <v>184</v>
      </c>
      <c r="J185" s="5">
        <v>44561</v>
      </c>
      <c r="K185" s="3" t="str">
        <f t="shared" ca="1" si="29"/>
        <v xml:space="preserve">4 Tahun 8 bulan </v>
      </c>
      <c r="L185" s="30" t="s">
        <v>88</v>
      </c>
      <c r="M185" s="5">
        <v>44561</v>
      </c>
      <c r="N185" s="3" t="str">
        <f t="shared" ca="1" si="30"/>
        <v xml:space="preserve">4 Tahun 8 bulan </v>
      </c>
      <c r="O185" s="4"/>
      <c r="P185" s="4" t="s">
        <v>35</v>
      </c>
      <c r="Q185" s="4" t="str">
        <f t="shared" si="31"/>
        <v>Laki-Laki</v>
      </c>
      <c r="R185" s="4">
        <f t="shared" si="42"/>
        <v>1</v>
      </c>
      <c r="S185" s="4" t="str">
        <f t="shared" si="41"/>
        <v>1</v>
      </c>
      <c r="T185" s="4">
        <f t="shared" si="38"/>
        <v>0</v>
      </c>
      <c r="U185" s="29"/>
      <c r="V185" s="30" t="s">
        <v>50</v>
      </c>
      <c r="W185" s="30"/>
      <c r="X185" s="30"/>
      <c r="Y185" s="30"/>
      <c r="Z185" s="30"/>
      <c r="AA185" s="30"/>
      <c r="AB185" s="29"/>
      <c r="AC185" s="29"/>
      <c r="AD185" s="37">
        <f t="shared" si="35"/>
        <v>29390</v>
      </c>
      <c r="AE185" s="3" t="str">
        <f t="shared" ca="1" si="32"/>
        <v>46 Tahun 2 bulan 14 Hari</v>
      </c>
      <c r="AF185" s="38">
        <f t="shared" si="36"/>
        <v>51318</v>
      </c>
    </row>
    <row r="186" spans="1:32" s="306" customFormat="1" ht="32.15" customHeight="1" x14ac:dyDescent="0.35">
      <c r="A186" s="26">
        <f t="shared" si="33"/>
        <v>172</v>
      </c>
      <c r="B186" s="27" t="s">
        <v>593</v>
      </c>
      <c r="C186" s="26"/>
      <c r="D186" s="50" t="s">
        <v>615</v>
      </c>
      <c r="E186" s="45" t="s">
        <v>108</v>
      </c>
      <c r="F186" s="45"/>
      <c r="G186" s="44"/>
      <c r="H186" s="4"/>
      <c r="I186" s="36"/>
      <c r="J186" s="5"/>
      <c r="K186" s="3" t="str">
        <f t="shared" ca="1" si="29"/>
        <v/>
      </c>
      <c r="L186" s="30" t="s">
        <v>88</v>
      </c>
      <c r="M186" s="5"/>
      <c r="N186" s="3" t="str">
        <f t="shared" ca="1" si="30"/>
        <v/>
      </c>
      <c r="O186" s="4"/>
      <c r="P186" s="4"/>
      <c r="Q186" s="4" t="str">
        <f t="shared" si="31"/>
        <v/>
      </c>
      <c r="R186" s="4">
        <f t="shared" si="42"/>
        <v>1</v>
      </c>
      <c r="S186" s="4" t="str">
        <f t="shared" si="41"/>
        <v>0</v>
      </c>
      <c r="T186" s="4">
        <f t="shared" si="38"/>
        <v>1</v>
      </c>
      <c r="U186" s="29"/>
      <c r="V186" s="30"/>
      <c r="W186" s="30"/>
      <c r="X186" s="30"/>
      <c r="Y186" s="30"/>
      <c r="Z186" s="30"/>
      <c r="AA186" s="30"/>
      <c r="AB186" s="29"/>
      <c r="AC186" s="29"/>
      <c r="AD186" s="37" t="str">
        <f t="shared" si="35"/>
        <v/>
      </c>
      <c r="AE186" s="3" t="str">
        <f t="shared" ca="1" si="32"/>
        <v/>
      </c>
      <c r="AF186" s="38" t="str">
        <f t="shared" si="36"/>
        <v/>
      </c>
    </row>
    <row r="187" spans="1:32" s="306" customFormat="1" ht="32.15" customHeight="1" x14ac:dyDescent="0.35">
      <c r="A187" s="26">
        <f t="shared" si="33"/>
        <v>173</v>
      </c>
      <c r="B187" s="27" t="s">
        <v>593</v>
      </c>
      <c r="C187" s="26"/>
      <c r="D187" s="50" t="s">
        <v>618</v>
      </c>
      <c r="E187" s="24" t="s">
        <v>619</v>
      </c>
      <c r="F187" s="24" t="s">
        <v>43</v>
      </c>
      <c r="G187" s="3" t="s">
        <v>620</v>
      </c>
      <c r="H187" s="4" t="s">
        <v>621</v>
      </c>
      <c r="I187" s="33" t="s">
        <v>86</v>
      </c>
      <c r="J187" s="5" t="s">
        <v>87</v>
      </c>
      <c r="K187" s="3" t="str">
        <f t="shared" ca="1" si="29"/>
        <v xml:space="preserve">4 Tahun 8 bulan </v>
      </c>
      <c r="L187" s="30" t="s">
        <v>88</v>
      </c>
      <c r="M187" s="5">
        <v>44561</v>
      </c>
      <c r="N187" s="3" t="str">
        <f t="shared" ca="1" si="30"/>
        <v xml:space="preserve">4 Tahun 8 bulan </v>
      </c>
      <c r="O187" s="4"/>
      <c r="P187" s="4" t="s">
        <v>35</v>
      </c>
      <c r="Q187" s="4" t="str">
        <f t="shared" si="31"/>
        <v>Laki-Laki</v>
      </c>
      <c r="R187" s="4">
        <f t="shared" si="42"/>
        <v>1</v>
      </c>
      <c r="S187" s="4" t="str">
        <f t="shared" si="41"/>
        <v>1</v>
      </c>
      <c r="T187" s="4">
        <f t="shared" si="38"/>
        <v>0</v>
      </c>
      <c r="U187" s="29"/>
      <c r="V187" s="30" t="s">
        <v>50</v>
      </c>
      <c r="W187" s="30"/>
      <c r="X187" s="30"/>
      <c r="Y187" s="30"/>
      <c r="Z187" s="30"/>
      <c r="AA187" s="30"/>
      <c r="AB187" s="29"/>
      <c r="AC187" s="29"/>
      <c r="AD187" s="37">
        <f t="shared" si="35"/>
        <v>27910</v>
      </c>
      <c r="AE187" s="3" t="str">
        <f t="shared" ca="1" si="32"/>
        <v>50 Tahun 3 bulan 2 Hari</v>
      </c>
      <c r="AF187" s="38">
        <f t="shared" si="36"/>
        <v>49827</v>
      </c>
    </row>
    <row r="188" spans="1:32" s="306" customFormat="1" ht="32.15" customHeight="1" x14ac:dyDescent="0.35">
      <c r="A188" s="26">
        <f t="shared" si="33"/>
        <v>174</v>
      </c>
      <c r="B188" s="27" t="s">
        <v>593</v>
      </c>
      <c r="C188" s="256" t="s">
        <v>622</v>
      </c>
      <c r="D188" s="257"/>
      <c r="E188" s="24" t="s">
        <v>623</v>
      </c>
      <c r="F188" s="24" t="s">
        <v>43</v>
      </c>
      <c r="G188" s="3" t="s">
        <v>624</v>
      </c>
      <c r="H188" s="4" t="s">
        <v>625</v>
      </c>
      <c r="I188" s="4" t="s">
        <v>599</v>
      </c>
      <c r="J188" s="5" t="s">
        <v>626</v>
      </c>
      <c r="K188" s="3" t="str">
        <f t="shared" ca="1" si="29"/>
        <v xml:space="preserve">7 Tahun 7 bulan </v>
      </c>
      <c r="L188" s="30" t="s">
        <v>346</v>
      </c>
      <c r="M188" s="5" t="s">
        <v>626</v>
      </c>
      <c r="N188" s="3" t="str">
        <f t="shared" ca="1" si="30"/>
        <v xml:space="preserve">7 Tahun 7 bulan </v>
      </c>
      <c r="O188" s="4" t="s">
        <v>81</v>
      </c>
      <c r="P188" s="4" t="s">
        <v>35</v>
      </c>
      <c r="Q188" s="4" t="str">
        <f t="shared" si="31"/>
        <v>Laki-Laki</v>
      </c>
      <c r="R188" s="4">
        <f t="shared" si="42"/>
        <v>1</v>
      </c>
      <c r="S188" s="4" t="str">
        <f t="shared" si="41"/>
        <v>1</v>
      </c>
      <c r="T188" s="4">
        <f t="shared" si="38"/>
        <v>0</v>
      </c>
      <c r="U188" s="29"/>
      <c r="V188" s="30" t="s">
        <v>50</v>
      </c>
      <c r="W188" s="30"/>
      <c r="X188" s="30"/>
      <c r="Y188" s="30"/>
      <c r="Z188" s="30"/>
      <c r="AA188" s="30"/>
      <c r="AB188" s="29"/>
      <c r="AC188" s="29"/>
      <c r="AD188" s="37">
        <f t="shared" si="35"/>
        <v>27498</v>
      </c>
      <c r="AE188" s="3" t="str">
        <f t="shared" ca="1" si="32"/>
        <v>51 Tahun 4 bulan 18 Hari</v>
      </c>
      <c r="AF188" s="38">
        <f t="shared" si="36"/>
        <v>49430</v>
      </c>
    </row>
    <row r="189" spans="1:32" s="306" customFormat="1" ht="32.15" customHeight="1" x14ac:dyDescent="0.35">
      <c r="A189" s="26">
        <f t="shared" si="33"/>
        <v>175</v>
      </c>
      <c r="B189" s="27" t="s">
        <v>593</v>
      </c>
      <c r="C189" s="26"/>
      <c r="D189" s="50" t="s">
        <v>627</v>
      </c>
      <c r="E189" s="24" t="s">
        <v>108</v>
      </c>
      <c r="F189" s="24"/>
      <c r="G189" s="77"/>
      <c r="H189" s="4"/>
      <c r="I189" s="33"/>
      <c r="J189" s="5"/>
      <c r="K189" s="3" t="str">
        <f t="shared" ca="1" si="29"/>
        <v/>
      </c>
      <c r="L189" s="30" t="s">
        <v>88</v>
      </c>
      <c r="M189" s="5"/>
      <c r="N189" s="3" t="str">
        <f t="shared" ca="1" si="30"/>
        <v/>
      </c>
      <c r="O189" s="4"/>
      <c r="P189" s="4"/>
      <c r="Q189" s="4" t="str">
        <f t="shared" si="31"/>
        <v/>
      </c>
      <c r="R189" s="4">
        <f t="shared" si="42"/>
        <v>1</v>
      </c>
      <c r="S189" s="4" t="str">
        <f t="shared" si="41"/>
        <v>0</v>
      </c>
      <c r="T189" s="4">
        <f t="shared" si="38"/>
        <v>1</v>
      </c>
      <c r="U189" s="29"/>
      <c r="V189" s="30" t="s">
        <v>50</v>
      </c>
      <c r="W189" s="30"/>
      <c r="X189" s="30"/>
      <c r="Y189" s="30"/>
      <c r="Z189" s="30"/>
      <c r="AA189" s="30"/>
      <c r="AB189" s="29"/>
      <c r="AC189" s="29"/>
      <c r="AD189" s="37" t="str">
        <f t="shared" si="35"/>
        <v/>
      </c>
      <c r="AE189" s="3" t="str">
        <f t="shared" ca="1" si="32"/>
        <v/>
      </c>
      <c r="AF189" s="38" t="str">
        <f t="shared" si="36"/>
        <v/>
      </c>
    </row>
    <row r="190" spans="1:32" s="306" customFormat="1" ht="32.15" customHeight="1" x14ac:dyDescent="0.35">
      <c r="A190" s="26">
        <f t="shared" si="33"/>
        <v>176</v>
      </c>
      <c r="B190" s="27" t="s">
        <v>593</v>
      </c>
      <c r="C190" s="26"/>
      <c r="D190" s="50" t="s">
        <v>627</v>
      </c>
      <c r="E190" s="71" t="s">
        <v>631</v>
      </c>
      <c r="F190" s="24" t="s">
        <v>43</v>
      </c>
      <c r="G190" s="70" t="s">
        <v>632</v>
      </c>
      <c r="H190" s="4" t="s">
        <v>135</v>
      </c>
      <c r="I190" s="25" t="s">
        <v>86</v>
      </c>
      <c r="J190" s="5" t="s">
        <v>87</v>
      </c>
      <c r="K190" s="3" t="str">
        <f t="shared" ca="1" si="29"/>
        <v xml:space="preserve">4 Tahun 8 bulan </v>
      </c>
      <c r="L190" s="30" t="s">
        <v>88</v>
      </c>
      <c r="M190" s="5">
        <v>44561</v>
      </c>
      <c r="N190" s="3" t="str">
        <f t="shared" ca="1" si="30"/>
        <v xml:space="preserve">4 Tahun 8 bulan </v>
      </c>
      <c r="O190" s="56"/>
      <c r="P190" s="4" t="s">
        <v>35</v>
      </c>
      <c r="Q190" s="4" t="str">
        <f t="shared" si="31"/>
        <v>Laki-Laki</v>
      </c>
      <c r="R190" s="4">
        <f t="shared" si="42"/>
        <v>1</v>
      </c>
      <c r="S190" s="4" t="str">
        <f t="shared" si="41"/>
        <v>1</v>
      </c>
      <c r="T190" s="4">
        <f t="shared" si="38"/>
        <v>0</v>
      </c>
      <c r="U190" s="29"/>
      <c r="V190" s="30" t="s">
        <v>50</v>
      </c>
      <c r="W190" s="30"/>
      <c r="X190" s="30"/>
      <c r="Y190" s="30"/>
      <c r="Z190" s="30"/>
      <c r="AA190" s="30"/>
      <c r="AB190" s="29"/>
      <c r="AC190" s="29"/>
      <c r="AD190" s="37">
        <f t="shared" si="35"/>
        <v>25618</v>
      </c>
      <c r="AE190" s="3" t="str">
        <f t="shared" ca="1" si="32"/>
        <v>56 Tahun 6 bulan 13 Hari</v>
      </c>
      <c r="AF190" s="38">
        <f t="shared" si="36"/>
        <v>47543</v>
      </c>
    </row>
    <row r="191" spans="1:32" s="306" customFormat="1" ht="32.15" customHeight="1" x14ac:dyDescent="0.35">
      <c r="A191" s="26">
        <f t="shared" si="33"/>
        <v>177</v>
      </c>
      <c r="B191" s="27" t="s">
        <v>593</v>
      </c>
      <c r="C191" s="26"/>
      <c r="D191" s="50" t="s">
        <v>615</v>
      </c>
      <c r="E191" s="24" t="s">
        <v>633</v>
      </c>
      <c r="F191" s="24" t="s">
        <v>43</v>
      </c>
      <c r="G191" s="77" t="s">
        <v>634</v>
      </c>
      <c r="H191" s="4" t="s">
        <v>410</v>
      </c>
      <c r="I191" s="33" t="s">
        <v>46</v>
      </c>
      <c r="J191" s="5" t="s">
        <v>87</v>
      </c>
      <c r="K191" s="3" t="str">
        <f t="shared" ca="1" si="29"/>
        <v xml:space="preserve">4 Tahun 8 bulan </v>
      </c>
      <c r="L191" s="30" t="s">
        <v>88</v>
      </c>
      <c r="M191" s="5">
        <v>44561</v>
      </c>
      <c r="N191" s="3" t="str">
        <f t="shared" ca="1" si="30"/>
        <v xml:space="preserve">4 Tahun 8 bulan </v>
      </c>
      <c r="O191" s="4"/>
      <c r="P191" s="4" t="s">
        <v>35</v>
      </c>
      <c r="Q191" s="4" t="str">
        <f t="shared" si="31"/>
        <v>Perempuan</v>
      </c>
      <c r="R191" s="4">
        <f t="shared" si="42"/>
        <v>1</v>
      </c>
      <c r="S191" s="4" t="str">
        <f t="shared" si="41"/>
        <v>1</v>
      </c>
      <c r="T191" s="4">
        <f t="shared" si="38"/>
        <v>0</v>
      </c>
      <c r="U191" s="29"/>
      <c r="V191" s="30"/>
      <c r="W191" s="30"/>
      <c r="X191" s="30"/>
      <c r="Y191" s="30"/>
      <c r="Z191" s="30"/>
      <c r="AA191" s="30"/>
      <c r="AB191" s="29"/>
      <c r="AC191" s="29"/>
      <c r="AD191" s="37">
        <f t="shared" si="35"/>
        <v>28043</v>
      </c>
      <c r="AE191" s="3" t="str">
        <f t="shared" ca="1" si="32"/>
        <v>49 Tahun 10 bulan 22 Hari</v>
      </c>
      <c r="AF191" s="38">
        <f t="shared" si="36"/>
        <v>49980</v>
      </c>
    </row>
    <row r="192" spans="1:32" s="306" customFormat="1" ht="32.15" customHeight="1" x14ac:dyDescent="0.35">
      <c r="A192" s="26">
        <f t="shared" si="33"/>
        <v>178</v>
      </c>
      <c r="B192" s="27" t="s">
        <v>593</v>
      </c>
      <c r="C192" s="256" t="s">
        <v>635</v>
      </c>
      <c r="D192" s="257"/>
      <c r="E192" s="24" t="s">
        <v>2887</v>
      </c>
      <c r="F192" s="24" t="s">
        <v>43</v>
      </c>
      <c r="G192" s="3" t="s">
        <v>2888</v>
      </c>
      <c r="H192" s="4" t="s">
        <v>1526</v>
      </c>
      <c r="I192" s="25" t="s">
        <v>2889</v>
      </c>
      <c r="J192" s="5">
        <v>46087</v>
      </c>
      <c r="K192" s="3" t="str">
        <f t="shared" ca="1" si="29"/>
        <v xml:space="preserve">0 Tahun 5 bulan </v>
      </c>
      <c r="L192" s="30" t="s">
        <v>346</v>
      </c>
      <c r="M192" s="5">
        <v>46087</v>
      </c>
      <c r="N192" s="3" t="str">
        <f t="shared" ca="1" si="30"/>
        <v xml:space="preserve">0 Tahun 5 bulan </v>
      </c>
      <c r="O192" s="4"/>
      <c r="P192" s="4"/>
      <c r="Q192" s="4" t="str">
        <f t="shared" si="31"/>
        <v>Laki-Laki</v>
      </c>
      <c r="R192" s="4">
        <f t="shared" si="42"/>
        <v>1</v>
      </c>
      <c r="S192" s="4" t="str">
        <f t="shared" si="41"/>
        <v>1</v>
      </c>
      <c r="T192" s="4">
        <f t="shared" si="38"/>
        <v>0</v>
      </c>
      <c r="U192" s="29"/>
      <c r="V192" s="30" t="s">
        <v>50</v>
      </c>
      <c r="W192" s="30"/>
      <c r="X192" s="30"/>
      <c r="Y192" s="30"/>
      <c r="Z192" s="30"/>
      <c r="AA192" s="30"/>
      <c r="AB192" s="29"/>
      <c r="AC192" s="29"/>
      <c r="AD192" s="37">
        <f t="shared" si="35"/>
        <v>27087</v>
      </c>
      <c r="AE192" s="3" t="str">
        <f t="shared" ca="1" si="32"/>
        <v>52 Tahun 6 bulan 5 Hari</v>
      </c>
      <c r="AF192" s="38">
        <f t="shared" si="36"/>
        <v>49004</v>
      </c>
    </row>
    <row r="193" spans="1:33" s="306" customFormat="1" ht="32.15" customHeight="1" x14ac:dyDescent="0.35">
      <c r="A193" s="26">
        <f t="shared" si="33"/>
        <v>179</v>
      </c>
      <c r="B193" s="27" t="s">
        <v>593</v>
      </c>
      <c r="C193" s="26"/>
      <c r="D193" s="50" t="s">
        <v>636</v>
      </c>
      <c r="E193" s="24" t="s">
        <v>637</v>
      </c>
      <c r="F193" s="24" t="s">
        <v>43</v>
      </c>
      <c r="G193" s="3" t="s">
        <v>638</v>
      </c>
      <c r="H193" s="4" t="s">
        <v>135</v>
      </c>
      <c r="I193" s="33" t="s">
        <v>67</v>
      </c>
      <c r="J193" s="5" t="s">
        <v>87</v>
      </c>
      <c r="K193" s="3" t="str">
        <f t="shared" ca="1" si="29"/>
        <v xml:space="preserve">4 Tahun 8 bulan </v>
      </c>
      <c r="L193" s="30" t="s">
        <v>88</v>
      </c>
      <c r="M193" s="5">
        <v>44561</v>
      </c>
      <c r="N193" s="3" t="str">
        <f t="shared" ca="1" si="30"/>
        <v xml:space="preserve">4 Tahun 8 bulan </v>
      </c>
      <c r="O193" s="4"/>
      <c r="P193" s="4" t="s">
        <v>35</v>
      </c>
      <c r="Q193" s="4" t="str">
        <f t="shared" si="31"/>
        <v>Laki-Laki</v>
      </c>
      <c r="R193" s="4">
        <f t="shared" si="42"/>
        <v>1</v>
      </c>
      <c r="S193" s="4" t="str">
        <f t="shared" si="41"/>
        <v>1</v>
      </c>
      <c r="T193" s="4">
        <f t="shared" si="38"/>
        <v>0</v>
      </c>
      <c r="U193" s="29"/>
      <c r="V193" s="30" t="s">
        <v>50</v>
      </c>
      <c r="W193" s="30"/>
      <c r="X193" s="30"/>
      <c r="Y193" s="30"/>
      <c r="Z193" s="30"/>
      <c r="AA193" s="30"/>
      <c r="AB193" s="29"/>
      <c r="AC193" s="29"/>
      <c r="AD193" s="37">
        <f t="shared" si="35"/>
        <v>29085</v>
      </c>
      <c r="AE193" s="3" t="str">
        <f t="shared" ca="1" si="32"/>
        <v>47 Tahun 0 bulan 14 Hari</v>
      </c>
      <c r="AF193" s="38">
        <f t="shared" si="36"/>
        <v>51014</v>
      </c>
    </row>
    <row r="194" spans="1:33" s="306" customFormat="1" ht="32.15" customHeight="1" x14ac:dyDescent="0.35">
      <c r="A194" s="26">
        <f t="shared" si="33"/>
        <v>180</v>
      </c>
      <c r="B194" s="27" t="s">
        <v>593</v>
      </c>
      <c r="C194" s="26"/>
      <c r="D194" s="50" t="s">
        <v>639</v>
      </c>
      <c r="E194" s="24" t="s">
        <v>108</v>
      </c>
      <c r="F194" s="24"/>
      <c r="G194" s="78"/>
      <c r="H194" s="4"/>
      <c r="I194" s="33"/>
      <c r="J194" s="5"/>
      <c r="K194" s="3" t="str">
        <f t="shared" ca="1" si="29"/>
        <v/>
      </c>
      <c r="L194" s="30" t="s">
        <v>88</v>
      </c>
      <c r="M194" s="5"/>
      <c r="N194" s="3" t="str">
        <f t="shared" ca="1" si="30"/>
        <v/>
      </c>
      <c r="O194" s="4"/>
      <c r="P194" s="4"/>
      <c r="Q194" s="4" t="str">
        <f t="shared" si="31"/>
        <v/>
      </c>
      <c r="R194" s="4">
        <f t="shared" si="42"/>
        <v>1</v>
      </c>
      <c r="S194" s="4" t="str">
        <f t="shared" si="41"/>
        <v>0</v>
      </c>
      <c r="T194" s="4">
        <f t="shared" si="38"/>
        <v>1</v>
      </c>
      <c r="U194" s="29"/>
      <c r="V194" s="30" t="s">
        <v>50</v>
      </c>
      <c r="W194" s="30"/>
      <c r="X194" s="30"/>
      <c r="Y194" s="30"/>
      <c r="Z194" s="30"/>
      <c r="AA194" s="30"/>
      <c r="AB194" s="29"/>
      <c r="AC194" s="29"/>
      <c r="AD194" s="37" t="str">
        <f t="shared" si="35"/>
        <v/>
      </c>
      <c r="AE194" s="3" t="str">
        <f t="shared" ca="1" si="32"/>
        <v/>
      </c>
      <c r="AF194" s="38" t="str">
        <f t="shared" si="36"/>
        <v/>
      </c>
    </row>
    <row r="195" spans="1:33" s="306" customFormat="1" ht="32.15" customHeight="1" x14ac:dyDescent="0.35">
      <c r="A195" s="26">
        <f t="shared" si="33"/>
        <v>181</v>
      </c>
      <c r="B195" s="27" t="s">
        <v>593</v>
      </c>
      <c r="C195" s="26"/>
      <c r="D195" s="50" t="s">
        <v>615</v>
      </c>
      <c r="E195" s="24" t="s">
        <v>642</v>
      </c>
      <c r="F195" s="24" t="s">
        <v>43</v>
      </c>
      <c r="G195" s="78" t="s">
        <v>643</v>
      </c>
      <c r="H195" s="4" t="s">
        <v>85</v>
      </c>
      <c r="I195" s="25" t="s">
        <v>86</v>
      </c>
      <c r="J195" s="5" t="s">
        <v>87</v>
      </c>
      <c r="K195" s="3" t="str">
        <f t="shared" ca="1" si="29"/>
        <v xml:space="preserve">4 Tahun 8 bulan </v>
      </c>
      <c r="L195" s="30" t="s">
        <v>88</v>
      </c>
      <c r="M195" s="5">
        <v>44561</v>
      </c>
      <c r="N195" s="3" t="str">
        <f t="shared" ca="1" si="30"/>
        <v xml:space="preserve">4 Tahun 8 bulan </v>
      </c>
      <c r="O195" s="4"/>
      <c r="P195" s="4" t="s">
        <v>35</v>
      </c>
      <c r="Q195" s="4" t="str">
        <f t="shared" si="31"/>
        <v>Laki-Laki</v>
      </c>
      <c r="R195" s="4">
        <f t="shared" si="42"/>
        <v>1</v>
      </c>
      <c r="S195" s="4" t="str">
        <f t="shared" si="41"/>
        <v>1</v>
      </c>
      <c r="T195" s="4">
        <f t="shared" si="38"/>
        <v>0</v>
      </c>
      <c r="U195" s="29"/>
      <c r="V195" s="30" t="s">
        <v>50</v>
      </c>
      <c r="W195" s="30"/>
      <c r="X195" s="30"/>
      <c r="Y195" s="30"/>
      <c r="Z195" s="30"/>
      <c r="AA195" s="30"/>
      <c r="AB195" s="29"/>
      <c r="AC195" s="29"/>
      <c r="AD195" s="37">
        <f t="shared" si="35"/>
        <v>27953</v>
      </c>
      <c r="AE195" s="3" t="str">
        <f t="shared" ca="1" si="32"/>
        <v>50 Tahun 1 bulan 20 Hari</v>
      </c>
      <c r="AF195" s="38">
        <f t="shared" si="36"/>
        <v>49888</v>
      </c>
    </row>
    <row r="196" spans="1:33" s="306" customFormat="1" ht="32.15" customHeight="1" x14ac:dyDescent="0.35">
      <c r="A196" s="26">
        <f t="shared" si="33"/>
        <v>182</v>
      </c>
      <c r="B196" s="27" t="s">
        <v>593</v>
      </c>
      <c r="C196" s="256" t="s">
        <v>644</v>
      </c>
      <c r="D196" s="257"/>
      <c r="E196" s="24" t="s">
        <v>628</v>
      </c>
      <c r="F196" s="24" t="s">
        <v>43</v>
      </c>
      <c r="G196" s="3" t="s">
        <v>629</v>
      </c>
      <c r="H196" s="4" t="s">
        <v>1257</v>
      </c>
      <c r="I196" s="4" t="s">
        <v>2890</v>
      </c>
      <c r="J196" s="5">
        <v>46087</v>
      </c>
      <c r="K196" s="3" t="str">
        <f t="shared" ca="1" si="29"/>
        <v xml:space="preserve">0 Tahun 5 bulan </v>
      </c>
      <c r="L196" s="30" t="s">
        <v>346</v>
      </c>
      <c r="M196" s="5">
        <v>46087</v>
      </c>
      <c r="N196" s="3" t="str">
        <f t="shared" ca="1" si="30"/>
        <v xml:space="preserve">0 Tahun 5 bulan </v>
      </c>
      <c r="O196" s="4"/>
      <c r="P196" s="4" t="s">
        <v>35</v>
      </c>
      <c r="Q196" s="4" t="str">
        <f t="shared" si="31"/>
        <v>Laki-Laki</v>
      </c>
      <c r="R196" s="4">
        <f t="shared" si="42"/>
        <v>1</v>
      </c>
      <c r="S196" s="4" t="str">
        <f t="shared" si="41"/>
        <v>1</v>
      </c>
      <c r="T196" s="4">
        <f t="shared" si="38"/>
        <v>0</v>
      </c>
      <c r="U196" s="29"/>
      <c r="V196" s="30" t="s">
        <v>50</v>
      </c>
      <c r="W196" s="30"/>
      <c r="X196" s="30"/>
      <c r="Y196" s="30"/>
      <c r="Z196" s="30"/>
      <c r="AA196" s="30"/>
      <c r="AB196" s="29"/>
      <c r="AC196" s="29"/>
      <c r="AD196" s="37">
        <f t="shared" si="35"/>
        <v>25619</v>
      </c>
      <c r="AE196" s="3" t="str">
        <f t="shared" ca="1" si="32"/>
        <v>56 Tahun 6 bulan 12 Hari</v>
      </c>
      <c r="AF196" s="38">
        <f t="shared" si="36"/>
        <v>47543</v>
      </c>
    </row>
    <row r="197" spans="1:33" s="306" customFormat="1" ht="32.15" customHeight="1" x14ac:dyDescent="0.35">
      <c r="A197" s="26">
        <f t="shared" si="33"/>
        <v>183</v>
      </c>
      <c r="B197" s="27" t="s">
        <v>593</v>
      </c>
      <c r="C197" s="26"/>
      <c r="D197" s="50" t="s">
        <v>645</v>
      </c>
      <c r="E197" s="24" t="s">
        <v>646</v>
      </c>
      <c r="F197" s="24" t="s">
        <v>43</v>
      </c>
      <c r="G197" s="3" t="s">
        <v>647</v>
      </c>
      <c r="H197" s="4" t="s">
        <v>135</v>
      </c>
      <c r="I197" s="33" t="s">
        <v>184</v>
      </c>
      <c r="J197" s="5">
        <v>44561</v>
      </c>
      <c r="K197" s="3" t="str">
        <f t="shared" ca="1" si="29"/>
        <v xml:space="preserve">4 Tahun 8 bulan </v>
      </c>
      <c r="L197" s="30" t="s">
        <v>88</v>
      </c>
      <c r="M197" s="5">
        <v>44561</v>
      </c>
      <c r="N197" s="3" t="str">
        <f t="shared" ca="1" si="30"/>
        <v xml:space="preserve">4 Tahun 8 bulan </v>
      </c>
      <c r="O197" s="4"/>
      <c r="P197" s="4" t="s">
        <v>35</v>
      </c>
      <c r="Q197" s="4" t="str">
        <f t="shared" si="31"/>
        <v>Laki-Laki</v>
      </c>
      <c r="R197" s="4">
        <f t="shared" si="42"/>
        <v>1</v>
      </c>
      <c r="S197" s="4" t="str">
        <f t="shared" si="41"/>
        <v>1</v>
      </c>
      <c r="T197" s="4">
        <f t="shared" si="38"/>
        <v>0</v>
      </c>
      <c r="U197" s="29"/>
      <c r="V197" s="30" t="s">
        <v>50</v>
      </c>
      <c r="W197" s="30"/>
      <c r="X197" s="30"/>
      <c r="Y197" s="30"/>
      <c r="Z197" s="30"/>
      <c r="AA197" s="30"/>
      <c r="AB197" s="29"/>
      <c r="AC197" s="29"/>
      <c r="AD197" s="37">
        <f t="shared" si="35"/>
        <v>27162</v>
      </c>
      <c r="AE197" s="3" t="str">
        <f t="shared" ca="1" si="32"/>
        <v>52 Tahun 3 bulan 19 Hari</v>
      </c>
      <c r="AF197" s="38">
        <f t="shared" si="36"/>
        <v>49096</v>
      </c>
    </row>
    <row r="198" spans="1:33" s="306" customFormat="1" ht="32.15" customHeight="1" x14ac:dyDescent="0.35">
      <c r="A198" s="26">
        <f t="shared" si="33"/>
        <v>184</v>
      </c>
      <c r="B198" s="27" t="s">
        <v>593</v>
      </c>
      <c r="C198" s="26"/>
      <c r="D198" s="50" t="s">
        <v>645</v>
      </c>
      <c r="E198" s="79" t="s">
        <v>108</v>
      </c>
      <c r="F198" s="79"/>
      <c r="G198" s="76"/>
      <c r="H198" s="4"/>
      <c r="I198" s="33"/>
      <c r="J198" s="5"/>
      <c r="K198" s="3" t="str">
        <f t="shared" ca="1" si="29"/>
        <v/>
      </c>
      <c r="L198" s="30" t="s">
        <v>88</v>
      </c>
      <c r="M198" s="5"/>
      <c r="N198" s="3" t="str">
        <f t="shared" ca="1" si="30"/>
        <v/>
      </c>
      <c r="O198" s="29"/>
      <c r="P198" s="4"/>
      <c r="Q198" s="4" t="str">
        <f t="shared" si="31"/>
        <v/>
      </c>
      <c r="R198" s="4">
        <f t="shared" si="42"/>
        <v>1</v>
      </c>
      <c r="S198" s="4" t="str">
        <f t="shared" si="41"/>
        <v>0</v>
      </c>
      <c r="T198" s="4">
        <f t="shared" si="38"/>
        <v>1</v>
      </c>
      <c r="U198" s="29"/>
      <c r="V198" s="30"/>
      <c r="W198" s="30"/>
      <c r="X198" s="30"/>
      <c r="Y198" s="30"/>
      <c r="Z198" s="30"/>
      <c r="AA198" s="30"/>
      <c r="AB198" s="29"/>
      <c r="AC198" s="29"/>
      <c r="AD198" s="37" t="str">
        <f t="shared" si="35"/>
        <v/>
      </c>
      <c r="AE198" s="3" t="str">
        <f t="shared" ca="1" si="32"/>
        <v/>
      </c>
      <c r="AF198" s="38" t="str">
        <f t="shared" si="36"/>
        <v/>
      </c>
    </row>
    <row r="199" spans="1:33" s="306" customFormat="1" ht="32.15" customHeight="1" x14ac:dyDescent="0.35">
      <c r="A199" s="26">
        <f t="shared" si="33"/>
        <v>185</v>
      </c>
      <c r="B199" s="27" t="s">
        <v>593</v>
      </c>
      <c r="C199" s="26"/>
      <c r="D199" s="50" t="s">
        <v>615</v>
      </c>
      <c r="E199" s="45" t="s">
        <v>648</v>
      </c>
      <c r="F199" s="24" t="s">
        <v>43</v>
      </c>
      <c r="G199" s="44" t="s">
        <v>649</v>
      </c>
      <c r="H199" s="56" t="s">
        <v>85</v>
      </c>
      <c r="I199" s="36" t="s">
        <v>599</v>
      </c>
      <c r="J199" s="5">
        <v>44561</v>
      </c>
      <c r="K199" s="3" t="str">
        <f t="shared" ref="K199:K262" ca="1" si="43">IF(J199="","",CONCATENATE(DATEDIF(J199,NOW(),"Y")," Tahun ",DATEDIF(J199,NOW(),"YM")," bulan "))</f>
        <v xml:space="preserve">4 Tahun 8 bulan </v>
      </c>
      <c r="L199" s="30" t="s">
        <v>88</v>
      </c>
      <c r="M199" s="5">
        <v>44561</v>
      </c>
      <c r="N199" s="3" t="str">
        <f t="shared" ref="N199:N262" ca="1" si="44">IF(M199="","",CONCATENATE(DATEDIF(M199,NOW(),"Y")," Tahun ",DATEDIF(M199,NOW(),"YM")," bulan "))</f>
        <v xml:space="preserve">4 Tahun 8 bulan </v>
      </c>
      <c r="O199" s="60"/>
      <c r="P199" s="4" t="s">
        <v>35</v>
      </c>
      <c r="Q199" s="4" t="str">
        <f t="shared" ref="Q199:Q262" si="45">CONCATENATE(IF(MID(G199,17,1)="1","Laki-Laki",IF(MID(G199,17,1)="2","Perempuan",)))</f>
        <v>Laki-Laki</v>
      </c>
      <c r="R199" s="4">
        <f t="shared" si="42"/>
        <v>1</v>
      </c>
      <c r="S199" s="4" t="str">
        <f t="shared" si="41"/>
        <v>1</v>
      </c>
      <c r="T199" s="4">
        <f t="shared" si="38"/>
        <v>0</v>
      </c>
      <c r="U199" s="29"/>
      <c r="V199" s="30" t="s">
        <v>50</v>
      </c>
      <c r="W199" s="30"/>
      <c r="X199" s="30"/>
      <c r="Y199" s="30"/>
      <c r="Z199" s="30"/>
      <c r="AA199" s="30"/>
      <c r="AB199" s="29"/>
      <c r="AC199" s="29"/>
      <c r="AD199" s="37">
        <f t="shared" si="35"/>
        <v>27623</v>
      </c>
      <c r="AE199" s="3" t="str">
        <f t="shared" ref="AE199:AE262" ca="1" si="46">IF(TRIM(AD199)="", "", CONCATENATE(DATEDIF(AD199,NOW(),"Y")," Tahun ",DATEDIF(AD199,NOW(),"YM")," bulan ",DATEDIF(AD199,NOW(),"MD")," Hari"))</f>
        <v>51 Tahun 0 bulan 15 Hari</v>
      </c>
      <c r="AF199" s="38">
        <f t="shared" si="36"/>
        <v>49553</v>
      </c>
    </row>
    <row r="200" spans="1:33" s="306" customFormat="1" ht="32.15" customHeight="1" x14ac:dyDescent="0.35">
      <c r="A200" s="26">
        <f t="shared" ref="A200:A207" si="47">A199+1</f>
        <v>186</v>
      </c>
      <c r="B200" s="27" t="s">
        <v>593</v>
      </c>
      <c r="C200" s="256" t="s">
        <v>650</v>
      </c>
      <c r="D200" s="257"/>
      <c r="E200" s="219" t="s">
        <v>108</v>
      </c>
      <c r="F200" s="24"/>
      <c r="G200" s="40"/>
      <c r="H200" s="4"/>
      <c r="I200" s="36"/>
      <c r="J200" s="5"/>
      <c r="K200" s="3" t="str">
        <f t="shared" ca="1" si="43"/>
        <v/>
      </c>
      <c r="L200" s="30" t="s">
        <v>346</v>
      </c>
      <c r="M200" s="5"/>
      <c r="N200" s="3" t="str">
        <f t="shared" ca="1" si="44"/>
        <v/>
      </c>
      <c r="O200" s="4"/>
      <c r="P200" s="4"/>
      <c r="Q200" s="4" t="str">
        <f t="shared" si="45"/>
        <v/>
      </c>
      <c r="R200" s="4">
        <f t="shared" si="42"/>
        <v>1</v>
      </c>
      <c r="S200" s="4" t="str">
        <f t="shared" si="41"/>
        <v>0</v>
      </c>
      <c r="T200" s="4">
        <f t="shared" si="38"/>
        <v>1</v>
      </c>
      <c r="U200" s="29"/>
      <c r="V200" s="30" t="s">
        <v>50</v>
      </c>
      <c r="W200" s="30"/>
      <c r="X200" s="30"/>
      <c r="Y200" s="30"/>
      <c r="Z200" s="30"/>
      <c r="AA200" s="30"/>
      <c r="AB200" s="29"/>
      <c r="AC200" s="29"/>
      <c r="AD200" s="37" t="str">
        <f t="shared" ref="AD200:AD263" si="48">IF(TRIM(G200)="", "", DATE(LEFT(G200,4),MID(G200,5,2),MID(G200,7,2)))</f>
        <v/>
      </c>
      <c r="AE200" s="3" t="str">
        <f t="shared" ca="1" si="46"/>
        <v/>
      </c>
      <c r="AF200" s="38" t="str">
        <f t="shared" ref="AF200:AF263" si="49">IF(TRIM(AD200)="","",DATE(YEAR(AD200)+60,MONTH(AD200)+1,1))</f>
        <v/>
      </c>
      <c r="AG200" s="307" t="s">
        <v>3142</v>
      </c>
    </row>
    <row r="201" spans="1:33" ht="32.15" customHeight="1" x14ac:dyDescent="0.35">
      <c r="A201" s="26">
        <f t="shared" si="47"/>
        <v>187</v>
      </c>
      <c r="B201" s="27" t="s">
        <v>593</v>
      </c>
      <c r="C201" s="26"/>
      <c r="D201" s="50" t="s">
        <v>636</v>
      </c>
      <c r="E201" s="45" t="s">
        <v>653</v>
      </c>
      <c r="F201" s="24" t="s">
        <v>43</v>
      </c>
      <c r="G201" s="44" t="s">
        <v>654</v>
      </c>
      <c r="H201" s="4" t="s">
        <v>655</v>
      </c>
      <c r="I201" s="4" t="s">
        <v>656</v>
      </c>
      <c r="J201" s="5">
        <v>44561</v>
      </c>
      <c r="K201" s="3" t="str">
        <f t="shared" ca="1" si="43"/>
        <v xml:space="preserve">4 Tahun 8 bulan </v>
      </c>
      <c r="L201" s="30" t="s">
        <v>88</v>
      </c>
      <c r="M201" s="5">
        <v>44561</v>
      </c>
      <c r="N201" s="3" t="str">
        <f t="shared" ca="1" si="44"/>
        <v xml:space="preserve">4 Tahun 8 bulan </v>
      </c>
      <c r="O201" s="4"/>
      <c r="P201" s="4" t="s">
        <v>35</v>
      </c>
      <c r="Q201" s="4" t="str">
        <f t="shared" si="45"/>
        <v>Perempuan</v>
      </c>
      <c r="R201" s="4">
        <f t="shared" si="42"/>
        <v>1</v>
      </c>
      <c r="S201" s="4" t="str">
        <f t="shared" si="41"/>
        <v>1</v>
      </c>
      <c r="T201" s="4">
        <f t="shared" si="38"/>
        <v>0</v>
      </c>
      <c r="U201" s="29"/>
      <c r="V201" s="30" t="s">
        <v>50</v>
      </c>
      <c r="W201" s="30"/>
      <c r="X201" s="30"/>
      <c r="Y201" s="30"/>
      <c r="Z201" s="30"/>
      <c r="AA201" s="30"/>
      <c r="AB201" s="29"/>
      <c r="AC201" s="29"/>
      <c r="AD201" s="37">
        <f t="shared" si="48"/>
        <v>26857</v>
      </c>
      <c r="AE201" s="3" t="str">
        <f t="shared" ca="1" si="46"/>
        <v>53 Tahun 1 bulan 20 Hari</v>
      </c>
      <c r="AF201" s="38">
        <f t="shared" si="49"/>
        <v>48792</v>
      </c>
      <c r="AG201" s="7"/>
    </row>
    <row r="202" spans="1:33" ht="32.15" customHeight="1" x14ac:dyDescent="0.35">
      <c r="A202" s="26">
        <f t="shared" si="47"/>
        <v>188</v>
      </c>
      <c r="B202" s="27" t="s">
        <v>593</v>
      </c>
      <c r="C202" s="26"/>
      <c r="D202" s="50" t="s">
        <v>657</v>
      </c>
      <c r="E202" s="58" t="s">
        <v>658</v>
      </c>
      <c r="F202" s="24" t="s">
        <v>43</v>
      </c>
      <c r="G202" s="40" t="s">
        <v>659</v>
      </c>
      <c r="H202" s="56" t="s">
        <v>375</v>
      </c>
      <c r="I202" s="4" t="s">
        <v>86</v>
      </c>
      <c r="J202" s="5">
        <v>44561</v>
      </c>
      <c r="K202" s="3" t="str">
        <f t="shared" ca="1" si="43"/>
        <v xml:space="preserve">4 Tahun 8 bulan </v>
      </c>
      <c r="L202" s="30" t="s">
        <v>88</v>
      </c>
      <c r="M202" s="5">
        <v>44561</v>
      </c>
      <c r="N202" s="3" t="str">
        <f t="shared" ca="1" si="44"/>
        <v xml:space="preserve">4 Tahun 8 bulan </v>
      </c>
      <c r="O202" s="50"/>
      <c r="P202" s="4" t="s">
        <v>35</v>
      </c>
      <c r="Q202" s="4" t="str">
        <f t="shared" si="45"/>
        <v>Laki-Laki</v>
      </c>
      <c r="R202" s="4">
        <f t="shared" si="42"/>
        <v>1</v>
      </c>
      <c r="S202" s="4" t="str">
        <f t="shared" si="41"/>
        <v>1</v>
      </c>
      <c r="T202" s="4">
        <f t="shared" si="38"/>
        <v>0</v>
      </c>
      <c r="U202" s="29"/>
      <c r="V202" s="30" t="s">
        <v>50</v>
      </c>
      <c r="W202" s="30"/>
      <c r="X202" s="30"/>
      <c r="Y202" s="30"/>
      <c r="Z202" s="30"/>
      <c r="AA202" s="30"/>
      <c r="AB202" s="29"/>
      <c r="AC202" s="29"/>
      <c r="AD202" s="37">
        <f t="shared" si="48"/>
        <v>29545</v>
      </c>
      <c r="AE202" s="3" t="str">
        <f t="shared" ca="1" si="46"/>
        <v>45 Tahun 9 bulan 12 Hari</v>
      </c>
      <c r="AF202" s="38">
        <f t="shared" si="49"/>
        <v>51471</v>
      </c>
      <c r="AG202" s="7"/>
    </row>
    <row r="203" spans="1:33" ht="32.15" customHeight="1" x14ac:dyDescent="0.35">
      <c r="A203" s="26">
        <f t="shared" si="47"/>
        <v>189</v>
      </c>
      <c r="B203" s="27" t="s">
        <v>593</v>
      </c>
      <c r="C203" s="26"/>
      <c r="D203" s="50" t="s">
        <v>615</v>
      </c>
      <c r="E203" s="45" t="s">
        <v>660</v>
      </c>
      <c r="F203" s="24" t="s">
        <v>43</v>
      </c>
      <c r="G203" s="44" t="s">
        <v>661</v>
      </c>
      <c r="H203" s="56" t="s">
        <v>662</v>
      </c>
      <c r="I203" s="36" t="s">
        <v>118</v>
      </c>
      <c r="J203" s="5">
        <v>44561</v>
      </c>
      <c r="K203" s="3" t="str">
        <f t="shared" ca="1" si="43"/>
        <v xml:space="preserve">4 Tahun 8 bulan </v>
      </c>
      <c r="L203" s="30" t="s">
        <v>88</v>
      </c>
      <c r="M203" s="5">
        <v>44561</v>
      </c>
      <c r="N203" s="3" t="str">
        <f t="shared" ca="1" si="44"/>
        <v xml:space="preserve">4 Tahun 8 bulan </v>
      </c>
      <c r="O203" s="60"/>
      <c r="P203" s="4" t="s">
        <v>35</v>
      </c>
      <c r="Q203" s="4" t="str">
        <f t="shared" si="45"/>
        <v>Laki-Laki</v>
      </c>
      <c r="R203" s="4">
        <f t="shared" si="42"/>
        <v>1</v>
      </c>
      <c r="S203" s="4" t="str">
        <f t="shared" si="41"/>
        <v>1</v>
      </c>
      <c r="T203" s="4">
        <f t="shared" si="38"/>
        <v>0</v>
      </c>
      <c r="U203" s="29"/>
      <c r="V203" s="30" t="s">
        <v>50</v>
      </c>
      <c r="W203" s="30"/>
      <c r="X203" s="30"/>
      <c r="Y203" s="30"/>
      <c r="Z203" s="30"/>
      <c r="AA203" s="30"/>
      <c r="AB203" s="29"/>
      <c r="AC203" s="29"/>
      <c r="AD203" s="37">
        <f t="shared" si="48"/>
        <v>30179</v>
      </c>
      <c r="AE203" s="3" t="str">
        <f t="shared" ca="1" si="46"/>
        <v>44 Tahun 0 bulan 16 Hari</v>
      </c>
      <c r="AF203" s="38">
        <f t="shared" si="49"/>
        <v>52110</v>
      </c>
      <c r="AG203" s="7"/>
    </row>
    <row r="204" spans="1:33" ht="32.15" customHeight="1" x14ac:dyDescent="0.35">
      <c r="A204" s="26">
        <f t="shared" si="47"/>
        <v>190</v>
      </c>
      <c r="B204" s="27" t="s">
        <v>593</v>
      </c>
      <c r="C204" s="256" t="s">
        <v>663</v>
      </c>
      <c r="D204" s="257"/>
      <c r="E204" s="24" t="s">
        <v>664</v>
      </c>
      <c r="F204" s="24" t="s">
        <v>43</v>
      </c>
      <c r="G204" s="3" t="s">
        <v>665</v>
      </c>
      <c r="H204" s="4" t="s">
        <v>148</v>
      </c>
      <c r="I204" s="33" t="s">
        <v>67</v>
      </c>
      <c r="J204" s="5" t="s">
        <v>127</v>
      </c>
      <c r="K204" s="3" t="str">
        <f t="shared" ca="1" si="43"/>
        <v xml:space="preserve">5 Tahun 6 bulan </v>
      </c>
      <c r="L204" s="30" t="s">
        <v>346</v>
      </c>
      <c r="M204" s="5" t="s">
        <v>127</v>
      </c>
      <c r="N204" s="3" t="str">
        <f t="shared" ca="1" si="44"/>
        <v xml:space="preserve">5 Tahun 6 bulan </v>
      </c>
      <c r="O204" s="4"/>
      <c r="P204" s="4" t="s">
        <v>35</v>
      </c>
      <c r="Q204" s="4" t="str">
        <f t="shared" si="45"/>
        <v>Laki-Laki</v>
      </c>
      <c r="R204" s="4">
        <f t="shared" si="42"/>
        <v>1</v>
      </c>
      <c r="S204" s="4" t="str">
        <f t="shared" si="41"/>
        <v>1</v>
      </c>
      <c r="T204" s="4">
        <f t="shared" si="38"/>
        <v>0</v>
      </c>
      <c r="U204" s="29"/>
      <c r="V204" s="30" t="s">
        <v>50</v>
      </c>
      <c r="W204" s="30"/>
      <c r="X204" s="30"/>
      <c r="Y204" s="30"/>
      <c r="Z204" s="30"/>
      <c r="AA204" s="30"/>
      <c r="AB204" s="29"/>
      <c r="AC204" s="29"/>
      <c r="AD204" s="37">
        <f t="shared" si="48"/>
        <v>28605</v>
      </c>
      <c r="AE204" s="3" t="str">
        <f t="shared" ca="1" si="46"/>
        <v>48 Tahun 4 bulan 7 Hari</v>
      </c>
      <c r="AF204" s="38">
        <f t="shared" si="49"/>
        <v>50526</v>
      </c>
      <c r="AG204" s="7"/>
    </row>
    <row r="205" spans="1:33" ht="32.15" customHeight="1" x14ac:dyDescent="0.35">
      <c r="A205" s="26">
        <f t="shared" si="47"/>
        <v>191</v>
      </c>
      <c r="B205" s="27" t="s">
        <v>593</v>
      </c>
      <c r="C205" s="26"/>
      <c r="D205" s="50" t="s">
        <v>666</v>
      </c>
      <c r="E205" s="24" t="s">
        <v>667</v>
      </c>
      <c r="F205" s="24" t="s">
        <v>43</v>
      </c>
      <c r="G205" s="3" t="s">
        <v>668</v>
      </c>
      <c r="H205" s="4" t="s">
        <v>410</v>
      </c>
      <c r="I205" s="33" t="s">
        <v>67</v>
      </c>
      <c r="J205" s="5">
        <v>44561</v>
      </c>
      <c r="K205" s="3" t="str">
        <f t="shared" ca="1" si="43"/>
        <v xml:space="preserve">4 Tahun 8 bulan </v>
      </c>
      <c r="L205" s="30" t="s">
        <v>88</v>
      </c>
      <c r="M205" s="5">
        <v>44561</v>
      </c>
      <c r="N205" s="3" t="str">
        <f t="shared" ca="1" si="44"/>
        <v xml:space="preserve">4 Tahun 8 bulan </v>
      </c>
      <c r="O205" s="4"/>
      <c r="P205" s="4" t="s">
        <v>35</v>
      </c>
      <c r="Q205" s="4" t="str">
        <f t="shared" si="45"/>
        <v>Perempuan</v>
      </c>
      <c r="R205" s="4">
        <f t="shared" si="42"/>
        <v>1</v>
      </c>
      <c r="S205" s="4" t="str">
        <f t="shared" si="41"/>
        <v>1</v>
      </c>
      <c r="T205" s="4">
        <f t="shared" si="38"/>
        <v>0</v>
      </c>
      <c r="U205" s="29"/>
      <c r="V205" s="30"/>
      <c r="W205" s="30"/>
      <c r="X205" s="30"/>
      <c r="Y205" s="30"/>
      <c r="Z205" s="30"/>
      <c r="AA205" s="30"/>
      <c r="AB205" s="29"/>
      <c r="AC205" s="29"/>
      <c r="AD205" s="37">
        <f t="shared" si="48"/>
        <v>27917</v>
      </c>
      <c r="AE205" s="3" t="str">
        <f t="shared" ca="1" si="46"/>
        <v>50 Tahun 2 bulan 26 Hari</v>
      </c>
      <c r="AF205" s="38">
        <f t="shared" si="49"/>
        <v>49857</v>
      </c>
      <c r="AG205" s="7"/>
    </row>
    <row r="206" spans="1:33" ht="32.15" customHeight="1" x14ac:dyDescent="0.35">
      <c r="A206" s="26">
        <f t="shared" si="47"/>
        <v>192</v>
      </c>
      <c r="B206" s="27" t="s">
        <v>593</v>
      </c>
      <c r="C206" s="26"/>
      <c r="D206" s="50" t="s">
        <v>615</v>
      </c>
      <c r="E206" s="24" t="s">
        <v>669</v>
      </c>
      <c r="F206" s="24" t="s">
        <v>43</v>
      </c>
      <c r="G206" s="3" t="s">
        <v>670</v>
      </c>
      <c r="H206" s="4" t="s">
        <v>574</v>
      </c>
      <c r="I206" s="4" t="s">
        <v>86</v>
      </c>
      <c r="J206" s="5">
        <v>44561</v>
      </c>
      <c r="K206" s="3" t="str">
        <f t="shared" ca="1" si="43"/>
        <v xml:space="preserve">4 Tahun 8 bulan </v>
      </c>
      <c r="L206" s="30" t="s">
        <v>88</v>
      </c>
      <c r="M206" s="5">
        <v>44561</v>
      </c>
      <c r="N206" s="3" t="str">
        <f t="shared" ca="1" si="44"/>
        <v xml:space="preserve">4 Tahun 8 bulan </v>
      </c>
      <c r="O206" s="4"/>
      <c r="P206" s="4" t="s">
        <v>35</v>
      </c>
      <c r="Q206" s="4" t="str">
        <f t="shared" si="45"/>
        <v>Perempuan</v>
      </c>
      <c r="R206" s="4">
        <f t="shared" si="42"/>
        <v>1</v>
      </c>
      <c r="S206" s="4" t="str">
        <f t="shared" si="41"/>
        <v>1</v>
      </c>
      <c r="T206" s="4">
        <f t="shared" si="38"/>
        <v>0</v>
      </c>
      <c r="U206" s="29"/>
      <c r="V206" s="30"/>
      <c r="W206" s="30"/>
      <c r="X206" s="30"/>
      <c r="Y206" s="30"/>
      <c r="Z206" s="30"/>
      <c r="AA206" s="30"/>
      <c r="AB206" s="29"/>
      <c r="AC206" s="29"/>
      <c r="AD206" s="37">
        <f t="shared" si="48"/>
        <v>29314</v>
      </c>
      <c r="AE206" s="3" t="str">
        <f t="shared" ca="1" si="46"/>
        <v>46 Tahun 4 bulan 29 Hari</v>
      </c>
      <c r="AF206" s="38">
        <f t="shared" si="49"/>
        <v>51257</v>
      </c>
      <c r="AG206" s="7"/>
    </row>
    <row r="207" spans="1:33" ht="32.15" customHeight="1" x14ac:dyDescent="0.35">
      <c r="A207" s="26">
        <f t="shared" si="47"/>
        <v>193</v>
      </c>
      <c r="B207" s="27" t="s">
        <v>593</v>
      </c>
      <c r="C207" s="26"/>
      <c r="D207" s="50" t="s">
        <v>657</v>
      </c>
      <c r="E207" s="24" t="s">
        <v>671</v>
      </c>
      <c r="F207" s="24" t="s">
        <v>43</v>
      </c>
      <c r="G207" s="4" t="s">
        <v>672</v>
      </c>
      <c r="H207" s="4" t="s">
        <v>159</v>
      </c>
      <c r="I207" s="33" t="s">
        <v>107</v>
      </c>
      <c r="J207" s="5">
        <v>44561</v>
      </c>
      <c r="K207" s="3" t="str">
        <f t="shared" ca="1" si="43"/>
        <v xml:space="preserve">4 Tahun 8 bulan </v>
      </c>
      <c r="L207" s="30" t="s">
        <v>88</v>
      </c>
      <c r="M207" s="5">
        <v>44561</v>
      </c>
      <c r="N207" s="3" t="str">
        <f t="shared" ca="1" si="44"/>
        <v xml:space="preserve">4 Tahun 8 bulan </v>
      </c>
      <c r="O207" s="60"/>
      <c r="P207" s="4" t="s">
        <v>35</v>
      </c>
      <c r="Q207" s="4" t="str">
        <f t="shared" si="45"/>
        <v>Laki-Laki</v>
      </c>
      <c r="R207" s="4">
        <f t="shared" si="42"/>
        <v>1</v>
      </c>
      <c r="S207" s="4" t="str">
        <f t="shared" si="41"/>
        <v>1</v>
      </c>
      <c r="T207" s="4">
        <f t="shared" si="38"/>
        <v>0</v>
      </c>
      <c r="U207" s="29"/>
      <c r="V207" s="30" t="s">
        <v>50</v>
      </c>
      <c r="W207" s="30"/>
      <c r="X207" s="30"/>
      <c r="Y207" s="30"/>
      <c r="Z207" s="30"/>
      <c r="AA207" s="30"/>
      <c r="AB207" s="29"/>
      <c r="AC207" s="29"/>
      <c r="AD207" s="37">
        <f t="shared" si="48"/>
        <v>30408</v>
      </c>
      <c r="AE207" s="3" t="str">
        <f t="shared" ca="1" si="46"/>
        <v>43 Tahun 4 bulan 30 Hari</v>
      </c>
      <c r="AF207" s="38">
        <f t="shared" si="49"/>
        <v>52352</v>
      </c>
      <c r="AG207" s="7"/>
    </row>
    <row r="208" spans="1:33" s="6" customFormat="1" ht="32.15" customHeight="1" x14ac:dyDescent="0.35">
      <c r="A208" s="4"/>
      <c r="B208" s="68" t="s">
        <v>673</v>
      </c>
      <c r="C208" s="269" t="s">
        <v>674</v>
      </c>
      <c r="D208" s="270"/>
      <c r="E208" s="271" t="str">
        <f ca="1">IF(J208="","",CONCATENATE(DATEDIF(J208,NOW(),"Y")," Tahun ",DATEDIF(J208,NOW(),"YM")," bulan "))</f>
        <v/>
      </c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72"/>
      <c r="AE208" s="272"/>
      <c r="AF208" s="273"/>
    </row>
    <row r="209" spans="1:33" ht="33.75" customHeight="1" x14ac:dyDescent="0.35">
      <c r="A209" s="26">
        <f>A207+1</f>
        <v>194</v>
      </c>
      <c r="B209" s="80" t="s">
        <v>673</v>
      </c>
      <c r="C209" s="278" t="s">
        <v>675</v>
      </c>
      <c r="D209" s="279"/>
      <c r="E209" s="45" t="s">
        <v>676</v>
      </c>
      <c r="F209" s="24" t="s">
        <v>43</v>
      </c>
      <c r="G209" s="44" t="s">
        <v>677</v>
      </c>
      <c r="H209" s="4" t="s">
        <v>678</v>
      </c>
      <c r="I209" s="4" t="s">
        <v>679</v>
      </c>
      <c r="J209" s="81" t="s">
        <v>68</v>
      </c>
      <c r="K209" s="3" t="str">
        <f t="shared" ca="1" si="43"/>
        <v xml:space="preserve">2 Tahun 3 bulan </v>
      </c>
      <c r="L209" s="30" t="s">
        <v>56</v>
      </c>
      <c r="M209" s="81" t="s">
        <v>680</v>
      </c>
      <c r="N209" s="3" t="str">
        <f t="shared" ca="1" si="44"/>
        <v xml:space="preserve">4 Tahun 9 bulan </v>
      </c>
      <c r="O209" s="35"/>
      <c r="P209" s="4"/>
      <c r="Q209" s="4" t="str">
        <f t="shared" si="45"/>
        <v>Laki-Laki</v>
      </c>
      <c r="R209" s="4">
        <f>R207</f>
        <v>1</v>
      </c>
      <c r="S209" s="4" t="str">
        <f t="shared" ref="S209:S219" si="50">IF(E209="LOWONG","0","1")</f>
        <v>1</v>
      </c>
      <c r="T209" s="4">
        <f t="shared" si="38"/>
        <v>0</v>
      </c>
      <c r="U209" s="29"/>
      <c r="V209" s="30"/>
      <c r="W209" s="30"/>
      <c r="X209" s="30"/>
      <c r="Y209" s="30"/>
      <c r="Z209" s="30"/>
      <c r="AA209" s="30"/>
      <c r="AB209" s="29"/>
      <c r="AC209" s="29"/>
      <c r="AD209" s="37">
        <f t="shared" si="48"/>
        <v>24781</v>
      </c>
      <c r="AE209" s="3" t="str">
        <f t="shared" ca="1" si="46"/>
        <v>58 Tahun 9 bulan 27 Hari</v>
      </c>
      <c r="AF209" s="38">
        <f t="shared" si="49"/>
        <v>46722</v>
      </c>
      <c r="AG209" s="7"/>
    </row>
    <row r="210" spans="1:33" ht="32.15" customHeight="1" x14ac:dyDescent="0.35">
      <c r="A210" s="26">
        <f t="shared" ref="A210:A273" si="51">A209+1</f>
        <v>195</v>
      </c>
      <c r="B210" s="80" t="s">
        <v>673</v>
      </c>
      <c r="C210" s="256" t="s">
        <v>681</v>
      </c>
      <c r="D210" s="257"/>
      <c r="E210" s="24" t="s">
        <v>682</v>
      </c>
      <c r="F210" s="24" t="s">
        <v>43</v>
      </c>
      <c r="G210" s="3" t="s">
        <v>683</v>
      </c>
      <c r="H210" s="4" t="s">
        <v>154</v>
      </c>
      <c r="I210" s="41" t="s">
        <v>46</v>
      </c>
      <c r="J210" s="5" t="s">
        <v>220</v>
      </c>
      <c r="K210" s="3" t="str">
        <f t="shared" ca="1" si="43"/>
        <v xml:space="preserve">2 Tahun 11 bulan </v>
      </c>
      <c r="L210" s="30" t="s">
        <v>79</v>
      </c>
      <c r="M210" s="5" t="s">
        <v>220</v>
      </c>
      <c r="N210" s="3" t="str">
        <f t="shared" ca="1" si="44"/>
        <v xml:space="preserve">2 Tahun 11 bulan </v>
      </c>
      <c r="O210" s="4"/>
      <c r="P210" s="4" t="s">
        <v>35</v>
      </c>
      <c r="Q210" s="4" t="str">
        <f t="shared" si="45"/>
        <v>Perempuan</v>
      </c>
      <c r="R210" s="4">
        <f t="shared" si="42"/>
        <v>1</v>
      </c>
      <c r="S210" s="4" t="str">
        <f t="shared" si="50"/>
        <v>1</v>
      </c>
      <c r="T210" s="4">
        <f t="shared" si="38"/>
        <v>0</v>
      </c>
      <c r="U210" s="29"/>
      <c r="V210" s="30" t="s">
        <v>50</v>
      </c>
      <c r="W210" s="30"/>
      <c r="X210" s="30"/>
      <c r="Y210" s="30"/>
      <c r="Z210" s="30"/>
      <c r="AA210" s="30"/>
      <c r="AB210" s="29"/>
      <c r="AC210" s="29"/>
      <c r="AD210" s="37">
        <f t="shared" si="48"/>
        <v>27602</v>
      </c>
      <c r="AE210" s="3" t="str">
        <f t="shared" ca="1" si="46"/>
        <v>51 Tahun 1 bulan 5 Hari</v>
      </c>
      <c r="AF210" s="38">
        <f t="shared" si="49"/>
        <v>49522</v>
      </c>
      <c r="AG210" s="7"/>
    </row>
    <row r="211" spans="1:33" ht="32.15" customHeight="1" x14ac:dyDescent="0.35">
      <c r="A211" s="26">
        <f t="shared" si="51"/>
        <v>196</v>
      </c>
      <c r="B211" s="80" t="s">
        <v>673</v>
      </c>
      <c r="C211" s="26"/>
      <c r="D211" s="50" t="s">
        <v>684</v>
      </c>
      <c r="E211" s="51" t="s">
        <v>685</v>
      </c>
      <c r="F211" s="24" t="s">
        <v>43</v>
      </c>
      <c r="G211" s="59" t="s">
        <v>686</v>
      </c>
      <c r="H211" s="4" t="s">
        <v>687</v>
      </c>
      <c r="I211" s="33" t="s">
        <v>107</v>
      </c>
      <c r="J211" s="47" t="s">
        <v>199</v>
      </c>
      <c r="K211" s="3" t="str">
        <f t="shared" ca="1" si="43"/>
        <v xml:space="preserve">3 Tahun 11 bulan </v>
      </c>
      <c r="L211" s="30" t="s">
        <v>200</v>
      </c>
      <c r="M211" s="47" t="s">
        <v>199</v>
      </c>
      <c r="N211" s="3" t="str">
        <f t="shared" ca="1" si="44"/>
        <v xml:space="preserve">3 Tahun 11 bulan </v>
      </c>
      <c r="O211" s="4"/>
      <c r="P211" s="4" t="s">
        <v>35</v>
      </c>
      <c r="Q211" s="4" t="str">
        <f t="shared" si="45"/>
        <v>Laki-Laki</v>
      </c>
      <c r="R211" s="4">
        <f t="shared" si="42"/>
        <v>1</v>
      </c>
      <c r="S211" s="4" t="str">
        <f t="shared" si="50"/>
        <v>1</v>
      </c>
      <c r="T211" s="4">
        <f t="shared" si="38"/>
        <v>0</v>
      </c>
      <c r="U211" s="29"/>
      <c r="V211" s="30" t="s">
        <v>50</v>
      </c>
      <c r="W211" s="30"/>
      <c r="X211" s="30"/>
      <c r="Y211" s="30"/>
      <c r="Z211" s="30"/>
      <c r="AA211" s="30"/>
      <c r="AB211" s="29"/>
      <c r="AC211" s="29"/>
      <c r="AD211" s="37">
        <f t="shared" si="48"/>
        <v>28647</v>
      </c>
      <c r="AE211" s="3" t="str">
        <f t="shared" ca="1" si="46"/>
        <v>48 Tahun 2 bulan 26 Hari</v>
      </c>
      <c r="AF211" s="38">
        <f t="shared" si="49"/>
        <v>50587</v>
      </c>
      <c r="AG211" s="7"/>
    </row>
    <row r="212" spans="1:33" ht="32.15" customHeight="1" x14ac:dyDescent="0.35">
      <c r="A212" s="26">
        <f t="shared" si="51"/>
        <v>197</v>
      </c>
      <c r="B212" s="80" t="s">
        <v>673</v>
      </c>
      <c r="C212" s="26"/>
      <c r="D212" s="50" t="s">
        <v>688</v>
      </c>
      <c r="E212" s="24" t="s">
        <v>689</v>
      </c>
      <c r="F212" s="24" t="s">
        <v>43</v>
      </c>
      <c r="G212" s="3" t="s">
        <v>690</v>
      </c>
      <c r="H212" s="4" t="s">
        <v>691</v>
      </c>
      <c r="I212" s="33" t="s">
        <v>86</v>
      </c>
      <c r="J212" s="5" t="s">
        <v>87</v>
      </c>
      <c r="K212" s="3" t="str">
        <f t="shared" ca="1" si="43"/>
        <v xml:space="preserve">4 Tahun 8 bulan </v>
      </c>
      <c r="L212" s="30" t="s">
        <v>88</v>
      </c>
      <c r="M212" s="5">
        <v>44561</v>
      </c>
      <c r="N212" s="3" t="str">
        <f t="shared" ca="1" si="44"/>
        <v xml:space="preserve">4 Tahun 8 bulan </v>
      </c>
      <c r="O212" s="4"/>
      <c r="P212" s="4" t="s">
        <v>35</v>
      </c>
      <c r="Q212" s="4" t="str">
        <f t="shared" si="45"/>
        <v>Perempuan</v>
      </c>
      <c r="R212" s="4">
        <f t="shared" si="42"/>
        <v>1</v>
      </c>
      <c r="S212" s="4" t="str">
        <f t="shared" si="50"/>
        <v>1</v>
      </c>
      <c r="T212" s="4">
        <f t="shared" si="38"/>
        <v>0</v>
      </c>
      <c r="U212" s="29"/>
      <c r="V212" s="30"/>
      <c r="W212" s="30"/>
      <c r="X212" s="30"/>
      <c r="Y212" s="30"/>
      <c r="Z212" s="30"/>
      <c r="AA212" s="30"/>
      <c r="AB212" s="29"/>
      <c r="AC212" s="29"/>
      <c r="AD212" s="37">
        <f t="shared" si="48"/>
        <v>29384</v>
      </c>
      <c r="AE212" s="3" t="str">
        <f t="shared" ca="1" si="46"/>
        <v>46 Tahun 2 bulan 20 Hari</v>
      </c>
      <c r="AF212" s="38">
        <f t="shared" si="49"/>
        <v>51318</v>
      </c>
      <c r="AG212" s="7"/>
    </row>
    <row r="213" spans="1:33" ht="32.15" customHeight="1" x14ac:dyDescent="0.35">
      <c r="A213" s="26">
        <f t="shared" si="51"/>
        <v>198</v>
      </c>
      <c r="B213" s="80" t="s">
        <v>673</v>
      </c>
      <c r="C213" s="26"/>
      <c r="D213" s="50" t="s">
        <v>692</v>
      </c>
      <c r="E213" s="24" t="s">
        <v>693</v>
      </c>
      <c r="F213" s="24" t="s">
        <v>43</v>
      </c>
      <c r="G213" s="3" t="s">
        <v>694</v>
      </c>
      <c r="H213" s="4" t="s">
        <v>695</v>
      </c>
      <c r="I213" s="4" t="s">
        <v>86</v>
      </c>
      <c r="J213" s="5" t="s">
        <v>87</v>
      </c>
      <c r="K213" s="3" t="str">
        <f t="shared" ca="1" si="43"/>
        <v xml:space="preserve">4 Tahun 8 bulan </v>
      </c>
      <c r="L213" s="30" t="s">
        <v>88</v>
      </c>
      <c r="M213" s="5">
        <v>44561</v>
      </c>
      <c r="N213" s="3" t="str">
        <f t="shared" ca="1" si="44"/>
        <v xml:space="preserve">4 Tahun 8 bulan </v>
      </c>
      <c r="O213" s="4"/>
      <c r="P213" s="4" t="s">
        <v>35</v>
      </c>
      <c r="Q213" s="4" t="str">
        <f t="shared" si="45"/>
        <v>Laki-Laki</v>
      </c>
      <c r="R213" s="4">
        <f t="shared" si="42"/>
        <v>1</v>
      </c>
      <c r="S213" s="4" t="str">
        <f t="shared" si="50"/>
        <v>1</v>
      </c>
      <c r="T213" s="4">
        <f t="shared" si="38"/>
        <v>0</v>
      </c>
      <c r="U213" s="29"/>
      <c r="V213" s="30" t="s">
        <v>50</v>
      </c>
      <c r="W213" s="30"/>
      <c r="X213" s="30"/>
      <c r="Y213" s="30"/>
      <c r="Z213" s="30"/>
      <c r="AA213" s="30"/>
      <c r="AB213" s="29"/>
      <c r="AC213" s="29"/>
      <c r="AD213" s="37">
        <f t="shared" si="48"/>
        <v>26052</v>
      </c>
      <c r="AE213" s="3" t="str">
        <f t="shared" ca="1" si="46"/>
        <v>55 Tahun 4 bulan 3 Hari</v>
      </c>
      <c r="AF213" s="38">
        <f t="shared" si="49"/>
        <v>47969</v>
      </c>
      <c r="AG213" s="7"/>
    </row>
    <row r="214" spans="1:33" ht="32.15" customHeight="1" x14ac:dyDescent="0.35">
      <c r="A214" s="26">
        <f t="shared" si="51"/>
        <v>199</v>
      </c>
      <c r="B214" s="80" t="s">
        <v>673</v>
      </c>
      <c r="C214" s="256" t="s">
        <v>696</v>
      </c>
      <c r="D214" s="257"/>
      <c r="E214" s="24" t="s">
        <v>697</v>
      </c>
      <c r="F214" s="24" t="s">
        <v>43</v>
      </c>
      <c r="G214" s="3" t="s">
        <v>698</v>
      </c>
      <c r="H214" s="4" t="s">
        <v>699</v>
      </c>
      <c r="I214" s="33" t="s">
        <v>67</v>
      </c>
      <c r="J214" s="5" t="s">
        <v>237</v>
      </c>
      <c r="K214" s="3" t="str">
        <f t="shared" ca="1" si="43"/>
        <v xml:space="preserve">4 Tahun 7 bulan </v>
      </c>
      <c r="L214" s="30" t="s">
        <v>346</v>
      </c>
      <c r="M214" s="5">
        <v>44565</v>
      </c>
      <c r="N214" s="3" t="str">
        <f t="shared" ca="1" si="44"/>
        <v xml:space="preserve">4 Tahun 7 bulan </v>
      </c>
      <c r="O214" s="24"/>
      <c r="P214" s="4" t="s">
        <v>35</v>
      </c>
      <c r="Q214" s="4" t="str">
        <f t="shared" si="45"/>
        <v>Laki-Laki</v>
      </c>
      <c r="R214" s="4">
        <f t="shared" si="42"/>
        <v>1</v>
      </c>
      <c r="S214" s="4" t="str">
        <f t="shared" si="50"/>
        <v>1</v>
      </c>
      <c r="T214" s="4">
        <f t="shared" si="38"/>
        <v>0</v>
      </c>
      <c r="U214" s="29"/>
      <c r="V214" s="30" t="s">
        <v>50</v>
      </c>
      <c r="W214" s="30"/>
      <c r="X214" s="30"/>
      <c r="Y214" s="30"/>
      <c r="Z214" s="30"/>
      <c r="AA214" s="30"/>
      <c r="AB214" s="29"/>
      <c r="AC214" s="29"/>
      <c r="AD214" s="37">
        <f t="shared" si="48"/>
        <v>28755</v>
      </c>
      <c r="AE214" s="3" t="str">
        <f t="shared" ca="1" si="46"/>
        <v>47 Tahun 11 bulan 10 Hari</v>
      </c>
      <c r="AF214" s="38">
        <f t="shared" si="49"/>
        <v>50679</v>
      </c>
      <c r="AG214" s="7"/>
    </row>
    <row r="215" spans="1:33" ht="32.15" customHeight="1" x14ac:dyDescent="0.35">
      <c r="A215" s="26">
        <f t="shared" si="51"/>
        <v>200</v>
      </c>
      <c r="B215" s="80" t="s">
        <v>673</v>
      </c>
      <c r="C215" s="26"/>
      <c r="D215" s="50" t="s">
        <v>700</v>
      </c>
      <c r="E215" s="24" t="s">
        <v>701</v>
      </c>
      <c r="F215" s="24" t="s">
        <v>43</v>
      </c>
      <c r="G215" s="3" t="s">
        <v>702</v>
      </c>
      <c r="H215" s="4" t="s">
        <v>703</v>
      </c>
      <c r="I215" s="4" t="s">
        <v>704</v>
      </c>
      <c r="J215" s="5">
        <v>44561</v>
      </c>
      <c r="K215" s="3" t="str">
        <f t="shared" ca="1" si="43"/>
        <v xml:space="preserve">4 Tahun 8 bulan </v>
      </c>
      <c r="L215" s="30" t="s">
        <v>88</v>
      </c>
      <c r="M215" s="5">
        <v>44561</v>
      </c>
      <c r="N215" s="3" t="str">
        <f t="shared" ca="1" si="44"/>
        <v xml:space="preserve">4 Tahun 8 bulan </v>
      </c>
      <c r="O215" s="4"/>
      <c r="P215" s="4" t="s">
        <v>35</v>
      </c>
      <c r="Q215" s="4" t="str">
        <f t="shared" si="45"/>
        <v>Laki-Laki</v>
      </c>
      <c r="R215" s="4">
        <f>R171</f>
        <v>1</v>
      </c>
      <c r="S215" s="4" t="str">
        <f t="shared" si="50"/>
        <v>1</v>
      </c>
      <c r="T215" s="4">
        <f t="shared" si="38"/>
        <v>0</v>
      </c>
      <c r="U215" s="29"/>
      <c r="V215" s="30" t="s">
        <v>50</v>
      </c>
      <c r="W215" s="30"/>
      <c r="X215" s="30"/>
      <c r="Y215" s="30"/>
      <c r="Z215" s="30"/>
      <c r="AA215" s="30"/>
      <c r="AB215" s="29"/>
      <c r="AC215" s="29"/>
      <c r="AD215" s="37">
        <f t="shared" si="48"/>
        <v>29898</v>
      </c>
      <c r="AE215" s="3" t="str">
        <f t="shared" ca="1" si="46"/>
        <v>44 Tahun 9 bulan 24 Hari</v>
      </c>
      <c r="AF215" s="38">
        <f t="shared" si="49"/>
        <v>51836</v>
      </c>
      <c r="AG215" s="7"/>
    </row>
    <row r="216" spans="1:33" ht="32.15" customHeight="1" x14ac:dyDescent="0.35">
      <c r="A216" s="26">
        <f t="shared" si="51"/>
        <v>201</v>
      </c>
      <c r="B216" s="80" t="s">
        <v>673</v>
      </c>
      <c r="C216" s="26"/>
      <c r="D216" s="50" t="s">
        <v>700</v>
      </c>
      <c r="E216" s="24" t="s">
        <v>705</v>
      </c>
      <c r="F216" s="24" t="s">
        <v>43</v>
      </c>
      <c r="G216" s="3" t="s">
        <v>706</v>
      </c>
      <c r="H216" s="4" t="s">
        <v>691</v>
      </c>
      <c r="I216" s="4" t="s">
        <v>251</v>
      </c>
      <c r="J216" s="5">
        <v>44561</v>
      </c>
      <c r="K216" s="3" t="str">
        <f t="shared" ca="1" si="43"/>
        <v xml:space="preserve">4 Tahun 8 bulan </v>
      </c>
      <c r="L216" s="30" t="s">
        <v>88</v>
      </c>
      <c r="M216" s="5">
        <v>44561</v>
      </c>
      <c r="N216" s="3" t="str">
        <f t="shared" ca="1" si="44"/>
        <v xml:space="preserve">4 Tahun 8 bulan </v>
      </c>
      <c r="O216" s="4"/>
      <c r="P216" s="4" t="s">
        <v>35</v>
      </c>
      <c r="Q216" s="4" t="str">
        <f t="shared" si="45"/>
        <v>Perempuan</v>
      </c>
      <c r="R216" s="4">
        <f t="shared" ref="R216:R279" si="52">R215</f>
        <v>1</v>
      </c>
      <c r="S216" s="4" t="str">
        <f t="shared" si="50"/>
        <v>1</v>
      </c>
      <c r="T216" s="4">
        <f t="shared" si="38"/>
        <v>0</v>
      </c>
      <c r="U216" s="29"/>
      <c r="V216" s="30"/>
      <c r="W216" s="30"/>
      <c r="X216" s="30"/>
      <c r="Y216" s="30"/>
      <c r="Z216" s="30"/>
      <c r="AA216" s="30"/>
      <c r="AB216" s="29"/>
      <c r="AC216" s="29"/>
      <c r="AD216" s="37">
        <f t="shared" si="48"/>
        <v>27481</v>
      </c>
      <c r="AE216" s="3" t="str">
        <f t="shared" ca="1" si="46"/>
        <v>51 Tahun 5 bulan 4 Hari</v>
      </c>
      <c r="AF216" s="38">
        <f t="shared" si="49"/>
        <v>49400</v>
      </c>
      <c r="AG216" s="7"/>
    </row>
    <row r="217" spans="1:33" ht="32.15" customHeight="1" x14ac:dyDescent="0.35">
      <c r="A217" s="26">
        <f t="shared" si="51"/>
        <v>202</v>
      </c>
      <c r="B217" s="80" t="s">
        <v>673</v>
      </c>
      <c r="C217" s="256" t="s">
        <v>707</v>
      </c>
      <c r="D217" s="257"/>
      <c r="E217" s="39" t="s">
        <v>708</v>
      </c>
      <c r="F217" s="24" t="s">
        <v>43</v>
      </c>
      <c r="G217" s="25" t="s">
        <v>709</v>
      </c>
      <c r="H217" s="4" t="s">
        <v>699</v>
      </c>
      <c r="I217" s="25" t="s">
        <v>710</v>
      </c>
      <c r="J217" s="5" t="s">
        <v>711</v>
      </c>
      <c r="K217" s="3" t="str">
        <f t="shared" ca="1" si="43"/>
        <v xml:space="preserve">4 Tahun 11 bulan </v>
      </c>
      <c r="L217" s="30" t="s">
        <v>346</v>
      </c>
      <c r="M217" s="5" t="s">
        <v>711</v>
      </c>
      <c r="N217" s="3" t="str">
        <f t="shared" ca="1" si="44"/>
        <v xml:space="preserve">4 Tahun 11 bulan </v>
      </c>
      <c r="O217" s="35"/>
      <c r="P217" s="4" t="s">
        <v>35</v>
      </c>
      <c r="Q217" s="4" t="str">
        <f t="shared" si="45"/>
        <v>Perempuan</v>
      </c>
      <c r="R217" s="4">
        <f t="shared" si="52"/>
        <v>1</v>
      </c>
      <c r="S217" s="4" t="str">
        <f t="shared" si="50"/>
        <v>1</v>
      </c>
      <c r="T217" s="4">
        <f t="shared" si="38"/>
        <v>0</v>
      </c>
      <c r="U217" s="29"/>
      <c r="V217" s="30"/>
      <c r="W217" s="30"/>
      <c r="X217" s="30"/>
      <c r="Y217" s="30"/>
      <c r="Z217" s="30"/>
      <c r="AA217" s="30"/>
      <c r="AB217" s="29"/>
      <c r="AC217" s="29"/>
      <c r="AD217" s="37">
        <f t="shared" si="48"/>
        <v>29511</v>
      </c>
      <c r="AE217" s="3" t="str">
        <f t="shared" ca="1" si="46"/>
        <v>45 Tahun 10 bulan 15 Hari</v>
      </c>
      <c r="AF217" s="38">
        <f t="shared" si="49"/>
        <v>51441</v>
      </c>
      <c r="AG217" s="7"/>
    </row>
    <row r="218" spans="1:33" ht="32.15" customHeight="1" x14ac:dyDescent="0.35">
      <c r="A218" s="26">
        <f t="shared" si="51"/>
        <v>203</v>
      </c>
      <c r="B218" s="80" t="s">
        <v>673</v>
      </c>
      <c r="C218" s="26"/>
      <c r="D218" s="50" t="s">
        <v>712</v>
      </c>
      <c r="E218" s="24" t="s">
        <v>713</v>
      </c>
      <c r="F218" s="24" t="s">
        <v>43</v>
      </c>
      <c r="G218" s="4" t="s">
        <v>714</v>
      </c>
      <c r="H218" s="4" t="s">
        <v>85</v>
      </c>
      <c r="I218" s="4" t="s">
        <v>251</v>
      </c>
      <c r="J218" s="5">
        <v>44561</v>
      </c>
      <c r="K218" s="3" t="str">
        <f t="shared" ca="1" si="43"/>
        <v xml:space="preserve">4 Tahun 8 bulan </v>
      </c>
      <c r="L218" s="30" t="s">
        <v>88</v>
      </c>
      <c r="M218" s="5">
        <v>44561</v>
      </c>
      <c r="N218" s="3" t="str">
        <f t="shared" ca="1" si="44"/>
        <v xml:space="preserve">4 Tahun 8 bulan </v>
      </c>
      <c r="O218" s="4"/>
      <c r="P218" s="4" t="s">
        <v>35</v>
      </c>
      <c r="Q218" s="4" t="str">
        <f t="shared" si="45"/>
        <v>Laki-Laki</v>
      </c>
      <c r="R218" s="4">
        <f t="shared" si="52"/>
        <v>1</v>
      </c>
      <c r="S218" s="4" t="str">
        <f t="shared" si="50"/>
        <v>1</v>
      </c>
      <c r="T218" s="4">
        <f t="shared" ref="T218:T285" si="53">R218-S218</f>
        <v>0</v>
      </c>
      <c r="U218" s="29"/>
      <c r="V218" s="30" t="s">
        <v>50</v>
      </c>
      <c r="W218" s="30"/>
      <c r="X218" s="30"/>
      <c r="Y218" s="30"/>
      <c r="Z218" s="30"/>
      <c r="AA218" s="30"/>
      <c r="AB218" s="29"/>
      <c r="AC218" s="29"/>
      <c r="AD218" s="37">
        <f t="shared" si="48"/>
        <v>32766</v>
      </c>
      <c r="AE218" s="3" t="str">
        <f t="shared" ca="1" si="46"/>
        <v>36 Tahun 11 bulan 17 Hari</v>
      </c>
      <c r="AF218" s="38">
        <f t="shared" si="49"/>
        <v>54697</v>
      </c>
      <c r="AG218" s="7"/>
    </row>
    <row r="219" spans="1:33" ht="32.15" customHeight="1" x14ac:dyDescent="0.35">
      <c r="A219" s="26">
        <f t="shared" si="51"/>
        <v>204</v>
      </c>
      <c r="B219" s="80" t="s">
        <v>673</v>
      </c>
      <c r="C219" s="26"/>
      <c r="D219" s="50" t="s">
        <v>700</v>
      </c>
      <c r="E219" s="24" t="s">
        <v>715</v>
      </c>
      <c r="F219" s="24" t="s">
        <v>43</v>
      </c>
      <c r="G219" s="3" t="s">
        <v>716</v>
      </c>
      <c r="H219" s="4" t="s">
        <v>662</v>
      </c>
      <c r="I219" s="4" t="s">
        <v>107</v>
      </c>
      <c r="J219" s="5">
        <v>44561</v>
      </c>
      <c r="K219" s="3" t="str">
        <f t="shared" ca="1" si="43"/>
        <v xml:space="preserve">4 Tahun 8 bulan </v>
      </c>
      <c r="L219" s="30" t="s">
        <v>88</v>
      </c>
      <c r="M219" s="5">
        <v>44561</v>
      </c>
      <c r="N219" s="3" t="str">
        <f t="shared" ca="1" si="44"/>
        <v xml:space="preserve">4 Tahun 8 bulan </v>
      </c>
      <c r="O219" s="4"/>
      <c r="P219" s="4" t="s">
        <v>35</v>
      </c>
      <c r="Q219" s="4" t="str">
        <f t="shared" si="45"/>
        <v>Laki-Laki</v>
      </c>
      <c r="R219" s="4">
        <f t="shared" si="52"/>
        <v>1</v>
      </c>
      <c r="S219" s="4" t="str">
        <f t="shared" si="50"/>
        <v>1</v>
      </c>
      <c r="T219" s="4">
        <f t="shared" si="53"/>
        <v>0</v>
      </c>
      <c r="U219" s="29"/>
      <c r="V219" s="30" t="s">
        <v>50</v>
      </c>
      <c r="W219" s="30"/>
      <c r="X219" s="30"/>
      <c r="Y219" s="30"/>
      <c r="Z219" s="30"/>
      <c r="AA219" s="30"/>
      <c r="AB219" s="29"/>
      <c r="AC219" s="29"/>
      <c r="AD219" s="37">
        <f t="shared" si="48"/>
        <v>29596</v>
      </c>
      <c r="AE219" s="3" t="str">
        <f t="shared" ca="1" si="46"/>
        <v>45 Tahun 7 bulan 22 Hari</v>
      </c>
      <c r="AF219" s="38">
        <f t="shared" si="49"/>
        <v>51533</v>
      </c>
      <c r="AG219" s="7"/>
    </row>
    <row r="220" spans="1:33" ht="32.15" customHeight="1" x14ac:dyDescent="0.35">
      <c r="A220" s="26">
        <f t="shared" si="51"/>
        <v>205</v>
      </c>
      <c r="B220" s="80" t="s">
        <v>673</v>
      </c>
      <c r="C220" s="256" t="s">
        <v>717</v>
      </c>
      <c r="D220" s="257"/>
      <c r="E220" s="45" t="s">
        <v>718</v>
      </c>
      <c r="F220" s="24" t="s">
        <v>43</v>
      </c>
      <c r="G220" s="44" t="s">
        <v>719</v>
      </c>
      <c r="H220" s="4" t="s">
        <v>181</v>
      </c>
      <c r="I220" s="33" t="s">
        <v>198</v>
      </c>
      <c r="J220" s="5" t="s">
        <v>176</v>
      </c>
      <c r="K220" s="3" t="str">
        <f t="shared" ca="1" si="43"/>
        <v xml:space="preserve">1 Tahun 4 bulan </v>
      </c>
      <c r="L220" s="30" t="s">
        <v>346</v>
      </c>
      <c r="M220" s="47" t="s">
        <v>98</v>
      </c>
      <c r="N220" s="3" t="str">
        <f t="shared" ca="1" si="44"/>
        <v xml:space="preserve">3 Tahun 0 bulan </v>
      </c>
      <c r="O220" s="36"/>
      <c r="P220" s="4" t="s">
        <v>35</v>
      </c>
      <c r="Q220" s="4" t="str">
        <f t="shared" si="45"/>
        <v>Perempuan</v>
      </c>
      <c r="R220" s="4">
        <f t="shared" si="52"/>
        <v>1</v>
      </c>
      <c r="S220" s="4" t="e">
        <f>IF(#REF!="LOWONG","0","1")</f>
        <v>#REF!</v>
      </c>
      <c r="T220" s="4" t="e">
        <f t="shared" si="53"/>
        <v>#REF!</v>
      </c>
      <c r="U220" s="29"/>
      <c r="V220" s="30" t="s">
        <v>50</v>
      </c>
      <c r="W220" s="30"/>
      <c r="X220" s="30"/>
      <c r="Y220" s="30"/>
      <c r="Z220" s="30"/>
      <c r="AA220" s="30"/>
      <c r="AB220" s="29"/>
      <c r="AC220" s="29"/>
      <c r="AD220" s="37">
        <f t="shared" si="48"/>
        <v>31691</v>
      </c>
      <c r="AE220" s="3" t="str">
        <f t="shared" ca="1" si="46"/>
        <v>39 Tahun 10 bulan 26 Hari</v>
      </c>
      <c r="AF220" s="38">
        <f t="shared" si="49"/>
        <v>53632</v>
      </c>
      <c r="AG220" s="7"/>
    </row>
    <row r="221" spans="1:33" ht="32.15" customHeight="1" x14ac:dyDescent="0.35">
      <c r="A221" s="26">
        <f t="shared" si="51"/>
        <v>206</v>
      </c>
      <c r="B221" s="80" t="s">
        <v>673</v>
      </c>
      <c r="C221" s="26"/>
      <c r="D221" s="50" t="s">
        <v>712</v>
      </c>
      <c r="E221" s="24" t="s">
        <v>108</v>
      </c>
      <c r="F221" s="24"/>
      <c r="G221" s="3"/>
      <c r="H221" s="4"/>
      <c r="I221" s="33"/>
      <c r="J221" s="81"/>
      <c r="K221" s="3" t="str">
        <f t="shared" ca="1" si="43"/>
        <v/>
      </c>
      <c r="L221" s="30" t="s">
        <v>88</v>
      </c>
      <c r="M221" s="81"/>
      <c r="N221" s="3" t="str">
        <f t="shared" ca="1" si="44"/>
        <v/>
      </c>
      <c r="O221" s="4"/>
      <c r="P221" s="4"/>
      <c r="Q221" s="4" t="str">
        <f t="shared" si="45"/>
        <v/>
      </c>
      <c r="R221" s="4">
        <v>1</v>
      </c>
      <c r="S221" s="4" t="str">
        <f>IF(E221="LOWONG","0","1")</f>
        <v>0</v>
      </c>
      <c r="T221" s="4">
        <f t="shared" si="53"/>
        <v>1</v>
      </c>
      <c r="U221" s="29"/>
      <c r="V221" s="30"/>
      <c r="W221" s="30"/>
      <c r="X221" s="30"/>
      <c r="Y221" s="30"/>
      <c r="Z221" s="30"/>
      <c r="AA221" s="30"/>
      <c r="AB221" s="29"/>
      <c r="AC221" s="29"/>
      <c r="AD221" s="37" t="str">
        <f t="shared" si="48"/>
        <v/>
      </c>
      <c r="AE221" s="3" t="str">
        <f t="shared" ca="1" si="46"/>
        <v/>
      </c>
      <c r="AF221" s="38" t="str">
        <f t="shared" si="49"/>
        <v/>
      </c>
      <c r="AG221" s="7"/>
    </row>
    <row r="222" spans="1:33" ht="32.15" customHeight="1" x14ac:dyDescent="0.35">
      <c r="A222" s="26">
        <f t="shared" si="51"/>
        <v>207</v>
      </c>
      <c r="B222" s="80" t="s">
        <v>673</v>
      </c>
      <c r="C222" s="26"/>
      <c r="D222" s="50" t="s">
        <v>700</v>
      </c>
      <c r="E222" s="24" t="s">
        <v>720</v>
      </c>
      <c r="F222" s="24" t="s">
        <v>43</v>
      </c>
      <c r="G222" s="3" t="s">
        <v>721</v>
      </c>
      <c r="H222" s="4" t="s">
        <v>274</v>
      </c>
      <c r="I222" s="33" t="s">
        <v>113</v>
      </c>
      <c r="J222" s="81" t="s">
        <v>87</v>
      </c>
      <c r="K222" s="3" t="str">
        <f t="shared" ca="1" si="43"/>
        <v xml:space="preserve">4 Tahun 8 bulan </v>
      </c>
      <c r="L222" s="30" t="s">
        <v>88</v>
      </c>
      <c r="M222" s="81" t="s">
        <v>87</v>
      </c>
      <c r="N222" s="3" t="str">
        <f t="shared" ca="1" si="44"/>
        <v xml:space="preserve">4 Tahun 8 bulan </v>
      </c>
      <c r="O222" s="4"/>
      <c r="P222" s="4" t="s">
        <v>35</v>
      </c>
      <c r="Q222" s="4" t="str">
        <f t="shared" si="45"/>
        <v>Laki-Laki</v>
      </c>
      <c r="R222" s="4">
        <v>1</v>
      </c>
      <c r="S222" s="4" t="str">
        <f>IF(E222="LOWONG","0","1")</f>
        <v>1</v>
      </c>
      <c r="T222" s="4">
        <f t="shared" si="53"/>
        <v>0</v>
      </c>
      <c r="U222" s="29"/>
      <c r="V222" s="30" t="s">
        <v>50</v>
      </c>
      <c r="W222" s="30"/>
      <c r="X222" s="30"/>
      <c r="Y222" s="30"/>
      <c r="Z222" s="30"/>
      <c r="AA222" s="30"/>
      <c r="AB222" s="29"/>
      <c r="AC222" s="29"/>
      <c r="AD222" s="37">
        <f t="shared" si="48"/>
        <v>30688</v>
      </c>
      <c r="AE222" s="3" t="str">
        <f t="shared" ca="1" si="46"/>
        <v>42 Tahun 7 bulan 25 Hari</v>
      </c>
      <c r="AF222" s="38">
        <f t="shared" si="49"/>
        <v>52628</v>
      </c>
      <c r="AG222" s="7"/>
    </row>
    <row r="223" spans="1:33" ht="32.15" customHeight="1" x14ac:dyDescent="0.35">
      <c r="A223" s="26">
        <f t="shared" si="51"/>
        <v>208</v>
      </c>
      <c r="B223" s="80" t="s">
        <v>673</v>
      </c>
      <c r="C223" s="256" t="s">
        <v>722</v>
      </c>
      <c r="D223" s="257"/>
      <c r="E223" s="24" t="s">
        <v>723</v>
      </c>
      <c r="F223" s="24" t="s">
        <v>43</v>
      </c>
      <c r="G223" s="3" t="s">
        <v>724</v>
      </c>
      <c r="H223" s="4" t="s">
        <v>181</v>
      </c>
      <c r="I223" s="4" t="s">
        <v>86</v>
      </c>
      <c r="J223" s="47" t="s">
        <v>711</v>
      </c>
      <c r="K223" s="3" t="str">
        <f t="shared" ca="1" si="43"/>
        <v xml:space="preserve">4 Tahun 11 bulan </v>
      </c>
      <c r="L223" s="30" t="s">
        <v>346</v>
      </c>
      <c r="M223" s="47" t="s">
        <v>711</v>
      </c>
      <c r="N223" s="3" t="str">
        <f t="shared" ca="1" si="44"/>
        <v xml:space="preserve">4 Tahun 11 bulan </v>
      </c>
      <c r="O223" s="4"/>
      <c r="P223" s="4" t="s">
        <v>35</v>
      </c>
      <c r="Q223" s="4" t="str">
        <f t="shared" si="45"/>
        <v>Laki-Laki</v>
      </c>
      <c r="R223" s="4">
        <v>1</v>
      </c>
      <c r="S223" s="4" t="str">
        <f>IF(E223="LOWONG","0","1")</f>
        <v>1</v>
      </c>
      <c r="T223" s="4">
        <f t="shared" si="53"/>
        <v>0</v>
      </c>
      <c r="U223" s="29"/>
      <c r="V223" s="30" t="s">
        <v>50</v>
      </c>
      <c r="W223" s="30"/>
      <c r="X223" s="30"/>
      <c r="Y223" s="30"/>
      <c r="Z223" s="30"/>
      <c r="AA223" s="30"/>
      <c r="AB223" s="29"/>
      <c r="AC223" s="29"/>
      <c r="AD223" s="37">
        <f t="shared" si="48"/>
        <v>26564</v>
      </c>
      <c r="AE223" s="3" t="str">
        <f t="shared" ca="1" si="46"/>
        <v>53 Tahun 11 bulan 10 Hari</v>
      </c>
      <c r="AF223" s="38">
        <f t="shared" si="49"/>
        <v>48488</v>
      </c>
      <c r="AG223" s="7"/>
    </row>
    <row r="224" spans="1:33" ht="32.15" customHeight="1" x14ac:dyDescent="0.35">
      <c r="A224" s="26">
        <f t="shared" si="51"/>
        <v>209</v>
      </c>
      <c r="B224" s="80" t="s">
        <v>673</v>
      </c>
      <c r="C224" s="26"/>
      <c r="D224" s="50" t="s">
        <v>700</v>
      </c>
      <c r="E224" s="221" t="s">
        <v>725</v>
      </c>
      <c r="F224" s="24" t="s">
        <v>43</v>
      </c>
      <c r="G224" s="43" t="s">
        <v>726</v>
      </c>
      <c r="H224" s="4" t="s">
        <v>727</v>
      </c>
      <c r="I224" s="33" t="s">
        <v>441</v>
      </c>
      <c r="J224" s="81" t="s">
        <v>87</v>
      </c>
      <c r="K224" s="3" t="str">
        <f t="shared" ca="1" si="43"/>
        <v xml:space="preserve">4 Tahun 8 bulan </v>
      </c>
      <c r="L224" s="30" t="s">
        <v>88</v>
      </c>
      <c r="M224" s="81" t="s">
        <v>87</v>
      </c>
      <c r="N224" s="3" t="str">
        <f t="shared" ca="1" si="44"/>
        <v xml:space="preserve">4 Tahun 8 bulan </v>
      </c>
      <c r="O224" s="56"/>
      <c r="P224" s="4" t="s">
        <v>35</v>
      </c>
      <c r="Q224" s="4" t="str">
        <f t="shared" si="45"/>
        <v>Perempuan</v>
      </c>
      <c r="R224" s="4">
        <v>1</v>
      </c>
      <c r="S224" s="4" t="str">
        <f>IF(E224="LOWONG","0","1")</f>
        <v>1</v>
      </c>
      <c r="T224" s="4">
        <f t="shared" si="53"/>
        <v>0</v>
      </c>
      <c r="U224" s="29"/>
      <c r="V224" s="30"/>
      <c r="W224" s="30"/>
      <c r="X224" s="30"/>
      <c r="Y224" s="30"/>
      <c r="Z224" s="30"/>
      <c r="AA224" s="30"/>
      <c r="AB224" s="29"/>
      <c r="AC224" s="29"/>
      <c r="AD224" s="37">
        <f t="shared" si="48"/>
        <v>25082</v>
      </c>
      <c r="AE224" s="3" t="str">
        <f t="shared" ca="1" si="46"/>
        <v>58 Tahun 0 bulan 0 Hari</v>
      </c>
      <c r="AF224" s="38">
        <f t="shared" si="49"/>
        <v>47027</v>
      </c>
      <c r="AG224" s="11" t="s">
        <v>3143</v>
      </c>
    </row>
    <row r="225" spans="1:32" s="7" customFormat="1" ht="32.15" customHeight="1" x14ac:dyDescent="0.35">
      <c r="A225" s="26">
        <f t="shared" si="51"/>
        <v>210</v>
      </c>
      <c r="B225" s="80" t="s">
        <v>673</v>
      </c>
      <c r="C225" s="26"/>
      <c r="D225" s="50" t="s">
        <v>700</v>
      </c>
      <c r="E225" s="45" t="s">
        <v>108</v>
      </c>
      <c r="F225" s="45"/>
      <c r="G225" s="44"/>
      <c r="H225" s="4"/>
      <c r="I225" s="4"/>
      <c r="J225" s="81"/>
      <c r="K225" s="3" t="str">
        <f t="shared" ca="1" si="43"/>
        <v/>
      </c>
      <c r="L225" s="30" t="s">
        <v>88</v>
      </c>
      <c r="M225" s="81"/>
      <c r="N225" s="3" t="str">
        <f t="shared" ca="1" si="44"/>
        <v/>
      </c>
      <c r="O225" s="4"/>
      <c r="P225" s="4"/>
      <c r="Q225" s="4" t="str">
        <f t="shared" si="45"/>
        <v/>
      </c>
      <c r="R225" s="4">
        <v>1</v>
      </c>
      <c r="S225" s="4" t="str">
        <f>IF(E225="LOWONG","0","1")</f>
        <v>0</v>
      </c>
      <c r="T225" s="4">
        <f t="shared" si="53"/>
        <v>1</v>
      </c>
      <c r="U225" s="29"/>
      <c r="V225" s="30"/>
      <c r="W225" s="30"/>
      <c r="X225" s="30"/>
      <c r="Y225" s="30"/>
      <c r="Z225" s="30"/>
      <c r="AA225" s="30"/>
      <c r="AB225" s="29"/>
      <c r="AC225" s="29"/>
      <c r="AD225" s="37" t="str">
        <f t="shared" si="48"/>
        <v/>
      </c>
      <c r="AE225" s="3" t="str">
        <f t="shared" ca="1" si="46"/>
        <v/>
      </c>
      <c r="AF225" s="38" t="str">
        <f t="shared" si="49"/>
        <v/>
      </c>
    </row>
    <row r="226" spans="1:32" s="6" customFormat="1" ht="32.15" customHeight="1" x14ac:dyDescent="0.35">
      <c r="A226" s="4"/>
      <c r="B226" s="32" t="s">
        <v>728</v>
      </c>
      <c r="C226" s="269" t="s">
        <v>729</v>
      </c>
      <c r="D226" s="270"/>
      <c r="E226" s="271" t="str">
        <f ca="1">IF(J226="","",CONCATENATE(DATEDIF(J226,NOW(),"Y")," Tahun ",DATEDIF(J226,NOW(),"YM")," bulan "))</f>
        <v/>
      </c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3"/>
    </row>
    <row r="227" spans="1:32" s="7" customFormat="1" ht="32.15" customHeight="1" x14ac:dyDescent="0.35">
      <c r="A227" s="26">
        <f>A225+1</f>
        <v>211</v>
      </c>
      <c r="B227" s="27" t="s">
        <v>728</v>
      </c>
      <c r="C227" s="278" t="s">
        <v>730</v>
      </c>
      <c r="D227" s="279"/>
      <c r="E227" s="24" t="s">
        <v>596</v>
      </c>
      <c r="F227" s="24" t="s">
        <v>43</v>
      </c>
      <c r="G227" s="4" t="s">
        <v>597</v>
      </c>
      <c r="H227" s="4" t="s">
        <v>598</v>
      </c>
      <c r="I227" s="33" t="s">
        <v>599</v>
      </c>
      <c r="J227" s="53">
        <v>46260</v>
      </c>
      <c r="K227" s="3" t="str">
        <f t="shared" ca="1" si="43"/>
        <v xml:space="preserve">0 Tahun 0 bulan </v>
      </c>
      <c r="L227" s="30" t="s">
        <v>56</v>
      </c>
      <c r="M227" s="212">
        <v>45610</v>
      </c>
      <c r="N227" s="3" t="str">
        <f t="shared" ca="1" si="44"/>
        <v xml:space="preserve">1 Tahun 9 bulan </v>
      </c>
      <c r="O227" s="36" t="s">
        <v>81</v>
      </c>
      <c r="P227" s="4" t="s">
        <v>35</v>
      </c>
      <c r="Q227" s="4" t="str">
        <f t="shared" si="45"/>
        <v>Laki-Laki</v>
      </c>
      <c r="R227" s="4">
        <v>1</v>
      </c>
      <c r="S227" s="4" t="str">
        <f t="shared" ref="S227:S232" si="54">IF(E227="LOWONG","0","1")</f>
        <v>1</v>
      </c>
      <c r="T227" s="4">
        <f t="shared" si="53"/>
        <v>0</v>
      </c>
      <c r="U227" s="29"/>
      <c r="V227" s="30" t="s">
        <v>50</v>
      </c>
      <c r="W227" s="30"/>
      <c r="X227" s="30"/>
      <c r="Y227" s="30"/>
      <c r="Z227" s="30"/>
      <c r="AA227" s="30"/>
      <c r="AB227" s="29"/>
      <c r="AC227" s="29"/>
      <c r="AD227" s="37">
        <f t="shared" si="48"/>
        <v>27751</v>
      </c>
      <c r="AE227" s="3" t="str">
        <f t="shared" ca="1" si="46"/>
        <v>50 Tahun 8 bulan 9 Hari</v>
      </c>
      <c r="AF227" s="38">
        <f t="shared" si="49"/>
        <v>49675</v>
      </c>
    </row>
    <row r="228" spans="1:32" s="7" customFormat="1" ht="32.15" customHeight="1" x14ac:dyDescent="0.35">
      <c r="A228" s="26">
        <f t="shared" si="51"/>
        <v>212</v>
      </c>
      <c r="B228" s="27" t="s">
        <v>728</v>
      </c>
      <c r="C228" s="256" t="s">
        <v>733</v>
      </c>
      <c r="D228" s="257"/>
      <c r="E228" s="24" t="s">
        <v>1241</v>
      </c>
      <c r="F228" s="24" t="s">
        <v>43</v>
      </c>
      <c r="G228" s="3" t="s">
        <v>1242</v>
      </c>
      <c r="H228" s="4" t="s">
        <v>1243</v>
      </c>
      <c r="I228" s="33" t="s">
        <v>46</v>
      </c>
      <c r="J228" s="53">
        <v>46260</v>
      </c>
      <c r="K228" s="3" t="str">
        <f t="shared" ca="1" si="43"/>
        <v xml:space="preserve">0 Tahun 0 bulan </v>
      </c>
      <c r="L228" s="30" t="s">
        <v>79</v>
      </c>
      <c r="M228" s="81">
        <v>45916</v>
      </c>
      <c r="N228" s="3" t="str">
        <f t="shared" ca="1" si="44"/>
        <v xml:space="preserve">0 Tahun 11 bulan </v>
      </c>
      <c r="O228" s="4" t="s">
        <v>49</v>
      </c>
      <c r="P228" s="4" t="s">
        <v>35</v>
      </c>
      <c r="Q228" s="4" t="str">
        <f t="shared" si="45"/>
        <v>Laki-Laki</v>
      </c>
      <c r="R228" s="4">
        <v>1</v>
      </c>
      <c r="S228" s="4" t="str">
        <f t="shared" si="54"/>
        <v>1</v>
      </c>
      <c r="T228" s="4">
        <f t="shared" si="53"/>
        <v>0</v>
      </c>
      <c r="U228" s="29"/>
      <c r="V228" s="30"/>
      <c r="W228" s="30"/>
      <c r="X228" s="30"/>
      <c r="Y228" s="30"/>
      <c r="Z228" s="30"/>
      <c r="AA228" s="30"/>
      <c r="AB228" s="29"/>
      <c r="AC228" s="29"/>
      <c r="AD228" s="37">
        <f t="shared" si="48"/>
        <v>27403</v>
      </c>
      <c r="AE228" s="3" t="str">
        <f t="shared" ca="1" si="46"/>
        <v>51 Tahun 7 bulan 23 Hari</v>
      </c>
      <c r="AF228" s="38">
        <f t="shared" si="49"/>
        <v>49341</v>
      </c>
    </row>
    <row r="229" spans="1:32" s="7" customFormat="1" ht="32.15" customHeight="1" x14ac:dyDescent="0.35">
      <c r="A229" s="26">
        <f t="shared" si="51"/>
        <v>213</v>
      </c>
      <c r="B229" s="27" t="s">
        <v>728</v>
      </c>
      <c r="C229" s="26"/>
      <c r="D229" s="50" t="s">
        <v>734</v>
      </c>
      <c r="E229" s="45" t="s">
        <v>735</v>
      </c>
      <c r="F229" s="24" t="s">
        <v>43</v>
      </c>
      <c r="G229" s="44" t="s">
        <v>736</v>
      </c>
      <c r="H229" s="36" t="s">
        <v>241</v>
      </c>
      <c r="I229" s="48" t="s">
        <v>737</v>
      </c>
      <c r="J229" s="82" t="s">
        <v>354</v>
      </c>
      <c r="K229" s="3" t="str">
        <f t="shared" ca="1" si="43"/>
        <v xml:space="preserve">6 Tahun 9 bulan </v>
      </c>
      <c r="L229" s="30" t="s">
        <v>200</v>
      </c>
      <c r="M229" s="82" t="s">
        <v>354</v>
      </c>
      <c r="N229" s="3" t="str">
        <f t="shared" ca="1" si="44"/>
        <v xml:space="preserve">6 Tahun 9 bulan </v>
      </c>
      <c r="O229" s="36"/>
      <c r="P229" s="4" t="s">
        <v>35</v>
      </c>
      <c r="Q229" s="4" t="str">
        <f t="shared" si="45"/>
        <v>Laki-Laki</v>
      </c>
      <c r="R229" s="4">
        <v>1</v>
      </c>
      <c r="S229" s="4" t="str">
        <f t="shared" si="54"/>
        <v>1</v>
      </c>
      <c r="T229" s="4">
        <f t="shared" si="53"/>
        <v>0</v>
      </c>
      <c r="U229" s="29"/>
      <c r="V229" s="30" t="s">
        <v>50</v>
      </c>
      <c r="W229" s="30"/>
      <c r="X229" s="30"/>
      <c r="Y229" s="30"/>
      <c r="Z229" s="30"/>
      <c r="AA229" s="30"/>
      <c r="AB229" s="29"/>
      <c r="AC229" s="29"/>
      <c r="AD229" s="37">
        <f t="shared" si="48"/>
        <v>29017</v>
      </c>
      <c r="AE229" s="3" t="str">
        <f t="shared" ca="1" si="46"/>
        <v>47 Tahun 2 bulan 21 Hari</v>
      </c>
      <c r="AF229" s="38">
        <f t="shared" si="49"/>
        <v>50952</v>
      </c>
    </row>
    <row r="230" spans="1:32" s="7" customFormat="1" ht="32.15" customHeight="1" x14ac:dyDescent="0.35">
      <c r="A230" s="26">
        <f t="shared" si="51"/>
        <v>214</v>
      </c>
      <c r="B230" s="27" t="s">
        <v>728</v>
      </c>
      <c r="C230" s="26"/>
      <c r="D230" s="50" t="s">
        <v>738</v>
      </c>
      <c r="E230" s="24" t="s">
        <v>739</v>
      </c>
      <c r="F230" s="24" t="s">
        <v>43</v>
      </c>
      <c r="G230" s="3" t="s">
        <v>740</v>
      </c>
      <c r="H230" s="4" t="s">
        <v>410</v>
      </c>
      <c r="I230" s="33" t="s">
        <v>86</v>
      </c>
      <c r="J230" s="47" t="s">
        <v>533</v>
      </c>
      <c r="K230" s="3" t="str">
        <f t="shared" ca="1" si="43"/>
        <v xml:space="preserve">9 Tahun 7 bulan </v>
      </c>
      <c r="L230" s="30" t="s">
        <v>200</v>
      </c>
      <c r="M230" s="47" t="s">
        <v>533</v>
      </c>
      <c r="N230" s="3" t="str">
        <f t="shared" ca="1" si="44"/>
        <v xml:space="preserve">9 Tahun 7 bulan </v>
      </c>
      <c r="O230" s="4"/>
      <c r="P230" s="4" t="s">
        <v>35</v>
      </c>
      <c r="Q230" s="4" t="str">
        <f t="shared" si="45"/>
        <v>Perempuan</v>
      </c>
      <c r="R230" s="4">
        <v>1</v>
      </c>
      <c r="S230" s="4" t="str">
        <f t="shared" si="54"/>
        <v>1</v>
      </c>
      <c r="T230" s="4">
        <f t="shared" si="53"/>
        <v>0</v>
      </c>
      <c r="U230" s="29"/>
      <c r="V230" s="30"/>
      <c r="W230" s="30"/>
      <c r="X230" s="30"/>
      <c r="Y230" s="30"/>
      <c r="Z230" s="30"/>
      <c r="AA230" s="30"/>
      <c r="AB230" s="29"/>
      <c r="AC230" s="29"/>
      <c r="AD230" s="37">
        <f t="shared" si="48"/>
        <v>26945</v>
      </c>
      <c r="AE230" s="3" t="str">
        <f t="shared" ca="1" si="46"/>
        <v>52 Tahun 10 bulan 24 Hari</v>
      </c>
      <c r="AF230" s="38">
        <f t="shared" si="49"/>
        <v>48884</v>
      </c>
    </row>
    <row r="231" spans="1:32" s="7" customFormat="1" ht="32.15" customHeight="1" x14ac:dyDescent="0.35">
      <c r="A231" s="26">
        <f t="shared" si="51"/>
        <v>215</v>
      </c>
      <c r="B231" s="27" t="s">
        <v>728</v>
      </c>
      <c r="C231" s="256" t="s">
        <v>741</v>
      </c>
      <c r="D231" s="257"/>
      <c r="E231" s="24" t="s">
        <v>742</v>
      </c>
      <c r="F231" s="24" t="s">
        <v>43</v>
      </c>
      <c r="G231" s="4" t="s">
        <v>743</v>
      </c>
      <c r="H231" s="4" t="s">
        <v>419</v>
      </c>
      <c r="I231" s="4" t="s">
        <v>744</v>
      </c>
      <c r="J231" s="47" t="s">
        <v>127</v>
      </c>
      <c r="K231" s="3" t="str">
        <f t="shared" ca="1" si="43"/>
        <v xml:space="preserve">5 Tahun 6 bulan </v>
      </c>
      <c r="L231" s="30" t="s">
        <v>346</v>
      </c>
      <c r="M231" s="47" t="s">
        <v>127</v>
      </c>
      <c r="N231" s="3" t="str">
        <f t="shared" ca="1" si="44"/>
        <v xml:space="preserve">5 Tahun 6 bulan </v>
      </c>
      <c r="O231" s="4"/>
      <c r="P231" s="4" t="s">
        <v>35</v>
      </c>
      <c r="Q231" s="4" t="str">
        <f t="shared" si="45"/>
        <v>Laki-Laki</v>
      </c>
      <c r="R231" s="4">
        <v>1</v>
      </c>
      <c r="S231" s="4" t="str">
        <f t="shared" si="54"/>
        <v>1</v>
      </c>
      <c r="T231" s="4">
        <f t="shared" si="53"/>
        <v>0</v>
      </c>
      <c r="U231" s="29"/>
      <c r="V231" s="30" t="s">
        <v>50</v>
      </c>
      <c r="W231" s="30"/>
      <c r="X231" s="30"/>
      <c r="Y231" s="30"/>
      <c r="Z231" s="30"/>
      <c r="AA231" s="30"/>
      <c r="AB231" s="29"/>
      <c r="AC231" s="29"/>
      <c r="AD231" s="37">
        <f t="shared" si="48"/>
        <v>27752</v>
      </c>
      <c r="AE231" s="3" t="str">
        <f t="shared" ca="1" si="46"/>
        <v>50 Tahun 8 bulan 8 Hari</v>
      </c>
      <c r="AF231" s="38">
        <f t="shared" si="49"/>
        <v>49675</v>
      </c>
    </row>
    <row r="232" spans="1:32" s="7" customFormat="1" ht="32.15" customHeight="1" x14ac:dyDescent="0.35">
      <c r="A232" s="26">
        <f t="shared" si="51"/>
        <v>216</v>
      </c>
      <c r="B232" s="27" t="s">
        <v>728</v>
      </c>
      <c r="C232" s="26"/>
      <c r="D232" s="50" t="s">
        <v>745</v>
      </c>
      <c r="E232" s="24" t="s">
        <v>108</v>
      </c>
      <c r="F232" s="24"/>
      <c r="G232" s="3"/>
      <c r="H232" s="4"/>
      <c r="I232" s="25"/>
      <c r="J232" s="81"/>
      <c r="K232" s="3" t="str">
        <f t="shared" ca="1" si="43"/>
        <v/>
      </c>
      <c r="L232" s="30" t="s">
        <v>88</v>
      </c>
      <c r="M232" s="30"/>
      <c r="N232" s="3" t="str">
        <f t="shared" ca="1" si="44"/>
        <v/>
      </c>
      <c r="O232" s="36"/>
      <c r="P232" s="4"/>
      <c r="Q232" s="4" t="str">
        <f t="shared" si="45"/>
        <v/>
      </c>
      <c r="R232" s="4">
        <v>1</v>
      </c>
      <c r="S232" s="4" t="str">
        <f t="shared" si="54"/>
        <v>0</v>
      </c>
      <c r="T232" s="4">
        <f t="shared" si="53"/>
        <v>1</v>
      </c>
      <c r="U232" s="29"/>
      <c r="V232" s="30" t="s">
        <v>50</v>
      </c>
      <c r="W232" s="30"/>
      <c r="X232" s="30"/>
      <c r="Y232" s="30"/>
      <c r="Z232" s="30"/>
      <c r="AA232" s="30"/>
      <c r="AB232" s="29"/>
      <c r="AC232" s="29"/>
      <c r="AD232" s="37" t="str">
        <f t="shared" si="48"/>
        <v/>
      </c>
      <c r="AE232" s="3" t="str">
        <f t="shared" ca="1" si="46"/>
        <v/>
      </c>
      <c r="AF232" s="38" t="str">
        <f t="shared" si="49"/>
        <v/>
      </c>
    </row>
    <row r="233" spans="1:32" s="7" customFormat="1" ht="32.15" customHeight="1" x14ac:dyDescent="0.35">
      <c r="A233" s="26">
        <f t="shared" si="51"/>
        <v>217</v>
      </c>
      <c r="B233" s="27" t="s">
        <v>728</v>
      </c>
      <c r="C233" s="26"/>
      <c r="D233" s="50" t="s">
        <v>747</v>
      </c>
      <c r="E233" s="24" t="s">
        <v>108</v>
      </c>
      <c r="F233" s="83"/>
      <c r="G233" s="29"/>
      <c r="H233" s="29"/>
      <c r="I233" s="29"/>
      <c r="J233" s="81"/>
      <c r="K233" s="3" t="str">
        <f t="shared" ca="1" si="43"/>
        <v/>
      </c>
      <c r="L233" s="30" t="s">
        <v>88</v>
      </c>
      <c r="M233" s="84"/>
      <c r="N233" s="3" t="str">
        <f t="shared" ca="1" si="44"/>
        <v/>
      </c>
      <c r="O233" s="25"/>
      <c r="P233" s="4"/>
      <c r="Q233" s="4" t="str">
        <f t="shared" si="45"/>
        <v/>
      </c>
      <c r="R233" s="4">
        <v>1</v>
      </c>
      <c r="S233" s="4" t="str">
        <f>IF(E513="LOWONG","0","1")</f>
        <v>1</v>
      </c>
      <c r="T233" s="4">
        <f t="shared" si="53"/>
        <v>0</v>
      </c>
      <c r="U233" s="29"/>
      <c r="V233" s="30"/>
      <c r="W233" s="30"/>
      <c r="X233" s="30"/>
      <c r="Y233" s="30"/>
      <c r="Z233" s="30"/>
      <c r="AA233" s="30"/>
      <c r="AB233" s="29"/>
      <c r="AC233" s="29"/>
      <c r="AD233" s="37" t="str">
        <f t="shared" si="48"/>
        <v/>
      </c>
      <c r="AE233" s="3" t="str">
        <f t="shared" ca="1" si="46"/>
        <v/>
      </c>
      <c r="AF233" s="38" t="str">
        <f t="shared" si="49"/>
        <v/>
      </c>
    </row>
    <row r="234" spans="1:32" s="7" customFormat="1" ht="32.15" customHeight="1" x14ac:dyDescent="0.35">
      <c r="A234" s="26">
        <f t="shared" si="51"/>
        <v>218</v>
      </c>
      <c r="B234" s="27" t="s">
        <v>728</v>
      </c>
      <c r="C234" s="26"/>
      <c r="D234" s="50" t="s">
        <v>748</v>
      </c>
      <c r="E234" s="45" t="s">
        <v>108</v>
      </c>
      <c r="F234" s="45"/>
      <c r="G234" s="44"/>
      <c r="H234" s="4"/>
      <c r="I234" s="33"/>
      <c r="J234" s="81"/>
      <c r="K234" s="3" t="str">
        <f t="shared" ca="1" si="43"/>
        <v/>
      </c>
      <c r="L234" s="30" t="s">
        <v>88</v>
      </c>
      <c r="M234" s="81"/>
      <c r="N234" s="3" t="str">
        <f t="shared" ca="1" si="44"/>
        <v/>
      </c>
      <c r="O234" s="4"/>
      <c r="P234" s="4"/>
      <c r="Q234" s="4" t="str">
        <f t="shared" si="45"/>
        <v/>
      </c>
      <c r="R234" s="4">
        <v>1</v>
      </c>
      <c r="S234" s="4" t="str">
        <f>IF(E234="LOWONG","0","1")</f>
        <v>0</v>
      </c>
      <c r="T234" s="4">
        <f t="shared" si="53"/>
        <v>1</v>
      </c>
      <c r="U234" s="29"/>
      <c r="V234" s="30"/>
      <c r="W234" s="30"/>
      <c r="X234" s="30"/>
      <c r="Y234" s="30"/>
      <c r="Z234" s="30"/>
      <c r="AA234" s="30"/>
      <c r="AB234" s="29"/>
      <c r="AC234" s="29"/>
      <c r="AD234" s="37" t="str">
        <f t="shared" si="48"/>
        <v/>
      </c>
      <c r="AE234" s="3" t="str">
        <f t="shared" ca="1" si="46"/>
        <v/>
      </c>
      <c r="AF234" s="38" t="str">
        <f t="shared" si="49"/>
        <v/>
      </c>
    </row>
    <row r="235" spans="1:32" s="7" customFormat="1" ht="32.15" customHeight="1" x14ac:dyDescent="0.35">
      <c r="A235" s="26">
        <f t="shared" si="51"/>
        <v>219</v>
      </c>
      <c r="B235" s="27" t="s">
        <v>728</v>
      </c>
      <c r="C235" s="256" t="s">
        <v>749</v>
      </c>
      <c r="D235" s="257"/>
      <c r="E235" s="85" t="s">
        <v>1273</v>
      </c>
      <c r="F235" s="24" t="s">
        <v>43</v>
      </c>
      <c r="G235" s="86" t="s">
        <v>1274</v>
      </c>
      <c r="H235" s="4" t="s">
        <v>1275</v>
      </c>
      <c r="I235" s="30" t="s">
        <v>46</v>
      </c>
      <c r="J235" s="53">
        <v>46260</v>
      </c>
      <c r="K235" s="3" t="str">
        <f t="shared" ca="1" si="43"/>
        <v xml:space="preserve">0 Tahun 0 bulan </v>
      </c>
      <c r="L235" s="30" t="s">
        <v>346</v>
      </c>
      <c r="M235" s="47"/>
      <c r="N235" s="3" t="str">
        <f t="shared" ca="1" si="44"/>
        <v/>
      </c>
      <c r="O235" s="30"/>
      <c r="P235" s="4" t="s">
        <v>35</v>
      </c>
      <c r="Q235" s="4" t="str">
        <f t="shared" si="45"/>
        <v>Laki-Laki</v>
      </c>
      <c r="R235" s="4">
        <v>1</v>
      </c>
      <c r="S235" s="4" t="str">
        <f>IF(E235="LOWONG","0","1")</f>
        <v>1</v>
      </c>
      <c r="T235" s="4">
        <f t="shared" si="53"/>
        <v>0</v>
      </c>
      <c r="U235" s="29"/>
      <c r="V235" s="30" t="s">
        <v>50</v>
      </c>
      <c r="W235" s="30"/>
      <c r="X235" s="30"/>
      <c r="Y235" s="30"/>
      <c r="Z235" s="30"/>
      <c r="AA235" s="30"/>
      <c r="AB235" s="29"/>
      <c r="AC235" s="29"/>
      <c r="AD235" s="37">
        <f t="shared" si="48"/>
        <v>28083</v>
      </c>
      <c r="AE235" s="3" t="str">
        <f t="shared" ca="1" si="46"/>
        <v>49 Tahun 9 bulan 13 Hari</v>
      </c>
      <c r="AF235" s="38">
        <f t="shared" si="49"/>
        <v>50010</v>
      </c>
    </row>
    <row r="236" spans="1:32" s="7" customFormat="1" ht="32.15" customHeight="1" x14ac:dyDescent="0.35">
      <c r="A236" s="26">
        <f t="shared" si="51"/>
        <v>220</v>
      </c>
      <c r="B236" s="27" t="s">
        <v>728</v>
      </c>
      <c r="C236" s="26"/>
      <c r="D236" s="50" t="s">
        <v>752</v>
      </c>
      <c r="E236" s="24" t="s">
        <v>108</v>
      </c>
      <c r="F236" s="24"/>
      <c r="G236" s="3"/>
      <c r="H236" s="4"/>
      <c r="I236" s="4"/>
      <c r="J236" s="84"/>
      <c r="K236" s="3" t="str">
        <f t="shared" ca="1" si="43"/>
        <v/>
      </c>
      <c r="L236" s="30" t="s">
        <v>88</v>
      </c>
      <c r="M236" s="84" t="s">
        <v>753</v>
      </c>
      <c r="N236" s="3"/>
      <c r="O236" s="4"/>
      <c r="P236" s="4"/>
      <c r="Q236" s="4" t="str">
        <f t="shared" si="45"/>
        <v/>
      </c>
      <c r="R236" s="4">
        <v>1</v>
      </c>
      <c r="S236" s="4" t="str">
        <f>IF(E236="LOWONG","0","1")</f>
        <v>0</v>
      </c>
      <c r="T236" s="4">
        <f t="shared" si="53"/>
        <v>1</v>
      </c>
      <c r="U236" s="29"/>
      <c r="V236" s="30"/>
      <c r="W236" s="30"/>
      <c r="X236" s="30"/>
      <c r="Y236" s="30"/>
      <c r="Z236" s="30"/>
      <c r="AA236" s="30"/>
      <c r="AB236" s="29"/>
      <c r="AC236" s="29"/>
      <c r="AD236" s="37" t="str">
        <f t="shared" si="48"/>
        <v/>
      </c>
      <c r="AE236" s="3" t="str">
        <f t="shared" ca="1" si="46"/>
        <v/>
      </c>
      <c r="AF236" s="38" t="str">
        <f t="shared" si="49"/>
        <v/>
      </c>
    </row>
    <row r="237" spans="1:32" s="7" customFormat="1" ht="32.15" customHeight="1" x14ac:dyDescent="0.35">
      <c r="A237" s="26">
        <f t="shared" si="51"/>
        <v>221</v>
      </c>
      <c r="B237" s="27" t="s">
        <v>728</v>
      </c>
      <c r="C237" s="26"/>
      <c r="D237" s="50" t="s">
        <v>752</v>
      </c>
      <c r="E237" s="24" t="s">
        <v>754</v>
      </c>
      <c r="F237" s="24" t="s">
        <v>43</v>
      </c>
      <c r="G237" s="3" t="s">
        <v>755</v>
      </c>
      <c r="H237" s="4" t="s">
        <v>159</v>
      </c>
      <c r="I237" s="41" t="s">
        <v>46</v>
      </c>
      <c r="J237" s="81" t="s">
        <v>87</v>
      </c>
      <c r="K237" s="3" t="str">
        <f t="shared" ca="1" si="43"/>
        <v xml:space="preserve">4 Tahun 8 bulan </v>
      </c>
      <c r="L237" s="30" t="s">
        <v>88</v>
      </c>
      <c r="M237" s="81" t="s">
        <v>87</v>
      </c>
      <c r="N237" s="3" t="str">
        <f t="shared" ca="1" si="44"/>
        <v xml:space="preserve">4 Tahun 8 bulan </v>
      </c>
      <c r="O237" s="4"/>
      <c r="P237" s="4" t="s">
        <v>35</v>
      </c>
      <c r="Q237" s="4" t="str">
        <f t="shared" si="45"/>
        <v>Laki-Laki</v>
      </c>
      <c r="R237" s="4">
        <v>1</v>
      </c>
      <c r="S237" s="4" t="str">
        <f>IF(E237="LOWONG","0","1")</f>
        <v>1</v>
      </c>
      <c r="T237" s="4">
        <f t="shared" si="53"/>
        <v>0</v>
      </c>
      <c r="U237" s="29"/>
      <c r="V237" s="30" t="s">
        <v>50</v>
      </c>
      <c r="W237" s="30"/>
      <c r="X237" s="30"/>
      <c r="Y237" s="30"/>
      <c r="Z237" s="30"/>
      <c r="AA237" s="30"/>
      <c r="AB237" s="29"/>
      <c r="AC237" s="29"/>
      <c r="AD237" s="37">
        <f t="shared" si="48"/>
        <v>28789</v>
      </c>
      <c r="AE237" s="3" t="str">
        <f t="shared" ca="1" si="46"/>
        <v>47 Tahun 10 bulan 6 Hari</v>
      </c>
      <c r="AF237" s="38">
        <f t="shared" si="49"/>
        <v>50710</v>
      </c>
    </row>
    <row r="238" spans="1:32" s="6" customFormat="1" ht="32.15" customHeight="1" x14ac:dyDescent="0.35">
      <c r="A238" s="4"/>
      <c r="B238" s="32" t="s">
        <v>756</v>
      </c>
      <c r="C238" s="269" t="s">
        <v>757</v>
      </c>
      <c r="D238" s="270"/>
      <c r="E238" s="24"/>
      <c r="F238" s="24"/>
      <c r="G238" s="4"/>
      <c r="H238" s="4"/>
      <c r="I238" s="33"/>
      <c r="J238" s="34"/>
      <c r="K238" s="3" t="str">
        <f t="shared" ca="1" si="43"/>
        <v/>
      </c>
      <c r="L238" s="25"/>
      <c r="M238" s="34"/>
      <c r="N238" s="3" t="str">
        <f t="shared" ca="1" si="44"/>
        <v/>
      </c>
      <c r="O238" s="4"/>
      <c r="P238" s="4"/>
      <c r="Q238" s="4"/>
      <c r="R238" s="4"/>
      <c r="S238" s="4"/>
      <c r="T238" s="4"/>
      <c r="U238" s="35"/>
      <c r="V238" s="25"/>
      <c r="W238" s="25"/>
      <c r="X238" s="25"/>
      <c r="Y238" s="25"/>
      <c r="Z238" s="25"/>
      <c r="AA238" s="25"/>
      <c r="AB238" s="35"/>
      <c r="AC238" s="35"/>
      <c r="AD238" s="37" t="str">
        <f t="shared" si="48"/>
        <v/>
      </c>
      <c r="AE238" s="3" t="str">
        <f t="shared" ca="1" si="46"/>
        <v/>
      </c>
      <c r="AF238" s="38" t="str">
        <f t="shared" si="49"/>
        <v/>
      </c>
    </row>
    <row r="239" spans="1:32" s="7" customFormat="1" ht="33.75" customHeight="1" x14ac:dyDescent="0.35">
      <c r="A239" s="26">
        <f>A237+1</f>
        <v>222</v>
      </c>
      <c r="B239" s="32" t="s">
        <v>756</v>
      </c>
      <c r="C239" s="278" t="s">
        <v>758</v>
      </c>
      <c r="D239" s="279"/>
      <c r="E239" s="45" t="s">
        <v>2872</v>
      </c>
      <c r="F239" s="24" t="s">
        <v>43</v>
      </c>
      <c r="G239" s="44" t="s">
        <v>2873</v>
      </c>
      <c r="H239" s="4" t="s">
        <v>2874</v>
      </c>
      <c r="I239" s="4"/>
      <c r="J239" s="81"/>
      <c r="K239" s="3" t="str">
        <f t="shared" ca="1" si="43"/>
        <v/>
      </c>
      <c r="L239" s="30" t="s">
        <v>56</v>
      </c>
      <c r="M239" s="81"/>
      <c r="N239" s="3" t="str">
        <f t="shared" ca="1" si="44"/>
        <v/>
      </c>
      <c r="O239" s="36"/>
      <c r="P239" s="4" t="s">
        <v>35</v>
      </c>
      <c r="Q239" s="4" t="str">
        <f t="shared" si="45"/>
        <v>Laki-Laki</v>
      </c>
      <c r="R239" s="4">
        <v>1</v>
      </c>
      <c r="S239" s="4" t="str">
        <f t="shared" ref="S239:S259" si="55">IF(E239="LOWONG","0","1")</f>
        <v>1</v>
      </c>
      <c r="T239" s="4">
        <f t="shared" si="53"/>
        <v>0</v>
      </c>
      <c r="U239" s="29"/>
      <c r="V239" s="30" t="s">
        <v>50</v>
      </c>
      <c r="W239" s="30"/>
      <c r="X239" s="30"/>
      <c r="Y239" s="30"/>
      <c r="Z239" s="30"/>
      <c r="AA239" s="30"/>
      <c r="AB239" s="29"/>
      <c r="AC239" s="29"/>
      <c r="AD239" s="37">
        <f t="shared" si="48"/>
        <v>30075</v>
      </c>
      <c r="AE239" s="3" t="str">
        <f t="shared" ca="1" si="46"/>
        <v>44 Tahun 3 bulan 28 Hari</v>
      </c>
      <c r="AF239" s="38">
        <f t="shared" si="49"/>
        <v>52018</v>
      </c>
    </row>
    <row r="240" spans="1:32" s="7" customFormat="1" ht="30.75" customHeight="1" x14ac:dyDescent="0.35">
      <c r="A240" s="26">
        <f t="shared" si="51"/>
        <v>223</v>
      </c>
      <c r="B240" s="32" t="s">
        <v>756</v>
      </c>
      <c r="C240" s="256" t="s">
        <v>760</v>
      </c>
      <c r="D240" s="257"/>
      <c r="E240" s="24" t="s">
        <v>761</v>
      </c>
      <c r="F240" s="24" t="s">
        <v>43</v>
      </c>
      <c r="G240" s="3" t="s">
        <v>762</v>
      </c>
      <c r="H240" s="4" t="s">
        <v>410</v>
      </c>
      <c r="I240" s="4" t="s">
        <v>763</v>
      </c>
      <c r="J240" s="81">
        <v>45993</v>
      </c>
      <c r="K240" s="3" t="str">
        <f t="shared" ca="1" si="43"/>
        <v xml:space="preserve">0 Tahun 8 bulan </v>
      </c>
      <c r="L240" s="30" t="s">
        <v>79</v>
      </c>
      <c r="M240" s="47" t="s">
        <v>292</v>
      </c>
      <c r="N240" s="3" t="str">
        <f t="shared" ca="1" si="44"/>
        <v xml:space="preserve">7 Tahun 7 bulan </v>
      </c>
      <c r="O240" s="25"/>
      <c r="P240" s="4" t="s">
        <v>35</v>
      </c>
      <c r="Q240" s="4" t="str">
        <f t="shared" si="45"/>
        <v>Laki-Laki</v>
      </c>
      <c r="R240" s="4">
        <v>1</v>
      </c>
      <c r="S240" s="4" t="str">
        <f t="shared" si="55"/>
        <v>1</v>
      </c>
      <c r="T240" s="4">
        <f t="shared" si="53"/>
        <v>0</v>
      </c>
      <c r="U240" s="29"/>
      <c r="V240" s="30"/>
      <c r="W240" s="30"/>
      <c r="X240" s="30"/>
      <c r="Y240" s="30"/>
      <c r="Z240" s="30"/>
      <c r="AA240" s="30"/>
      <c r="AB240" s="29"/>
      <c r="AC240" s="29"/>
      <c r="AD240" s="37">
        <f t="shared" si="48"/>
        <v>31406</v>
      </c>
      <c r="AE240" s="3" t="str">
        <f t="shared" ca="1" si="46"/>
        <v>40 Tahun 8 bulan 7 Hari</v>
      </c>
      <c r="AF240" s="38">
        <f t="shared" si="49"/>
        <v>53328</v>
      </c>
    </row>
    <row r="241" spans="1:32" s="7" customFormat="1" ht="33.75" customHeight="1" x14ac:dyDescent="0.35">
      <c r="A241" s="26">
        <f t="shared" si="51"/>
        <v>224</v>
      </c>
      <c r="B241" s="4" t="s">
        <v>756</v>
      </c>
      <c r="C241" s="26"/>
      <c r="D241" s="50" t="s">
        <v>764</v>
      </c>
      <c r="E241" s="51" t="s">
        <v>765</v>
      </c>
      <c r="F241" s="24" t="s">
        <v>43</v>
      </c>
      <c r="G241" s="59" t="s">
        <v>766</v>
      </c>
      <c r="H241" s="4" t="s">
        <v>621</v>
      </c>
      <c r="I241" s="33" t="s">
        <v>86</v>
      </c>
      <c r="J241" s="47" t="s">
        <v>292</v>
      </c>
      <c r="K241" s="3" t="str">
        <f t="shared" ca="1" si="43"/>
        <v xml:space="preserve">7 Tahun 7 bulan </v>
      </c>
      <c r="L241" s="30" t="s">
        <v>200</v>
      </c>
      <c r="M241" s="47" t="s">
        <v>292</v>
      </c>
      <c r="N241" s="3" t="str">
        <f t="shared" ca="1" si="44"/>
        <v xml:space="preserve">7 Tahun 7 bulan </v>
      </c>
      <c r="O241" s="4"/>
      <c r="P241" s="4" t="s">
        <v>35</v>
      </c>
      <c r="Q241" s="4" t="str">
        <f t="shared" si="45"/>
        <v>Perempuan</v>
      </c>
      <c r="R241" s="4">
        <v>1</v>
      </c>
      <c r="S241" s="4" t="str">
        <f t="shared" si="55"/>
        <v>1</v>
      </c>
      <c r="T241" s="4">
        <f t="shared" si="53"/>
        <v>0</v>
      </c>
      <c r="U241" s="29"/>
      <c r="V241" s="30"/>
      <c r="W241" s="30"/>
      <c r="X241" s="30"/>
      <c r="Y241" s="30"/>
      <c r="Z241" s="30"/>
      <c r="AA241" s="30"/>
      <c r="AB241" s="29"/>
      <c r="AC241" s="29"/>
      <c r="AD241" s="37">
        <f t="shared" si="48"/>
        <v>25966</v>
      </c>
      <c r="AE241" s="3" t="str">
        <f t="shared" ca="1" si="46"/>
        <v>55 Tahun 6 bulan 30 Hari</v>
      </c>
      <c r="AF241" s="38">
        <f t="shared" si="49"/>
        <v>47908</v>
      </c>
    </row>
    <row r="242" spans="1:32" s="7" customFormat="1" ht="33.75" customHeight="1" x14ac:dyDescent="0.35">
      <c r="A242" s="26">
        <f t="shared" si="51"/>
        <v>225</v>
      </c>
      <c r="B242" s="4" t="s">
        <v>756</v>
      </c>
      <c r="C242" s="26"/>
      <c r="D242" s="50" t="s">
        <v>767</v>
      </c>
      <c r="E242" s="24" t="s">
        <v>108</v>
      </c>
      <c r="F242" s="24"/>
      <c r="G242" s="3"/>
      <c r="H242" s="56"/>
      <c r="I242" s="4"/>
      <c r="J242" s="84"/>
      <c r="K242" s="3" t="str">
        <f t="shared" ca="1" si="43"/>
        <v/>
      </c>
      <c r="L242" s="30" t="s">
        <v>88</v>
      </c>
      <c r="M242" s="84"/>
      <c r="N242" s="3" t="str">
        <f t="shared" ca="1" si="44"/>
        <v/>
      </c>
      <c r="O242" s="4"/>
      <c r="P242" s="4"/>
      <c r="Q242" s="4" t="str">
        <f t="shared" si="45"/>
        <v/>
      </c>
      <c r="R242" s="4">
        <v>1</v>
      </c>
      <c r="S242" s="4" t="str">
        <f t="shared" si="55"/>
        <v>0</v>
      </c>
      <c r="T242" s="4">
        <f t="shared" si="53"/>
        <v>1</v>
      </c>
      <c r="U242" s="29"/>
      <c r="V242" s="30"/>
      <c r="W242" s="30"/>
      <c r="X242" s="30"/>
      <c r="Y242" s="30"/>
      <c r="Z242" s="30"/>
      <c r="AA242" s="30"/>
      <c r="AB242" s="29"/>
      <c r="AC242" s="29"/>
      <c r="AD242" s="37" t="str">
        <f t="shared" si="48"/>
        <v/>
      </c>
      <c r="AE242" s="3" t="str">
        <f t="shared" ca="1" si="46"/>
        <v/>
      </c>
      <c r="AF242" s="38" t="str">
        <f t="shared" si="49"/>
        <v/>
      </c>
    </row>
    <row r="243" spans="1:32" s="7" customFormat="1" ht="33.75" customHeight="1" x14ac:dyDescent="0.35">
      <c r="A243" s="26">
        <f t="shared" si="51"/>
        <v>226</v>
      </c>
      <c r="B243" s="4" t="s">
        <v>756</v>
      </c>
      <c r="C243" s="26"/>
      <c r="D243" s="50" t="s">
        <v>768</v>
      </c>
      <c r="E243" s="87" t="s">
        <v>3072</v>
      </c>
      <c r="F243" s="24" t="s">
        <v>43</v>
      </c>
      <c r="G243" s="70" t="s">
        <v>3073</v>
      </c>
      <c r="H243" s="56" t="s">
        <v>3074</v>
      </c>
      <c r="I243" s="56" t="s">
        <v>46</v>
      </c>
      <c r="J243" s="53">
        <v>46260</v>
      </c>
      <c r="K243" s="3" t="str">
        <f t="shared" ca="1" si="43"/>
        <v xml:space="preserve">0 Tahun 0 bulan </v>
      </c>
      <c r="L243" s="30" t="s">
        <v>200</v>
      </c>
      <c r="M243" s="47"/>
      <c r="N243" s="3" t="str">
        <f t="shared" ca="1" si="44"/>
        <v/>
      </c>
      <c r="O243" s="4"/>
      <c r="P243" s="4" t="s">
        <v>35</v>
      </c>
      <c r="Q243" s="4" t="str">
        <f t="shared" si="45"/>
        <v>Perempuan</v>
      </c>
      <c r="R243" s="4">
        <f t="shared" si="52"/>
        <v>1</v>
      </c>
      <c r="S243" s="4" t="str">
        <f t="shared" si="55"/>
        <v>1</v>
      </c>
      <c r="T243" s="4">
        <f t="shared" si="53"/>
        <v>0</v>
      </c>
      <c r="U243" s="29"/>
      <c r="V243" s="30" t="s">
        <v>50</v>
      </c>
      <c r="W243" s="30"/>
      <c r="X243" s="30"/>
      <c r="Y243" s="30"/>
      <c r="Z243" s="30"/>
      <c r="AA243" s="30"/>
      <c r="AB243" s="29"/>
      <c r="AC243" s="29"/>
      <c r="AD243" s="37">
        <f t="shared" si="48"/>
        <v>28433</v>
      </c>
      <c r="AE243" s="3" t="str">
        <f t="shared" ca="1" si="46"/>
        <v>48 Tahun 9 bulan 28 Hari</v>
      </c>
      <c r="AF243" s="38">
        <f t="shared" si="49"/>
        <v>50375</v>
      </c>
    </row>
    <row r="244" spans="1:32" s="7" customFormat="1" ht="40.5" customHeight="1" x14ac:dyDescent="0.35">
      <c r="A244" s="26">
        <f t="shared" si="51"/>
        <v>227</v>
      </c>
      <c r="B244" s="32" t="s">
        <v>756</v>
      </c>
      <c r="C244" s="256" t="s">
        <v>769</v>
      </c>
      <c r="D244" s="257"/>
      <c r="E244" s="24" t="s">
        <v>770</v>
      </c>
      <c r="F244" s="24" t="s">
        <v>43</v>
      </c>
      <c r="G244" s="4" t="s">
        <v>771</v>
      </c>
      <c r="H244" s="4" t="s">
        <v>181</v>
      </c>
      <c r="I244" s="4" t="s">
        <v>772</v>
      </c>
      <c r="J244" s="81" t="s">
        <v>237</v>
      </c>
      <c r="K244" s="3" t="str">
        <f t="shared" ca="1" si="43"/>
        <v xml:space="preserve">4 Tahun 7 bulan </v>
      </c>
      <c r="L244" s="30" t="s">
        <v>346</v>
      </c>
      <c r="M244" s="81" t="s">
        <v>237</v>
      </c>
      <c r="N244" s="3" t="str">
        <f t="shared" ca="1" si="44"/>
        <v xml:space="preserve">4 Tahun 7 bulan </v>
      </c>
      <c r="O244" s="35" t="s">
        <v>128</v>
      </c>
      <c r="P244" s="4" t="s">
        <v>35</v>
      </c>
      <c r="Q244" s="4" t="str">
        <f t="shared" si="45"/>
        <v>Perempuan</v>
      </c>
      <c r="R244" s="4">
        <f t="shared" si="52"/>
        <v>1</v>
      </c>
      <c r="S244" s="4" t="str">
        <f t="shared" si="55"/>
        <v>1</v>
      </c>
      <c r="T244" s="4">
        <f t="shared" si="53"/>
        <v>0</v>
      </c>
      <c r="U244" s="29"/>
      <c r="V244" s="30"/>
      <c r="W244" s="30"/>
      <c r="X244" s="30"/>
      <c r="Y244" s="30"/>
      <c r="Z244" s="30"/>
      <c r="AA244" s="30"/>
      <c r="AB244" s="29"/>
      <c r="AC244" s="29"/>
      <c r="AD244" s="37">
        <f t="shared" si="48"/>
        <v>26965</v>
      </c>
      <c r="AE244" s="3" t="str">
        <f t="shared" ca="1" si="46"/>
        <v>52 Tahun 10 bulan 4 Hari</v>
      </c>
      <c r="AF244" s="38">
        <f t="shared" si="49"/>
        <v>48884</v>
      </c>
    </row>
    <row r="245" spans="1:32" s="7" customFormat="1" ht="40.5" customHeight="1" x14ac:dyDescent="0.35">
      <c r="A245" s="26">
        <f t="shared" si="51"/>
        <v>228</v>
      </c>
      <c r="B245" s="4" t="s">
        <v>756</v>
      </c>
      <c r="C245" s="26"/>
      <c r="D245" s="50" t="s">
        <v>773</v>
      </c>
      <c r="E245" s="45" t="s">
        <v>774</v>
      </c>
      <c r="F245" s="24" t="s">
        <v>43</v>
      </c>
      <c r="G245" s="44" t="s">
        <v>775</v>
      </c>
      <c r="H245" s="36" t="s">
        <v>410</v>
      </c>
      <c r="I245" s="48" t="s">
        <v>86</v>
      </c>
      <c r="J245" s="81" t="s">
        <v>87</v>
      </c>
      <c r="K245" s="3" t="str">
        <f t="shared" ca="1" si="43"/>
        <v xml:space="preserve">4 Tahun 8 bulan </v>
      </c>
      <c r="L245" s="30" t="s">
        <v>88</v>
      </c>
      <c r="M245" s="81" t="s">
        <v>87</v>
      </c>
      <c r="N245" s="3" t="str">
        <f t="shared" ca="1" si="44"/>
        <v xml:space="preserve">4 Tahun 8 bulan </v>
      </c>
      <c r="O245" s="36"/>
      <c r="P245" s="4" t="s">
        <v>35</v>
      </c>
      <c r="Q245" s="4" t="str">
        <f t="shared" si="45"/>
        <v>Perempuan</v>
      </c>
      <c r="R245" s="4">
        <f t="shared" si="52"/>
        <v>1</v>
      </c>
      <c r="S245" s="4" t="str">
        <f t="shared" si="55"/>
        <v>1</v>
      </c>
      <c r="T245" s="4">
        <f t="shared" si="53"/>
        <v>0</v>
      </c>
      <c r="U245" s="29"/>
      <c r="V245" s="30"/>
      <c r="W245" s="30"/>
      <c r="X245" s="30"/>
      <c r="Y245" s="30"/>
      <c r="Z245" s="30"/>
      <c r="AA245" s="30"/>
      <c r="AB245" s="29"/>
      <c r="AC245" s="29"/>
      <c r="AD245" s="37">
        <f t="shared" si="48"/>
        <v>25851</v>
      </c>
      <c r="AE245" s="3" t="str">
        <f t="shared" ca="1" si="46"/>
        <v>55 Tahun 10 bulan 22 Hari</v>
      </c>
      <c r="AF245" s="38">
        <f t="shared" si="49"/>
        <v>47788</v>
      </c>
    </row>
    <row r="246" spans="1:32" s="7" customFormat="1" ht="40.5" customHeight="1" x14ac:dyDescent="0.35">
      <c r="A246" s="26">
        <f t="shared" si="51"/>
        <v>229</v>
      </c>
      <c r="B246" s="4" t="s">
        <v>756</v>
      </c>
      <c r="C246" s="26"/>
      <c r="D246" s="50" t="s">
        <v>773</v>
      </c>
      <c r="E246" s="24" t="s">
        <v>776</v>
      </c>
      <c r="F246" s="24" t="s">
        <v>43</v>
      </c>
      <c r="G246" s="3" t="s">
        <v>777</v>
      </c>
      <c r="H246" s="4" t="s">
        <v>545</v>
      </c>
      <c r="I246" s="41" t="s">
        <v>778</v>
      </c>
      <c r="J246" s="81" t="s">
        <v>87</v>
      </c>
      <c r="K246" s="3" t="str">
        <f t="shared" ca="1" si="43"/>
        <v xml:space="preserve">4 Tahun 8 bulan </v>
      </c>
      <c r="L246" s="30" t="s">
        <v>88</v>
      </c>
      <c r="M246" s="81" t="s">
        <v>87</v>
      </c>
      <c r="N246" s="3" t="str">
        <f t="shared" ca="1" si="44"/>
        <v xml:space="preserve">4 Tahun 8 bulan </v>
      </c>
      <c r="O246" s="35"/>
      <c r="P246" s="4" t="s">
        <v>35</v>
      </c>
      <c r="Q246" s="4" t="str">
        <f t="shared" si="45"/>
        <v>Perempuan</v>
      </c>
      <c r="R246" s="4">
        <f t="shared" si="52"/>
        <v>1</v>
      </c>
      <c r="S246" s="4" t="str">
        <f t="shared" si="55"/>
        <v>1</v>
      </c>
      <c r="T246" s="4">
        <f t="shared" si="53"/>
        <v>0</v>
      </c>
      <c r="U246" s="29"/>
      <c r="V246" s="30"/>
      <c r="W246" s="30"/>
      <c r="X246" s="30"/>
      <c r="Y246" s="30"/>
      <c r="Z246" s="30"/>
      <c r="AA246" s="30"/>
      <c r="AB246" s="29"/>
      <c r="AC246" s="29"/>
      <c r="AD246" s="37">
        <f t="shared" si="48"/>
        <v>26455</v>
      </c>
      <c r="AE246" s="3" t="str">
        <f t="shared" ca="1" si="46"/>
        <v>54 Tahun 2 bulan 27 Hari</v>
      </c>
      <c r="AF246" s="38">
        <f t="shared" si="49"/>
        <v>48396</v>
      </c>
    </row>
    <row r="247" spans="1:32" s="7" customFormat="1" ht="40.5" customHeight="1" x14ac:dyDescent="0.35">
      <c r="A247" s="26">
        <f t="shared" si="51"/>
        <v>230</v>
      </c>
      <c r="B247" s="24" t="s">
        <v>43</v>
      </c>
      <c r="C247" s="26"/>
      <c r="D247" s="50" t="s">
        <v>773</v>
      </c>
      <c r="E247" s="24" t="s">
        <v>779</v>
      </c>
      <c r="F247" s="24" t="s">
        <v>43</v>
      </c>
      <c r="G247" s="3" t="s">
        <v>780</v>
      </c>
      <c r="H247" s="4" t="s">
        <v>781</v>
      </c>
      <c r="I247" s="33" t="s">
        <v>46</v>
      </c>
      <c r="J247" s="81" t="s">
        <v>87</v>
      </c>
      <c r="K247" s="3" t="str">
        <f t="shared" ca="1" si="43"/>
        <v xml:space="preserve">4 Tahun 8 bulan </v>
      </c>
      <c r="L247" s="30" t="s">
        <v>88</v>
      </c>
      <c r="M247" s="81" t="s">
        <v>87</v>
      </c>
      <c r="N247" s="3" t="str">
        <f t="shared" ca="1" si="44"/>
        <v xml:space="preserve">4 Tahun 8 bulan </v>
      </c>
      <c r="O247" s="4"/>
      <c r="P247" s="4" t="s">
        <v>35</v>
      </c>
      <c r="Q247" s="4" t="str">
        <f t="shared" si="45"/>
        <v>Perempuan</v>
      </c>
      <c r="R247" s="4">
        <f t="shared" si="52"/>
        <v>1</v>
      </c>
      <c r="S247" s="4" t="str">
        <f t="shared" si="55"/>
        <v>1</v>
      </c>
      <c r="T247" s="4">
        <f t="shared" si="53"/>
        <v>0</v>
      </c>
      <c r="U247" s="29"/>
      <c r="V247" s="30"/>
      <c r="W247" s="30"/>
      <c r="X247" s="30"/>
      <c r="Y247" s="30"/>
      <c r="Z247" s="30"/>
      <c r="AA247" s="30"/>
      <c r="AB247" s="29"/>
      <c r="AC247" s="29"/>
      <c r="AD247" s="37">
        <f t="shared" si="48"/>
        <v>27306</v>
      </c>
      <c r="AE247" s="3" t="str">
        <f t="shared" ca="1" si="46"/>
        <v>51 Tahun 10 bulan 28 Hari</v>
      </c>
      <c r="AF247" s="38">
        <f t="shared" si="49"/>
        <v>49249</v>
      </c>
    </row>
    <row r="248" spans="1:32" s="7" customFormat="1" ht="39" customHeight="1" x14ac:dyDescent="0.35">
      <c r="A248" s="26">
        <f t="shared" si="51"/>
        <v>231</v>
      </c>
      <c r="B248" s="32" t="s">
        <v>756</v>
      </c>
      <c r="C248" s="256" t="s">
        <v>782</v>
      </c>
      <c r="D248" s="257"/>
      <c r="E248" s="24" t="s">
        <v>783</v>
      </c>
      <c r="F248" s="24" t="s">
        <v>43</v>
      </c>
      <c r="G248" s="4" t="s">
        <v>784</v>
      </c>
      <c r="H248" s="4" t="s">
        <v>385</v>
      </c>
      <c r="I248" s="33" t="s">
        <v>785</v>
      </c>
      <c r="J248" s="81" t="s">
        <v>354</v>
      </c>
      <c r="K248" s="3" t="str">
        <f t="shared" ca="1" si="43"/>
        <v xml:space="preserve">6 Tahun 9 bulan </v>
      </c>
      <c r="L248" s="30" t="s">
        <v>346</v>
      </c>
      <c r="M248" s="81" t="s">
        <v>354</v>
      </c>
      <c r="N248" s="3" t="str">
        <f t="shared" ca="1" si="44"/>
        <v xml:space="preserve">6 Tahun 9 bulan </v>
      </c>
      <c r="O248" s="4"/>
      <c r="P248" s="4" t="s">
        <v>35</v>
      </c>
      <c r="Q248" s="4" t="str">
        <f t="shared" si="45"/>
        <v>Perempuan</v>
      </c>
      <c r="R248" s="4">
        <f t="shared" si="52"/>
        <v>1</v>
      </c>
      <c r="S248" s="4" t="str">
        <f t="shared" si="55"/>
        <v>1</v>
      </c>
      <c r="T248" s="4">
        <f t="shared" si="53"/>
        <v>0</v>
      </c>
      <c r="U248" s="29"/>
      <c r="V248" s="30"/>
      <c r="W248" s="30"/>
      <c r="X248" s="30"/>
      <c r="Y248" s="30"/>
      <c r="Z248" s="30"/>
      <c r="AA248" s="30"/>
      <c r="AB248" s="29"/>
      <c r="AC248" s="29"/>
      <c r="AD248" s="37">
        <f t="shared" si="48"/>
        <v>27760</v>
      </c>
      <c r="AE248" s="3" t="str">
        <f t="shared" ca="1" si="46"/>
        <v>50 Tahun 8 bulan 0 Hari</v>
      </c>
      <c r="AF248" s="38">
        <f t="shared" si="49"/>
        <v>49706</v>
      </c>
    </row>
    <row r="249" spans="1:32" s="7" customFormat="1" ht="39" customHeight="1" x14ac:dyDescent="0.35">
      <c r="A249" s="26">
        <f t="shared" si="51"/>
        <v>232</v>
      </c>
      <c r="B249" s="4" t="s">
        <v>756</v>
      </c>
      <c r="C249" s="26"/>
      <c r="D249" s="50" t="s">
        <v>773</v>
      </c>
      <c r="E249" s="51" t="s">
        <v>786</v>
      </c>
      <c r="F249" s="24" t="s">
        <v>43</v>
      </c>
      <c r="G249" s="59" t="s">
        <v>787</v>
      </c>
      <c r="H249" s="4" t="s">
        <v>788</v>
      </c>
      <c r="I249" s="33" t="s">
        <v>86</v>
      </c>
      <c r="J249" s="81" t="s">
        <v>87</v>
      </c>
      <c r="K249" s="3" t="str">
        <f t="shared" ca="1" si="43"/>
        <v xml:space="preserve">4 Tahun 8 bulan </v>
      </c>
      <c r="L249" s="30" t="s">
        <v>88</v>
      </c>
      <c r="M249" s="81" t="s">
        <v>87</v>
      </c>
      <c r="N249" s="3" t="str">
        <f t="shared" ca="1" si="44"/>
        <v xml:space="preserve">4 Tahun 8 bulan </v>
      </c>
      <c r="O249" s="4"/>
      <c r="P249" s="4" t="s">
        <v>35</v>
      </c>
      <c r="Q249" s="4" t="str">
        <f t="shared" si="45"/>
        <v>Perempuan</v>
      </c>
      <c r="R249" s="4">
        <f t="shared" si="52"/>
        <v>1</v>
      </c>
      <c r="S249" s="4" t="str">
        <f t="shared" si="55"/>
        <v>1</v>
      </c>
      <c r="T249" s="4">
        <f t="shared" si="53"/>
        <v>0</v>
      </c>
      <c r="U249" s="29"/>
      <c r="V249" s="30"/>
      <c r="W249" s="30"/>
      <c r="X249" s="30"/>
      <c r="Y249" s="30"/>
      <c r="Z249" s="30"/>
      <c r="AA249" s="30"/>
      <c r="AB249" s="29"/>
      <c r="AC249" s="29"/>
      <c r="AD249" s="37">
        <f t="shared" si="48"/>
        <v>26790</v>
      </c>
      <c r="AE249" s="3" t="str">
        <f t="shared" ca="1" si="46"/>
        <v>53 Tahun 3 bulan 26 Hari</v>
      </c>
      <c r="AF249" s="38">
        <f t="shared" si="49"/>
        <v>48731</v>
      </c>
    </row>
    <row r="250" spans="1:32" s="7" customFormat="1" ht="36.75" customHeight="1" x14ac:dyDescent="0.35">
      <c r="A250" s="26">
        <f t="shared" si="51"/>
        <v>233</v>
      </c>
      <c r="B250" s="4" t="s">
        <v>756</v>
      </c>
      <c r="C250" s="26"/>
      <c r="D250" s="50" t="s">
        <v>773</v>
      </c>
      <c r="E250" s="45" t="s">
        <v>789</v>
      </c>
      <c r="F250" s="24" t="s">
        <v>43</v>
      </c>
      <c r="G250" s="44" t="s">
        <v>790</v>
      </c>
      <c r="H250" s="4" t="s">
        <v>788</v>
      </c>
      <c r="I250" s="33" t="s">
        <v>86</v>
      </c>
      <c r="J250" s="81" t="s">
        <v>87</v>
      </c>
      <c r="K250" s="3" t="str">
        <f t="shared" ca="1" si="43"/>
        <v xml:space="preserve">4 Tahun 8 bulan </v>
      </c>
      <c r="L250" s="30" t="s">
        <v>88</v>
      </c>
      <c r="M250" s="81" t="s">
        <v>87</v>
      </c>
      <c r="N250" s="3" t="str">
        <f t="shared" ca="1" si="44"/>
        <v xml:space="preserve">4 Tahun 8 bulan </v>
      </c>
      <c r="O250" s="4"/>
      <c r="P250" s="4" t="s">
        <v>35</v>
      </c>
      <c r="Q250" s="4" t="str">
        <f t="shared" si="45"/>
        <v>Perempuan</v>
      </c>
      <c r="R250" s="4">
        <f t="shared" si="52"/>
        <v>1</v>
      </c>
      <c r="S250" s="4" t="str">
        <f t="shared" si="55"/>
        <v>1</v>
      </c>
      <c r="T250" s="4">
        <f t="shared" si="53"/>
        <v>0</v>
      </c>
      <c r="U250" s="29"/>
      <c r="V250" s="30" t="s">
        <v>50</v>
      </c>
      <c r="W250" s="30"/>
      <c r="X250" s="30"/>
      <c r="Y250" s="30"/>
      <c r="Z250" s="30"/>
      <c r="AA250" s="30"/>
      <c r="AB250" s="29"/>
      <c r="AC250" s="29"/>
      <c r="AD250" s="37">
        <f t="shared" si="48"/>
        <v>29469</v>
      </c>
      <c r="AE250" s="3" t="str">
        <f t="shared" ca="1" si="46"/>
        <v>45 Tahun 11 bulan 27 Hari</v>
      </c>
      <c r="AF250" s="38">
        <f t="shared" si="49"/>
        <v>51410</v>
      </c>
    </row>
    <row r="251" spans="1:32" s="7" customFormat="1" ht="30" x14ac:dyDescent="0.35">
      <c r="A251" s="26">
        <f t="shared" si="51"/>
        <v>234</v>
      </c>
      <c r="B251" s="4" t="s">
        <v>756</v>
      </c>
      <c r="C251" s="26"/>
      <c r="D251" s="50" t="s">
        <v>773</v>
      </c>
      <c r="E251" s="24" t="s">
        <v>108</v>
      </c>
      <c r="F251" s="24"/>
      <c r="G251" s="3"/>
      <c r="H251" s="4"/>
      <c r="I251" s="41"/>
      <c r="J251" s="84"/>
      <c r="K251" s="3" t="str">
        <f t="shared" ca="1" si="43"/>
        <v/>
      </c>
      <c r="L251" s="30" t="s">
        <v>88</v>
      </c>
      <c r="M251" s="84"/>
      <c r="N251" s="3" t="str">
        <f t="shared" ca="1" si="44"/>
        <v/>
      </c>
      <c r="O251" s="4"/>
      <c r="P251" s="4"/>
      <c r="Q251" s="4" t="str">
        <f t="shared" si="45"/>
        <v/>
      </c>
      <c r="R251" s="4">
        <f t="shared" si="52"/>
        <v>1</v>
      </c>
      <c r="S251" s="4" t="str">
        <f t="shared" si="55"/>
        <v>0</v>
      </c>
      <c r="T251" s="4">
        <f t="shared" si="53"/>
        <v>1</v>
      </c>
      <c r="U251" s="29"/>
      <c r="V251" s="30"/>
      <c r="W251" s="30"/>
      <c r="X251" s="30"/>
      <c r="Y251" s="30"/>
      <c r="Z251" s="30"/>
      <c r="AA251" s="30"/>
      <c r="AB251" s="29"/>
      <c r="AC251" s="29"/>
      <c r="AD251" s="37" t="str">
        <f t="shared" si="48"/>
        <v/>
      </c>
      <c r="AE251" s="3" t="str">
        <f t="shared" ca="1" si="46"/>
        <v/>
      </c>
      <c r="AF251" s="38" t="str">
        <f t="shared" si="49"/>
        <v/>
      </c>
    </row>
    <row r="252" spans="1:32" s="7" customFormat="1" ht="40.5" customHeight="1" x14ac:dyDescent="0.35">
      <c r="A252" s="26">
        <f t="shared" si="51"/>
        <v>235</v>
      </c>
      <c r="B252" s="32" t="s">
        <v>756</v>
      </c>
      <c r="C252" s="256" t="s">
        <v>791</v>
      </c>
      <c r="D252" s="257"/>
      <c r="E252" s="24" t="s">
        <v>792</v>
      </c>
      <c r="F252" s="24" t="s">
        <v>43</v>
      </c>
      <c r="G252" s="3" t="s">
        <v>793</v>
      </c>
      <c r="H252" s="4" t="s">
        <v>794</v>
      </c>
      <c r="I252" s="33" t="s">
        <v>118</v>
      </c>
      <c r="J252" s="81" t="s">
        <v>237</v>
      </c>
      <c r="K252" s="3" t="str">
        <f t="shared" ca="1" si="43"/>
        <v xml:space="preserve">4 Tahun 7 bulan </v>
      </c>
      <c r="L252" s="30" t="s">
        <v>346</v>
      </c>
      <c r="M252" s="81" t="s">
        <v>237</v>
      </c>
      <c r="N252" s="3" t="str">
        <f t="shared" ca="1" si="44"/>
        <v xml:space="preserve">4 Tahun 7 bulan </v>
      </c>
      <c r="O252" s="4"/>
      <c r="P252" s="4" t="s">
        <v>35</v>
      </c>
      <c r="Q252" s="4" t="str">
        <f t="shared" si="45"/>
        <v>Laki-Laki</v>
      </c>
      <c r="R252" s="4">
        <f t="shared" si="52"/>
        <v>1</v>
      </c>
      <c r="S252" s="4" t="str">
        <f t="shared" si="55"/>
        <v>1</v>
      </c>
      <c r="T252" s="4">
        <f t="shared" si="53"/>
        <v>0</v>
      </c>
      <c r="U252" s="29"/>
      <c r="V252" s="30" t="s">
        <v>50</v>
      </c>
      <c r="W252" s="30"/>
      <c r="X252" s="30"/>
      <c r="Y252" s="30"/>
      <c r="Z252" s="30"/>
      <c r="AA252" s="30"/>
      <c r="AB252" s="29"/>
      <c r="AC252" s="29"/>
      <c r="AD252" s="37">
        <f t="shared" si="48"/>
        <v>25548</v>
      </c>
      <c r="AE252" s="3" t="str">
        <f t="shared" ca="1" si="46"/>
        <v>56 Tahun 8 bulan 21 Hari</v>
      </c>
      <c r="AF252" s="38">
        <f t="shared" si="49"/>
        <v>47484</v>
      </c>
    </row>
    <row r="253" spans="1:32" s="7" customFormat="1" ht="38.25" customHeight="1" x14ac:dyDescent="0.35">
      <c r="A253" s="26">
        <f t="shared" si="51"/>
        <v>236</v>
      </c>
      <c r="B253" s="4" t="s">
        <v>756</v>
      </c>
      <c r="C253" s="26"/>
      <c r="D253" s="50" t="s">
        <v>795</v>
      </c>
      <c r="E253" s="58" t="s">
        <v>108</v>
      </c>
      <c r="F253" s="58"/>
      <c r="G253" s="29"/>
      <c r="H253" s="29"/>
      <c r="I253" s="29"/>
      <c r="J253" s="88"/>
      <c r="K253" s="3" t="str">
        <f t="shared" ca="1" si="43"/>
        <v/>
      </c>
      <c r="L253" s="30" t="s">
        <v>88</v>
      </c>
      <c r="M253" s="88"/>
      <c r="N253" s="3" t="str">
        <f t="shared" ca="1" si="44"/>
        <v/>
      </c>
      <c r="O253" s="29"/>
      <c r="P253" s="29"/>
      <c r="Q253" s="4" t="str">
        <f t="shared" si="45"/>
        <v/>
      </c>
      <c r="R253" s="4">
        <f t="shared" si="52"/>
        <v>1</v>
      </c>
      <c r="S253" s="4" t="str">
        <f t="shared" si="55"/>
        <v>0</v>
      </c>
      <c r="T253" s="4">
        <f t="shared" si="53"/>
        <v>1</v>
      </c>
      <c r="U253" s="29"/>
      <c r="V253" s="30"/>
      <c r="W253" s="30"/>
      <c r="X253" s="30"/>
      <c r="Y253" s="30"/>
      <c r="Z253" s="30"/>
      <c r="AA253" s="30"/>
      <c r="AB253" s="29"/>
      <c r="AC253" s="29"/>
      <c r="AD253" s="37" t="str">
        <f t="shared" si="48"/>
        <v/>
      </c>
      <c r="AE253" s="3" t="str">
        <f t="shared" ca="1" si="46"/>
        <v/>
      </c>
      <c r="AF253" s="38" t="str">
        <f t="shared" si="49"/>
        <v/>
      </c>
    </row>
    <row r="254" spans="1:32" s="7" customFormat="1" ht="38.25" customHeight="1" x14ac:dyDescent="0.35">
      <c r="A254" s="26">
        <f t="shared" si="51"/>
        <v>237</v>
      </c>
      <c r="B254" s="4" t="s">
        <v>756</v>
      </c>
      <c r="C254" s="26"/>
      <c r="D254" s="50" t="s">
        <v>795</v>
      </c>
      <c r="E254" s="24" t="s">
        <v>796</v>
      </c>
      <c r="F254" s="24" t="s">
        <v>43</v>
      </c>
      <c r="G254" s="4" t="s">
        <v>797</v>
      </c>
      <c r="H254" s="4" t="s">
        <v>788</v>
      </c>
      <c r="I254" s="33" t="s">
        <v>86</v>
      </c>
      <c r="J254" s="81" t="s">
        <v>87</v>
      </c>
      <c r="K254" s="3" t="str">
        <f t="shared" ca="1" si="43"/>
        <v xml:space="preserve">4 Tahun 8 bulan </v>
      </c>
      <c r="L254" s="30" t="s">
        <v>88</v>
      </c>
      <c r="M254" s="81" t="s">
        <v>87</v>
      </c>
      <c r="N254" s="3" t="str">
        <f t="shared" ca="1" si="44"/>
        <v xml:space="preserve">4 Tahun 8 bulan </v>
      </c>
      <c r="O254" s="4"/>
      <c r="P254" s="4" t="s">
        <v>35</v>
      </c>
      <c r="Q254" s="4" t="str">
        <f t="shared" si="45"/>
        <v>Perempuan</v>
      </c>
      <c r="R254" s="4">
        <f t="shared" si="52"/>
        <v>1</v>
      </c>
      <c r="S254" s="4" t="str">
        <f t="shared" si="55"/>
        <v>1</v>
      </c>
      <c r="T254" s="4">
        <f t="shared" si="53"/>
        <v>0</v>
      </c>
      <c r="U254" s="29"/>
      <c r="V254" s="30"/>
      <c r="W254" s="30"/>
      <c r="X254" s="30"/>
      <c r="Y254" s="30"/>
      <c r="Z254" s="30"/>
      <c r="AA254" s="30"/>
      <c r="AB254" s="29"/>
      <c r="AC254" s="29"/>
      <c r="AD254" s="37">
        <f t="shared" si="48"/>
        <v>28255</v>
      </c>
      <c r="AE254" s="3" t="str">
        <f t="shared" ca="1" si="46"/>
        <v>49 Tahun 3 bulan 22 Hari</v>
      </c>
      <c r="AF254" s="38">
        <f t="shared" si="49"/>
        <v>50192</v>
      </c>
    </row>
    <row r="255" spans="1:32" s="7" customFormat="1" ht="38.25" customHeight="1" x14ac:dyDescent="0.35">
      <c r="A255" s="26">
        <f t="shared" si="51"/>
        <v>238</v>
      </c>
      <c r="B255" s="4" t="s">
        <v>756</v>
      </c>
      <c r="C255" s="26"/>
      <c r="D255" s="50" t="s">
        <v>795</v>
      </c>
      <c r="E255" s="51" t="s">
        <v>798</v>
      </c>
      <c r="F255" s="24" t="s">
        <v>43</v>
      </c>
      <c r="G255" s="59" t="s">
        <v>799</v>
      </c>
      <c r="H255" s="36" t="s">
        <v>800</v>
      </c>
      <c r="I255" s="33" t="s">
        <v>86</v>
      </c>
      <c r="J255" s="81" t="s">
        <v>87</v>
      </c>
      <c r="K255" s="3" t="str">
        <f t="shared" ca="1" si="43"/>
        <v xml:space="preserve">4 Tahun 8 bulan </v>
      </c>
      <c r="L255" s="30" t="s">
        <v>88</v>
      </c>
      <c r="M255" s="81" t="s">
        <v>87</v>
      </c>
      <c r="N255" s="3" t="str">
        <f t="shared" ca="1" si="44"/>
        <v xml:space="preserve">4 Tahun 8 bulan </v>
      </c>
      <c r="O255" s="4"/>
      <c r="P255" s="4" t="s">
        <v>35</v>
      </c>
      <c r="Q255" s="4" t="str">
        <f t="shared" si="45"/>
        <v>Perempuan</v>
      </c>
      <c r="R255" s="4">
        <f t="shared" si="52"/>
        <v>1</v>
      </c>
      <c r="S255" s="4" t="str">
        <f t="shared" si="55"/>
        <v>1</v>
      </c>
      <c r="T255" s="4">
        <f t="shared" si="53"/>
        <v>0</v>
      </c>
      <c r="U255" s="29"/>
      <c r="V255" s="30"/>
      <c r="W255" s="30"/>
      <c r="X255" s="30"/>
      <c r="Y255" s="30"/>
      <c r="Z255" s="30"/>
      <c r="AA255" s="30"/>
      <c r="AB255" s="29"/>
      <c r="AC255" s="29"/>
      <c r="AD255" s="37">
        <f t="shared" si="48"/>
        <v>31426</v>
      </c>
      <c r="AE255" s="3" t="str">
        <f t="shared" ca="1" si="46"/>
        <v>40 Tahun 7 bulan 18 Hari</v>
      </c>
      <c r="AF255" s="38">
        <f t="shared" si="49"/>
        <v>53359</v>
      </c>
    </row>
    <row r="256" spans="1:32" s="7" customFormat="1" ht="35.25" customHeight="1" x14ac:dyDescent="0.35">
      <c r="A256" s="26">
        <f t="shared" si="51"/>
        <v>239</v>
      </c>
      <c r="B256" s="32" t="s">
        <v>756</v>
      </c>
      <c r="C256" s="256" t="s">
        <v>801</v>
      </c>
      <c r="D256" s="257"/>
      <c r="E256" s="24" t="s">
        <v>802</v>
      </c>
      <c r="F256" s="24" t="s">
        <v>43</v>
      </c>
      <c r="G256" s="3" t="s">
        <v>803</v>
      </c>
      <c r="H256" s="4" t="s">
        <v>132</v>
      </c>
      <c r="I256" s="4" t="s">
        <v>804</v>
      </c>
      <c r="J256" s="5" t="s">
        <v>98</v>
      </c>
      <c r="K256" s="3" t="str">
        <f t="shared" ca="1" si="43"/>
        <v xml:space="preserve">3 Tahun 0 bulan </v>
      </c>
      <c r="L256" s="30" t="s">
        <v>346</v>
      </c>
      <c r="M256" s="5" t="s">
        <v>98</v>
      </c>
      <c r="N256" s="3" t="str">
        <f t="shared" ca="1" si="44"/>
        <v xml:space="preserve">3 Tahun 0 bulan </v>
      </c>
      <c r="O256" s="4"/>
      <c r="P256" s="4" t="s">
        <v>35</v>
      </c>
      <c r="Q256" s="4" t="str">
        <f t="shared" si="45"/>
        <v>Laki-Laki</v>
      </c>
      <c r="R256" s="4">
        <f t="shared" si="52"/>
        <v>1</v>
      </c>
      <c r="S256" s="4" t="str">
        <f t="shared" si="55"/>
        <v>1</v>
      </c>
      <c r="T256" s="4">
        <f t="shared" si="53"/>
        <v>0</v>
      </c>
      <c r="U256" s="29"/>
      <c r="V256" s="30" t="s">
        <v>50</v>
      </c>
      <c r="W256" s="30"/>
      <c r="X256" s="30"/>
      <c r="Y256" s="30"/>
      <c r="Z256" s="30"/>
      <c r="AA256" s="30"/>
      <c r="AB256" s="29"/>
      <c r="AC256" s="29"/>
      <c r="AD256" s="37">
        <f t="shared" si="48"/>
        <v>25890</v>
      </c>
      <c r="AE256" s="3" t="str">
        <f t="shared" ca="1" si="46"/>
        <v>55 Tahun 9 bulan 14 Hari</v>
      </c>
      <c r="AF256" s="38">
        <f t="shared" si="49"/>
        <v>47818</v>
      </c>
    </row>
    <row r="257" spans="1:32" s="7" customFormat="1" ht="39.75" customHeight="1" x14ac:dyDescent="0.35">
      <c r="A257" s="26">
        <f t="shared" si="51"/>
        <v>240</v>
      </c>
      <c r="B257" s="4" t="s">
        <v>756</v>
      </c>
      <c r="C257" s="26"/>
      <c r="D257" s="50" t="s">
        <v>795</v>
      </c>
      <c r="E257" s="45" t="s">
        <v>108</v>
      </c>
      <c r="F257" s="45"/>
      <c r="G257" s="44"/>
      <c r="H257" s="4"/>
      <c r="I257" s="33"/>
      <c r="J257" s="84"/>
      <c r="K257" s="3" t="str">
        <f t="shared" ca="1" si="43"/>
        <v/>
      </c>
      <c r="L257" s="30" t="s">
        <v>88</v>
      </c>
      <c r="M257" s="84"/>
      <c r="N257" s="3" t="str">
        <f t="shared" ca="1" si="44"/>
        <v/>
      </c>
      <c r="O257" s="4"/>
      <c r="P257" s="4"/>
      <c r="Q257" s="4" t="str">
        <f t="shared" si="45"/>
        <v/>
      </c>
      <c r="R257" s="4">
        <f t="shared" si="52"/>
        <v>1</v>
      </c>
      <c r="S257" s="4" t="str">
        <f t="shared" si="55"/>
        <v>0</v>
      </c>
      <c r="T257" s="4">
        <f t="shared" si="53"/>
        <v>1</v>
      </c>
      <c r="U257" s="29"/>
      <c r="V257" s="30"/>
      <c r="W257" s="30"/>
      <c r="X257" s="30"/>
      <c r="Y257" s="30"/>
      <c r="Z257" s="30"/>
      <c r="AA257" s="30"/>
      <c r="AB257" s="29"/>
      <c r="AC257" s="29"/>
      <c r="AD257" s="37" t="str">
        <f t="shared" si="48"/>
        <v/>
      </c>
      <c r="AE257" s="3" t="str">
        <f t="shared" ca="1" si="46"/>
        <v/>
      </c>
      <c r="AF257" s="38" t="str">
        <f t="shared" si="49"/>
        <v/>
      </c>
    </row>
    <row r="258" spans="1:32" s="7" customFormat="1" ht="39" customHeight="1" x14ac:dyDescent="0.35">
      <c r="A258" s="26">
        <f t="shared" si="51"/>
        <v>241</v>
      </c>
      <c r="B258" s="4" t="s">
        <v>756</v>
      </c>
      <c r="C258" s="26"/>
      <c r="D258" s="50" t="s">
        <v>795</v>
      </c>
      <c r="E258" s="24" t="s">
        <v>108</v>
      </c>
      <c r="F258" s="24"/>
      <c r="G258" s="3"/>
      <c r="H258" s="4"/>
      <c r="I258" s="33"/>
      <c r="J258" s="49"/>
      <c r="K258" s="3" t="str">
        <f t="shared" ca="1" si="43"/>
        <v/>
      </c>
      <c r="L258" s="30" t="s">
        <v>88</v>
      </c>
      <c r="M258" s="49"/>
      <c r="N258" s="3" t="str">
        <f t="shared" ca="1" si="44"/>
        <v/>
      </c>
      <c r="O258" s="4"/>
      <c r="P258" s="4"/>
      <c r="Q258" s="4" t="str">
        <f t="shared" si="45"/>
        <v/>
      </c>
      <c r="R258" s="4">
        <f t="shared" si="52"/>
        <v>1</v>
      </c>
      <c r="S258" s="4" t="str">
        <f t="shared" si="55"/>
        <v>0</v>
      </c>
      <c r="T258" s="4">
        <f t="shared" si="53"/>
        <v>1</v>
      </c>
      <c r="U258" s="29"/>
      <c r="V258" s="30"/>
      <c r="W258" s="30"/>
      <c r="X258" s="30"/>
      <c r="Y258" s="30"/>
      <c r="Z258" s="30"/>
      <c r="AA258" s="30"/>
      <c r="AB258" s="29"/>
      <c r="AC258" s="29"/>
      <c r="AD258" s="37" t="str">
        <f t="shared" si="48"/>
        <v/>
      </c>
      <c r="AE258" s="3" t="str">
        <f t="shared" ca="1" si="46"/>
        <v/>
      </c>
      <c r="AF258" s="38" t="str">
        <f t="shared" si="49"/>
        <v/>
      </c>
    </row>
    <row r="259" spans="1:32" s="7" customFormat="1" ht="37.5" customHeight="1" x14ac:dyDescent="0.35">
      <c r="A259" s="26">
        <f t="shared" si="51"/>
        <v>242</v>
      </c>
      <c r="B259" s="4" t="s">
        <v>756</v>
      </c>
      <c r="C259" s="26"/>
      <c r="D259" s="50" t="s">
        <v>795</v>
      </c>
      <c r="E259" s="24" t="s">
        <v>805</v>
      </c>
      <c r="F259" s="24" t="s">
        <v>43</v>
      </c>
      <c r="G259" s="3" t="s">
        <v>806</v>
      </c>
      <c r="H259" s="4" t="s">
        <v>345</v>
      </c>
      <c r="I259" s="36" t="s">
        <v>86</v>
      </c>
      <c r="J259" s="81" t="s">
        <v>87</v>
      </c>
      <c r="K259" s="3" t="str">
        <f t="shared" ca="1" si="43"/>
        <v xml:space="preserve">4 Tahun 8 bulan </v>
      </c>
      <c r="L259" s="30" t="s">
        <v>88</v>
      </c>
      <c r="M259" s="81" t="s">
        <v>87</v>
      </c>
      <c r="N259" s="3" t="str">
        <f t="shared" ca="1" si="44"/>
        <v xml:space="preserve">4 Tahun 8 bulan </v>
      </c>
      <c r="O259" s="4"/>
      <c r="P259" s="4" t="s">
        <v>35</v>
      </c>
      <c r="Q259" s="4" t="str">
        <f t="shared" si="45"/>
        <v>Perempuan</v>
      </c>
      <c r="R259" s="4">
        <f t="shared" si="52"/>
        <v>1</v>
      </c>
      <c r="S259" s="4" t="str">
        <f t="shared" si="55"/>
        <v>1</v>
      </c>
      <c r="T259" s="4">
        <f t="shared" si="53"/>
        <v>0</v>
      </c>
      <c r="U259" s="29"/>
      <c r="V259" s="30"/>
      <c r="W259" s="30"/>
      <c r="X259" s="30"/>
      <c r="Y259" s="30"/>
      <c r="Z259" s="30"/>
      <c r="AA259" s="30"/>
      <c r="AB259" s="29"/>
      <c r="AC259" s="29"/>
      <c r="AD259" s="37">
        <f t="shared" si="48"/>
        <v>28838</v>
      </c>
      <c r="AE259" s="3" t="str">
        <f t="shared" ca="1" si="46"/>
        <v>47 Tahun 8 bulan 18 Hari</v>
      </c>
      <c r="AF259" s="38">
        <f t="shared" si="49"/>
        <v>50771</v>
      </c>
    </row>
    <row r="260" spans="1:32" s="7" customFormat="1" ht="32.15" customHeight="1" x14ac:dyDescent="0.35">
      <c r="A260" s="26"/>
      <c r="B260" s="27" t="s">
        <v>807</v>
      </c>
      <c r="C260" s="280" t="s">
        <v>808</v>
      </c>
      <c r="D260" s="281"/>
      <c r="E260" s="24"/>
      <c r="F260" s="24"/>
      <c r="G260" s="4"/>
      <c r="H260" s="4"/>
      <c r="I260" s="33"/>
      <c r="J260" s="5"/>
      <c r="K260" s="3" t="str">
        <f t="shared" ca="1" si="43"/>
        <v/>
      </c>
      <c r="L260" s="30"/>
      <c r="M260" s="5"/>
      <c r="N260" s="3" t="str">
        <f t="shared" ca="1" si="44"/>
        <v/>
      </c>
      <c r="O260" s="4"/>
      <c r="P260" s="4"/>
      <c r="Q260" s="4"/>
      <c r="R260" s="4"/>
      <c r="S260" s="4"/>
      <c r="T260" s="4"/>
      <c r="U260" s="29"/>
      <c r="V260" s="30"/>
      <c r="W260" s="30"/>
      <c r="X260" s="30"/>
      <c r="Y260" s="30"/>
      <c r="Z260" s="30"/>
      <c r="AA260" s="30"/>
      <c r="AB260" s="29"/>
      <c r="AC260" s="29"/>
      <c r="AD260" s="37" t="str">
        <f t="shared" si="48"/>
        <v/>
      </c>
      <c r="AE260" s="3" t="str">
        <f t="shared" ca="1" si="46"/>
        <v/>
      </c>
      <c r="AF260" s="38" t="str">
        <f t="shared" si="49"/>
        <v/>
      </c>
    </row>
    <row r="261" spans="1:32" s="7" customFormat="1" ht="32.15" customHeight="1" x14ac:dyDescent="0.35">
      <c r="A261" s="26">
        <f>A259+1</f>
        <v>243</v>
      </c>
      <c r="B261" s="27" t="s">
        <v>807</v>
      </c>
      <c r="C261" s="278" t="s">
        <v>809</v>
      </c>
      <c r="D261" s="279"/>
      <c r="E261" s="24" t="s">
        <v>810</v>
      </c>
      <c r="F261" s="24" t="s">
        <v>43</v>
      </c>
      <c r="G261" s="3" t="s">
        <v>811</v>
      </c>
      <c r="H261" s="56" t="s">
        <v>812</v>
      </c>
      <c r="I261" s="33" t="s">
        <v>813</v>
      </c>
      <c r="J261" s="81" t="s">
        <v>680</v>
      </c>
      <c r="K261" s="3" t="str">
        <f t="shared" ca="1" si="43"/>
        <v xml:space="preserve">4 Tahun 9 bulan </v>
      </c>
      <c r="L261" s="30" t="s">
        <v>56</v>
      </c>
      <c r="M261" s="81" t="s">
        <v>680</v>
      </c>
      <c r="N261" s="3" t="str">
        <f t="shared" ca="1" si="44"/>
        <v xml:space="preserve">4 Tahun 9 bulan </v>
      </c>
      <c r="O261" s="4"/>
      <c r="P261" s="4" t="s">
        <v>35</v>
      </c>
      <c r="Q261" s="4" t="str">
        <f t="shared" si="45"/>
        <v>Laki-Laki</v>
      </c>
      <c r="R261" s="4">
        <f>R259</f>
        <v>1</v>
      </c>
      <c r="S261" s="4" t="str">
        <f t="shared" ref="S261:S281" si="56">IF(E261="LOWONG","0","1")</f>
        <v>1</v>
      </c>
      <c r="T261" s="4">
        <f t="shared" si="53"/>
        <v>0</v>
      </c>
      <c r="U261" s="29"/>
      <c r="V261" s="30" t="s">
        <v>50</v>
      </c>
      <c r="W261" s="30"/>
      <c r="X261" s="30"/>
      <c r="Y261" s="30"/>
      <c r="Z261" s="30"/>
      <c r="AA261" s="30"/>
      <c r="AB261" s="29"/>
      <c r="AC261" s="29"/>
      <c r="AD261" s="37">
        <f t="shared" si="48"/>
        <v>27585</v>
      </c>
      <c r="AE261" s="3" t="str">
        <f t="shared" ca="1" si="46"/>
        <v>51 Tahun 1 bulan 22 Hari</v>
      </c>
      <c r="AF261" s="38">
        <f t="shared" si="49"/>
        <v>49522</v>
      </c>
    </row>
    <row r="262" spans="1:32" s="7" customFormat="1" ht="32.15" customHeight="1" x14ac:dyDescent="0.35">
      <c r="A262" s="26">
        <f t="shared" si="51"/>
        <v>244</v>
      </c>
      <c r="B262" s="27" t="s">
        <v>807</v>
      </c>
      <c r="C262" s="256" t="s">
        <v>814</v>
      </c>
      <c r="D262" s="257"/>
      <c r="E262" s="24" t="s">
        <v>815</v>
      </c>
      <c r="F262" s="24" t="s">
        <v>43</v>
      </c>
      <c r="G262" s="3" t="s">
        <v>816</v>
      </c>
      <c r="H262" s="4" t="s">
        <v>66</v>
      </c>
      <c r="I262" s="4" t="s">
        <v>86</v>
      </c>
      <c r="J262" s="81" t="s">
        <v>237</v>
      </c>
      <c r="K262" s="3" t="str">
        <f t="shared" ca="1" si="43"/>
        <v xml:space="preserve">4 Tahun 7 bulan </v>
      </c>
      <c r="L262" s="30" t="s">
        <v>79</v>
      </c>
      <c r="M262" s="81" t="s">
        <v>237</v>
      </c>
      <c r="N262" s="3" t="str">
        <f t="shared" ca="1" si="44"/>
        <v xml:space="preserve">4 Tahun 7 bulan </v>
      </c>
      <c r="O262" s="4"/>
      <c r="P262" s="4" t="s">
        <v>35</v>
      </c>
      <c r="Q262" s="4" t="str">
        <f t="shared" si="45"/>
        <v>Laki-Laki</v>
      </c>
      <c r="R262" s="4">
        <f t="shared" si="52"/>
        <v>1</v>
      </c>
      <c r="S262" s="4" t="str">
        <f t="shared" si="56"/>
        <v>1</v>
      </c>
      <c r="T262" s="4">
        <f t="shared" si="53"/>
        <v>0</v>
      </c>
      <c r="U262" s="29"/>
      <c r="V262" s="30" t="s">
        <v>50</v>
      </c>
      <c r="W262" s="30"/>
      <c r="X262" s="30"/>
      <c r="Y262" s="30"/>
      <c r="Z262" s="30"/>
      <c r="AA262" s="30"/>
      <c r="AB262" s="29"/>
      <c r="AC262" s="29"/>
      <c r="AD262" s="37">
        <f t="shared" si="48"/>
        <v>27288</v>
      </c>
      <c r="AE262" s="3" t="str">
        <f t="shared" ca="1" si="46"/>
        <v>51 Tahun 11 bulan 16 Hari</v>
      </c>
      <c r="AF262" s="38">
        <f t="shared" si="49"/>
        <v>49218</v>
      </c>
    </row>
    <row r="263" spans="1:32" s="7" customFormat="1" ht="32.15" customHeight="1" x14ac:dyDescent="0.35">
      <c r="A263" s="26">
        <f t="shared" si="51"/>
        <v>245</v>
      </c>
      <c r="B263" s="27" t="s">
        <v>807</v>
      </c>
      <c r="C263" s="26"/>
      <c r="D263" s="50" t="s">
        <v>817</v>
      </c>
      <c r="E263" s="39" t="s">
        <v>818</v>
      </c>
      <c r="F263" s="24" t="s">
        <v>43</v>
      </c>
      <c r="G263" s="40" t="s">
        <v>819</v>
      </c>
      <c r="H263" s="4" t="s">
        <v>788</v>
      </c>
      <c r="I263" s="25" t="s">
        <v>86</v>
      </c>
      <c r="J263" s="47" t="s">
        <v>354</v>
      </c>
      <c r="K263" s="3" t="str">
        <f t="shared" ref="K263:K326" ca="1" si="57">IF(J263="","",CONCATENATE(DATEDIF(J263,NOW(),"Y")," Tahun ",DATEDIF(J263,NOW(),"YM")," bulan "))</f>
        <v xml:space="preserve">6 Tahun 9 bulan </v>
      </c>
      <c r="L263" s="30" t="s">
        <v>200</v>
      </c>
      <c r="M263" s="47" t="s">
        <v>354</v>
      </c>
      <c r="N263" s="3" t="str">
        <f t="shared" ref="N263:N326" ca="1" si="58">IF(M263="","",CONCATENATE(DATEDIF(M263,NOW(),"Y")," Tahun ",DATEDIF(M263,NOW(),"YM")," bulan "))</f>
        <v xml:space="preserve">6 Tahun 9 bulan </v>
      </c>
      <c r="O263" s="4"/>
      <c r="P263" s="4" t="s">
        <v>35</v>
      </c>
      <c r="Q263" s="4" t="str">
        <f t="shared" ref="Q263:Q326" si="59">CONCATENATE(IF(MID(G263,17,1)="1","Laki-Laki",IF(MID(G263,17,1)="2","Perempuan",)))</f>
        <v>Laki-Laki</v>
      </c>
      <c r="R263" s="4">
        <f t="shared" si="52"/>
        <v>1</v>
      </c>
      <c r="S263" s="4" t="str">
        <f t="shared" si="56"/>
        <v>1</v>
      </c>
      <c r="T263" s="4">
        <f t="shared" si="53"/>
        <v>0</v>
      </c>
      <c r="U263" s="29"/>
      <c r="V263" s="30" t="s">
        <v>50</v>
      </c>
      <c r="W263" s="30"/>
      <c r="X263" s="30"/>
      <c r="Y263" s="30"/>
      <c r="Z263" s="30"/>
      <c r="AA263" s="30"/>
      <c r="AB263" s="29"/>
      <c r="AC263" s="29"/>
      <c r="AD263" s="37">
        <f t="shared" si="48"/>
        <v>26857</v>
      </c>
      <c r="AE263" s="3" t="str">
        <f t="shared" ref="AE263:AE326" ca="1" si="60">IF(TRIM(AD263)="", "", CONCATENATE(DATEDIF(AD263,NOW(),"Y")," Tahun ",DATEDIF(AD263,NOW(),"YM")," bulan ",DATEDIF(AD263,NOW(),"MD")," Hari"))</f>
        <v>53 Tahun 1 bulan 20 Hari</v>
      </c>
      <c r="AF263" s="38">
        <f t="shared" si="49"/>
        <v>48792</v>
      </c>
    </row>
    <row r="264" spans="1:32" s="7" customFormat="1" ht="32.15" customHeight="1" x14ac:dyDescent="0.35">
      <c r="A264" s="26">
        <f t="shared" si="51"/>
        <v>246</v>
      </c>
      <c r="B264" s="27" t="s">
        <v>807</v>
      </c>
      <c r="C264" s="26"/>
      <c r="D264" s="50" t="s">
        <v>820</v>
      </c>
      <c r="E264" s="24" t="s">
        <v>821</v>
      </c>
      <c r="F264" s="24" t="s">
        <v>43</v>
      </c>
      <c r="G264" s="3" t="s">
        <v>822</v>
      </c>
      <c r="H264" s="4" t="s">
        <v>135</v>
      </c>
      <c r="I264" s="33" t="s">
        <v>67</v>
      </c>
      <c r="J264" s="47" t="s">
        <v>292</v>
      </c>
      <c r="K264" s="3" t="str">
        <f t="shared" ca="1" si="57"/>
        <v xml:space="preserve">7 Tahun 7 bulan </v>
      </c>
      <c r="L264" s="30" t="s">
        <v>200</v>
      </c>
      <c r="M264" s="47" t="s">
        <v>292</v>
      </c>
      <c r="N264" s="3" t="str">
        <f t="shared" ca="1" si="58"/>
        <v xml:space="preserve">7 Tahun 7 bulan </v>
      </c>
      <c r="O264" s="4"/>
      <c r="P264" s="4" t="s">
        <v>35</v>
      </c>
      <c r="Q264" s="4" t="str">
        <f t="shared" si="59"/>
        <v>Laki-Laki</v>
      </c>
      <c r="R264" s="4">
        <f t="shared" si="52"/>
        <v>1</v>
      </c>
      <c r="S264" s="4" t="str">
        <f t="shared" si="56"/>
        <v>1</v>
      </c>
      <c r="T264" s="4">
        <f t="shared" si="53"/>
        <v>0</v>
      </c>
      <c r="U264" s="29"/>
      <c r="V264" s="30" t="s">
        <v>50</v>
      </c>
      <c r="W264" s="30"/>
      <c r="X264" s="30"/>
      <c r="Y264" s="30"/>
      <c r="Z264" s="30"/>
      <c r="AA264" s="30"/>
      <c r="AB264" s="29"/>
      <c r="AC264" s="29"/>
      <c r="AD264" s="37">
        <f t="shared" ref="AD264:AD327" si="61">IF(TRIM(G264)="", "", DATE(LEFT(G264,4),MID(G264,5,2),MID(G264,7,2)))</f>
        <v>30848</v>
      </c>
      <c r="AE264" s="3" t="str">
        <f t="shared" ca="1" si="60"/>
        <v>42 Tahun 2 bulan 17 Hari</v>
      </c>
      <c r="AF264" s="38">
        <f t="shared" ref="AF264:AF327" si="62">IF(TRIM(AD264)="","",DATE(YEAR(AD264)+60,MONTH(AD264)+1,1))</f>
        <v>52779</v>
      </c>
    </row>
    <row r="265" spans="1:32" s="7" customFormat="1" ht="32.15" customHeight="1" x14ac:dyDescent="0.35">
      <c r="A265" s="26">
        <f t="shared" si="51"/>
        <v>247</v>
      </c>
      <c r="B265" s="27" t="s">
        <v>807</v>
      </c>
      <c r="C265" s="26"/>
      <c r="D265" s="50" t="s">
        <v>823</v>
      </c>
      <c r="E265" s="24" t="s">
        <v>824</v>
      </c>
      <c r="F265" s="24" t="s">
        <v>43</v>
      </c>
      <c r="G265" s="4" t="s">
        <v>825</v>
      </c>
      <c r="H265" s="4" t="s">
        <v>106</v>
      </c>
      <c r="I265" s="33" t="s">
        <v>826</v>
      </c>
      <c r="J265" s="81" t="s">
        <v>87</v>
      </c>
      <c r="K265" s="3" t="str">
        <f t="shared" ca="1" si="57"/>
        <v xml:space="preserve">4 Tahun 8 bulan </v>
      </c>
      <c r="L265" s="30" t="s">
        <v>88</v>
      </c>
      <c r="M265" s="81" t="s">
        <v>87</v>
      </c>
      <c r="N265" s="3" t="str">
        <f t="shared" ca="1" si="58"/>
        <v xml:space="preserve">4 Tahun 8 bulan </v>
      </c>
      <c r="O265" s="4"/>
      <c r="P265" s="4" t="s">
        <v>35</v>
      </c>
      <c r="Q265" s="4" t="str">
        <f t="shared" si="59"/>
        <v>Perempuan</v>
      </c>
      <c r="R265" s="4">
        <f t="shared" si="52"/>
        <v>1</v>
      </c>
      <c r="S265" s="4" t="str">
        <f t="shared" si="56"/>
        <v>1</v>
      </c>
      <c r="T265" s="4">
        <f t="shared" si="53"/>
        <v>0</v>
      </c>
      <c r="U265" s="29"/>
      <c r="V265" s="30"/>
      <c r="W265" s="30"/>
      <c r="X265" s="30"/>
      <c r="Y265" s="30"/>
      <c r="Z265" s="30"/>
      <c r="AA265" s="30"/>
      <c r="AB265" s="29"/>
      <c r="AC265" s="29"/>
      <c r="AD265" s="37">
        <f t="shared" si="61"/>
        <v>29592</v>
      </c>
      <c r="AE265" s="3" t="str">
        <f t="shared" ca="1" si="60"/>
        <v>45 Tahun 7 bulan 26 Hari</v>
      </c>
      <c r="AF265" s="38">
        <f t="shared" si="62"/>
        <v>51533</v>
      </c>
    </row>
    <row r="266" spans="1:32" s="7" customFormat="1" ht="32.15" customHeight="1" x14ac:dyDescent="0.35">
      <c r="A266" s="26">
        <f t="shared" si="51"/>
        <v>248</v>
      </c>
      <c r="B266" s="27" t="s">
        <v>807</v>
      </c>
      <c r="C266" s="256" t="s">
        <v>827</v>
      </c>
      <c r="D266" s="257"/>
      <c r="E266" s="24" t="s">
        <v>828</v>
      </c>
      <c r="F266" s="24" t="s">
        <v>43</v>
      </c>
      <c r="G266" s="3" t="s">
        <v>829</v>
      </c>
      <c r="H266" s="4" t="s">
        <v>830</v>
      </c>
      <c r="I266" s="4" t="s">
        <v>630</v>
      </c>
      <c r="J266" s="47" t="s">
        <v>292</v>
      </c>
      <c r="K266" s="3" t="str">
        <f t="shared" ca="1" si="57"/>
        <v xml:space="preserve">7 Tahun 7 bulan </v>
      </c>
      <c r="L266" s="30" t="s">
        <v>346</v>
      </c>
      <c r="M266" s="47" t="s">
        <v>292</v>
      </c>
      <c r="N266" s="3" t="str">
        <f t="shared" ca="1" si="58"/>
        <v xml:space="preserve">7 Tahun 7 bulan </v>
      </c>
      <c r="O266" s="4"/>
      <c r="P266" s="4" t="s">
        <v>35</v>
      </c>
      <c r="Q266" s="4" t="str">
        <f t="shared" si="59"/>
        <v>Laki-Laki</v>
      </c>
      <c r="R266" s="4">
        <f t="shared" si="52"/>
        <v>1</v>
      </c>
      <c r="S266" s="4" t="str">
        <f t="shared" si="56"/>
        <v>1</v>
      </c>
      <c r="T266" s="4">
        <f t="shared" si="53"/>
        <v>0</v>
      </c>
      <c r="U266" s="29"/>
      <c r="V266" s="30" t="s">
        <v>50</v>
      </c>
      <c r="W266" s="30"/>
      <c r="X266" s="30"/>
      <c r="Y266" s="30"/>
      <c r="Z266" s="30"/>
      <c r="AA266" s="30"/>
      <c r="AB266" s="29"/>
      <c r="AC266" s="29"/>
      <c r="AD266" s="37">
        <f t="shared" si="61"/>
        <v>28075</v>
      </c>
      <c r="AE266" s="3" t="str">
        <f t="shared" ca="1" si="60"/>
        <v>49 Tahun 9 bulan 21 Hari</v>
      </c>
      <c r="AF266" s="38">
        <f t="shared" si="62"/>
        <v>50010</v>
      </c>
    </row>
    <row r="267" spans="1:32" s="7" customFormat="1" ht="32.15" customHeight="1" x14ac:dyDescent="0.35">
      <c r="A267" s="26">
        <f t="shared" si="51"/>
        <v>249</v>
      </c>
      <c r="B267" s="27" t="s">
        <v>807</v>
      </c>
      <c r="C267" s="26"/>
      <c r="D267" s="50" t="s">
        <v>831</v>
      </c>
      <c r="E267" s="39" t="s">
        <v>832</v>
      </c>
      <c r="F267" s="24" t="s">
        <v>43</v>
      </c>
      <c r="G267" s="25" t="s">
        <v>833</v>
      </c>
      <c r="H267" s="4" t="s">
        <v>85</v>
      </c>
      <c r="I267" s="33" t="s">
        <v>834</v>
      </c>
      <c r="J267" s="81" t="s">
        <v>87</v>
      </c>
      <c r="K267" s="3" t="str">
        <f t="shared" ca="1" si="57"/>
        <v xml:space="preserve">4 Tahun 8 bulan </v>
      </c>
      <c r="L267" s="30" t="s">
        <v>88</v>
      </c>
      <c r="M267" s="81" t="s">
        <v>87</v>
      </c>
      <c r="N267" s="3" t="str">
        <f t="shared" ca="1" si="58"/>
        <v xml:space="preserve">4 Tahun 8 bulan </v>
      </c>
      <c r="O267" s="4"/>
      <c r="P267" s="4"/>
      <c r="Q267" s="4" t="str">
        <f t="shared" si="59"/>
        <v>Perempuan</v>
      </c>
      <c r="R267" s="4">
        <f t="shared" si="52"/>
        <v>1</v>
      </c>
      <c r="S267" s="4" t="str">
        <f t="shared" si="56"/>
        <v>1</v>
      </c>
      <c r="T267" s="4">
        <f t="shared" si="53"/>
        <v>0</v>
      </c>
      <c r="U267" s="29"/>
      <c r="V267" s="30"/>
      <c r="W267" s="30"/>
      <c r="X267" s="30"/>
      <c r="Y267" s="30"/>
      <c r="Z267" s="30"/>
      <c r="AA267" s="30"/>
      <c r="AB267" s="29"/>
      <c r="AC267" s="29"/>
      <c r="AD267" s="37">
        <f t="shared" si="61"/>
        <v>31608</v>
      </c>
      <c r="AE267" s="3" t="str">
        <f t="shared" ca="1" si="60"/>
        <v>40 Tahun 1 bulan 17 Hari</v>
      </c>
      <c r="AF267" s="38">
        <f t="shared" si="62"/>
        <v>53540</v>
      </c>
    </row>
    <row r="268" spans="1:32" s="7" customFormat="1" ht="32.15" customHeight="1" x14ac:dyDescent="0.35">
      <c r="A268" s="26">
        <f t="shared" si="51"/>
        <v>250</v>
      </c>
      <c r="B268" s="27" t="s">
        <v>807</v>
      </c>
      <c r="C268" s="26"/>
      <c r="D268" s="50" t="s">
        <v>831</v>
      </c>
      <c r="E268" s="24" t="s">
        <v>835</v>
      </c>
      <c r="F268" s="24" t="s">
        <v>43</v>
      </c>
      <c r="G268" s="3" t="s">
        <v>836</v>
      </c>
      <c r="H268" s="4" t="s">
        <v>837</v>
      </c>
      <c r="I268" s="41" t="s">
        <v>838</v>
      </c>
      <c r="J268" s="81" t="s">
        <v>87</v>
      </c>
      <c r="K268" s="3" t="str">
        <f t="shared" ca="1" si="57"/>
        <v xml:space="preserve">4 Tahun 8 bulan </v>
      </c>
      <c r="L268" s="30" t="s">
        <v>88</v>
      </c>
      <c r="M268" s="81" t="s">
        <v>87</v>
      </c>
      <c r="N268" s="3" t="str">
        <f t="shared" ca="1" si="58"/>
        <v xml:space="preserve">4 Tahun 8 bulan </v>
      </c>
      <c r="O268" s="4"/>
      <c r="P268" s="4" t="s">
        <v>35</v>
      </c>
      <c r="Q268" s="4" t="str">
        <f t="shared" si="59"/>
        <v>Laki-Laki</v>
      </c>
      <c r="R268" s="4">
        <f t="shared" si="52"/>
        <v>1</v>
      </c>
      <c r="S268" s="4" t="str">
        <f t="shared" si="56"/>
        <v>1</v>
      </c>
      <c r="T268" s="4">
        <f t="shared" si="53"/>
        <v>0</v>
      </c>
      <c r="U268" s="29"/>
      <c r="V268" s="30" t="s">
        <v>50</v>
      </c>
      <c r="W268" s="30"/>
      <c r="X268" s="30"/>
      <c r="Y268" s="30"/>
      <c r="Z268" s="30"/>
      <c r="AA268" s="30"/>
      <c r="AB268" s="29"/>
      <c r="AC268" s="29"/>
      <c r="AD268" s="37">
        <f t="shared" si="61"/>
        <v>29441</v>
      </c>
      <c r="AE268" s="3" t="str">
        <f t="shared" ca="1" si="60"/>
        <v>46 Tahun 0 bulan 24 Hari</v>
      </c>
      <c r="AF268" s="38">
        <f t="shared" si="62"/>
        <v>51380</v>
      </c>
    </row>
    <row r="269" spans="1:32" s="7" customFormat="1" ht="32.15" customHeight="1" x14ac:dyDescent="0.35">
      <c r="A269" s="26">
        <f t="shared" si="51"/>
        <v>251</v>
      </c>
      <c r="B269" s="27" t="s">
        <v>807</v>
      </c>
      <c r="C269" s="26"/>
      <c r="D269" s="50" t="s">
        <v>831</v>
      </c>
      <c r="E269" s="24" t="s">
        <v>839</v>
      </c>
      <c r="F269" s="24" t="s">
        <v>43</v>
      </c>
      <c r="G269" s="3" t="s">
        <v>840</v>
      </c>
      <c r="H269" s="4" t="s">
        <v>841</v>
      </c>
      <c r="I269" s="33" t="s">
        <v>842</v>
      </c>
      <c r="J269" s="81" t="s">
        <v>87</v>
      </c>
      <c r="K269" s="3" t="str">
        <f t="shared" ca="1" si="57"/>
        <v xml:space="preserve">4 Tahun 8 bulan </v>
      </c>
      <c r="L269" s="30" t="s">
        <v>88</v>
      </c>
      <c r="M269" s="81" t="s">
        <v>87</v>
      </c>
      <c r="N269" s="3" t="str">
        <f t="shared" ca="1" si="58"/>
        <v xml:space="preserve">4 Tahun 8 bulan </v>
      </c>
      <c r="O269" s="4"/>
      <c r="P269" s="4" t="s">
        <v>35</v>
      </c>
      <c r="Q269" s="4" t="str">
        <f t="shared" si="59"/>
        <v>Laki-Laki</v>
      </c>
      <c r="R269" s="4">
        <f t="shared" si="52"/>
        <v>1</v>
      </c>
      <c r="S269" s="4" t="str">
        <f t="shared" si="56"/>
        <v>1</v>
      </c>
      <c r="T269" s="4">
        <f t="shared" si="53"/>
        <v>0</v>
      </c>
      <c r="U269" s="29"/>
      <c r="V269" s="30" t="s">
        <v>50</v>
      </c>
      <c r="W269" s="30"/>
      <c r="X269" s="30"/>
      <c r="Y269" s="30"/>
      <c r="Z269" s="30"/>
      <c r="AA269" s="30"/>
      <c r="AB269" s="29"/>
      <c r="AC269" s="29"/>
      <c r="AD269" s="37">
        <f t="shared" si="61"/>
        <v>27672</v>
      </c>
      <c r="AE269" s="3" t="str">
        <f t="shared" ca="1" si="60"/>
        <v>50 Tahun 10 bulan 27 Hari</v>
      </c>
      <c r="AF269" s="38">
        <f t="shared" si="62"/>
        <v>49614</v>
      </c>
    </row>
    <row r="270" spans="1:32" s="7" customFormat="1" ht="32.15" customHeight="1" x14ac:dyDescent="0.35">
      <c r="A270" s="26">
        <f t="shared" si="51"/>
        <v>252</v>
      </c>
      <c r="B270" s="27" t="s">
        <v>807</v>
      </c>
      <c r="C270" s="256" t="s">
        <v>843</v>
      </c>
      <c r="D270" s="257"/>
      <c r="E270" s="24" t="s">
        <v>844</v>
      </c>
      <c r="F270" s="24" t="s">
        <v>43</v>
      </c>
      <c r="G270" s="3" t="s">
        <v>845</v>
      </c>
      <c r="H270" s="4" t="s">
        <v>846</v>
      </c>
      <c r="I270" s="33" t="s">
        <v>847</v>
      </c>
      <c r="J270" s="81" t="s">
        <v>237</v>
      </c>
      <c r="K270" s="3" t="str">
        <f t="shared" ca="1" si="57"/>
        <v xml:space="preserve">4 Tahun 7 bulan </v>
      </c>
      <c r="L270" s="30" t="s">
        <v>346</v>
      </c>
      <c r="M270" s="81" t="s">
        <v>237</v>
      </c>
      <c r="N270" s="3" t="str">
        <f t="shared" ca="1" si="58"/>
        <v xml:space="preserve">4 Tahun 7 bulan </v>
      </c>
      <c r="O270" s="36"/>
      <c r="P270" s="4" t="s">
        <v>35</v>
      </c>
      <c r="Q270" s="4" t="str">
        <f t="shared" si="59"/>
        <v>Laki-Laki</v>
      </c>
      <c r="R270" s="4">
        <f t="shared" si="52"/>
        <v>1</v>
      </c>
      <c r="S270" s="4" t="str">
        <f t="shared" si="56"/>
        <v>1</v>
      </c>
      <c r="T270" s="4">
        <f t="shared" si="53"/>
        <v>0</v>
      </c>
      <c r="U270" s="29"/>
      <c r="V270" s="30" t="s">
        <v>50</v>
      </c>
      <c r="W270" s="30"/>
      <c r="X270" s="30"/>
      <c r="Y270" s="30"/>
      <c r="Z270" s="30"/>
      <c r="AA270" s="30"/>
      <c r="AB270" s="29"/>
      <c r="AC270" s="29"/>
      <c r="AD270" s="37">
        <f t="shared" si="61"/>
        <v>26142</v>
      </c>
      <c r="AE270" s="3" t="str">
        <f t="shared" ca="1" si="60"/>
        <v>55 Tahun 1 bulan 4 Hari</v>
      </c>
      <c r="AF270" s="38">
        <f t="shared" si="62"/>
        <v>48061</v>
      </c>
    </row>
    <row r="271" spans="1:32" s="7" customFormat="1" ht="32.15" customHeight="1" x14ac:dyDescent="0.35">
      <c r="A271" s="26">
        <f t="shared" si="51"/>
        <v>253</v>
      </c>
      <c r="B271" s="27" t="s">
        <v>807</v>
      </c>
      <c r="C271" s="26"/>
      <c r="D271" s="50" t="s">
        <v>831</v>
      </c>
      <c r="E271" s="45" t="s">
        <v>108</v>
      </c>
      <c r="F271" s="45"/>
      <c r="G271" s="44"/>
      <c r="H271" s="4"/>
      <c r="I271" s="36"/>
      <c r="J271" s="81"/>
      <c r="K271" s="3" t="str">
        <f t="shared" ca="1" si="57"/>
        <v/>
      </c>
      <c r="L271" s="30" t="s">
        <v>88</v>
      </c>
      <c r="M271" s="81"/>
      <c r="N271" s="3" t="str">
        <f t="shared" ca="1" si="58"/>
        <v/>
      </c>
      <c r="O271" s="36"/>
      <c r="P271" s="4"/>
      <c r="Q271" s="4" t="str">
        <f t="shared" si="59"/>
        <v/>
      </c>
      <c r="R271" s="4">
        <f t="shared" si="52"/>
        <v>1</v>
      </c>
      <c r="S271" s="4" t="str">
        <f t="shared" si="56"/>
        <v>0</v>
      </c>
      <c r="T271" s="4">
        <f t="shared" si="53"/>
        <v>1</v>
      </c>
      <c r="U271" s="29"/>
      <c r="V271" s="30" t="s">
        <v>50</v>
      </c>
      <c r="W271" s="30"/>
      <c r="X271" s="30"/>
      <c r="Y271" s="30"/>
      <c r="Z271" s="30"/>
      <c r="AA271" s="30"/>
      <c r="AB271" s="29"/>
      <c r="AC271" s="29"/>
      <c r="AD271" s="37" t="str">
        <f t="shared" si="61"/>
        <v/>
      </c>
      <c r="AE271" s="3" t="str">
        <f t="shared" ca="1" si="60"/>
        <v/>
      </c>
      <c r="AF271" s="38" t="str">
        <f t="shared" si="62"/>
        <v/>
      </c>
    </row>
    <row r="272" spans="1:32" s="7" customFormat="1" ht="32.15" customHeight="1" x14ac:dyDescent="0.35">
      <c r="A272" s="26">
        <f t="shared" si="51"/>
        <v>254</v>
      </c>
      <c r="B272" s="27" t="s">
        <v>807</v>
      </c>
      <c r="C272" s="26"/>
      <c r="D272" s="50" t="s">
        <v>831</v>
      </c>
      <c r="E272" s="24" t="s">
        <v>850</v>
      </c>
      <c r="F272" s="24" t="s">
        <v>43</v>
      </c>
      <c r="G272" s="3" t="s">
        <v>851</v>
      </c>
      <c r="H272" s="4" t="s">
        <v>727</v>
      </c>
      <c r="I272" s="33" t="s">
        <v>67</v>
      </c>
      <c r="J272" s="81" t="s">
        <v>87</v>
      </c>
      <c r="K272" s="3" t="str">
        <f t="shared" ca="1" si="57"/>
        <v xml:space="preserve">4 Tahun 8 bulan </v>
      </c>
      <c r="L272" s="30" t="s">
        <v>88</v>
      </c>
      <c r="M272" s="81" t="s">
        <v>87</v>
      </c>
      <c r="N272" s="3" t="str">
        <f t="shared" ca="1" si="58"/>
        <v xml:space="preserve">4 Tahun 8 bulan </v>
      </c>
      <c r="O272" s="4"/>
      <c r="P272" s="4" t="s">
        <v>35</v>
      </c>
      <c r="Q272" s="4" t="str">
        <f t="shared" si="59"/>
        <v>Perempuan</v>
      </c>
      <c r="R272" s="4">
        <f t="shared" si="52"/>
        <v>1</v>
      </c>
      <c r="S272" s="4" t="str">
        <f t="shared" si="56"/>
        <v>1</v>
      </c>
      <c r="T272" s="4">
        <f t="shared" si="53"/>
        <v>0</v>
      </c>
      <c r="U272" s="29"/>
      <c r="V272" s="30"/>
      <c r="W272" s="30"/>
      <c r="X272" s="30"/>
      <c r="Y272" s="30"/>
      <c r="Z272" s="30"/>
      <c r="AA272" s="30"/>
      <c r="AB272" s="29"/>
      <c r="AC272" s="29"/>
      <c r="AD272" s="37">
        <f t="shared" si="61"/>
        <v>26201</v>
      </c>
      <c r="AE272" s="3" t="str">
        <f t="shared" ca="1" si="60"/>
        <v>54 Tahun 11 bulan 7 Hari</v>
      </c>
      <c r="AF272" s="38">
        <f t="shared" si="62"/>
        <v>48122</v>
      </c>
    </row>
    <row r="273" spans="1:33" ht="32.15" customHeight="1" x14ac:dyDescent="0.35">
      <c r="A273" s="26">
        <f t="shared" si="51"/>
        <v>255</v>
      </c>
      <c r="B273" s="27" t="s">
        <v>807</v>
      </c>
      <c r="C273" s="26"/>
      <c r="D273" s="50" t="s">
        <v>831</v>
      </c>
      <c r="E273" s="51" t="s">
        <v>852</v>
      </c>
      <c r="F273" s="24" t="s">
        <v>43</v>
      </c>
      <c r="G273" s="59" t="s">
        <v>853</v>
      </c>
      <c r="H273" s="4" t="s">
        <v>337</v>
      </c>
      <c r="I273" s="33" t="s">
        <v>86</v>
      </c>
      <c r="J273" s="81" t="s">
        <v>87</v>
      </c>
      <c r="K273" s="3" t="str">
        <f t="shared" ca="1" si="57"/>
        <v xml:space="preserve">4 Tahun 8 bulan </v>
      </c>
      <c r="L273" s="30" t="s">
        <v>88</v>
      </c>
      <c r="M273" s="81" t="s">
        <v>87</v>
      </c>
      <c r="N273" s="3" t="str">
        <f t="shared" ca="1" si="58"/>
        <v xml:space="preserve">4 Tahun 8 bulan </v>
      </c>
      <c r="O273" s="4"/>
      <c r="P273" s="4" t="s">
        <v>35</v>
      </c>
      <c r="Q273" s="4" t="str">
        <f t="shared" si="59"/>
        <v>Laki-Laki</v>
      </c>
      <c r="R273" s="4">
        <f t="shared" si="52"/>
        <v>1</v>
      </c>
      <c r="S273" s="4" t="str">
        <f t="shared" si="56"/>
        <v>1</v>
      </c>
      <c r="T273" s="4">
        <f t="shared" si="53"/>
        <v>0</v>
      </c>
      <c r="U273" s="29"/>
      <c r="V273" s="30" t="s">
        <v>50</v>
      </c>
      <c r="W273" s="30"/>
      <c r="X273" s="30"/>
      <c r="Y273" s="30"/>
      <c r="Z273" s="30"/>
      <c r="AA273" s="30"/>
      <c r="AB273" s="29"/>
      <c r="AC273" s="29"/>
      <c r="AD273" s="37">
        <f t="shared" si="61"/>
        <v>25880</v>
      </c>
      <c r="AE273" s="3" t="str">
        <f t="shared" ca="1" si="60"/>
        <v>55 Tahun 9 bulan 24 Hari</v>
      </c>
      <c r="AF273" s="38">
        <f t="shared" si="62"/>
        <v>47818</v>
      </c>
      <c r="AG273" s="7"/>
    </row>
    <row r="274" spans="1:33" ht="32.15" customHeight="1" x14ac:dyDescent="0.35">
      <c r="A274" s="26">
        <f t="shared" ref="A274:A337" si="63">A273+1</f>
        <v>256</v>
      </c>
      <c r="B274" s="27" t="s">
        <v>807</v>
      </c>
      <c r="C274" s="256" t="s">
        <v>854</v>
      </c>
      <c r="D274" s="257"/>
      <c r="E274" s="24" t="s">
        <v>855</v>
      </c>
      <c r="F274" s="24" t="s">
        <v>43</v>
      </c>
      <c r="G274" s="3" t="s">
        <v>856</v>
      </c>
      <c r="H274" s="4" t="s">
        <v>135</v>
      </c>
      <c r="I274" s="4" t="s">
        <v>86</v>
      </c>
      <c r="J274" s="47" t="s">
        <v>354</v>
      </c>
      <c r="K274" s="3" t="str">
        <f t="shared" ca="1" si="57"/>
        <v xml:space="preserve">6 Tahun 9 bulan </v>
      </c>
      <c r="L274" s="30" t="s">
        <v>346</v>
      </c>
      <c r="M274" s="47" t="s">
        <v>354</v>
      </c>
      <c r="N274" s="3" t="str">
        <f t="shared" ca="1" si="58"/>
        <v xml:space="preserve">6 Tahun 9 bulan </v>
      </c>
      <c r="O274" s="4"/>
      <c r="P274" s="4" t="s">
        <v>35</v>
      </c>
      <c r="Q274" s="4" t="str">
        <f t="shared" si="59"/>
        <v>Laki-Laki</v>
      </c>
      <c r="R274" s="4">
        <f t="shared" si="52"/>
        <v>1</v>
      </c>
      <c r="S274" s="4" t="str">
        <f t="shared" si="56"/>
        <v>1</v>
      </c>
      <c r="T274" s="4">
        <f t="shared" si="53"/>
        <v>0</v>
      </c>
      <c r="U274" s="29"/>
      <c r="V274" s="30" t="s">
        <v>50</v>
      </c>
      <c r="W274" s="30"/>
      <c r="X274" s="30"/>
      <c r="Y274" s="30"/>
      <c r="Z274" s="30"/>
      <c r="AA274" s="30"/>
      <c r="AB274" s="29"/>
      <c r="AC274" s="29"/>
      <c r="AD274" s="37">
        <f t="shared" si="61"/>
        <v>30064</v>
      </c>
      <c r="AE274" s="3" t="str">
        <f t="shared" ca="1" si="60"/>
        <v>44 Tahun 4 bulan 9 Hari</v>
      </c>
      <c r="AF274" s="38">
        <f t="shared" si="62"/>
        <v>51987</v>
      </c>
      <c r="AG274" s="7"/>
    </row>
    <row r="275" spans="1:33" ht="32.15" customHeight="1" x14ac:dyDescent="0.35">
      <c r="A275" s="26">
        <f t="shared" si="63"/>
        <v>257</v>
      </c>
      <c r="B275" s="27" t="s">
        <v>807</v>
      </c>
      <c r="C275" s="26"/>
      <c r="D275" s="50" t="s">
        <v>831</v>
      </c>
      <c r="E275" s="24" t="s">
        <v>857</v>
      </c>
      <c r="F275" s="24" t="s">
        <v>43</v>
      </c>
      <c r="G275" s="4" t="s">
        <v>858</v>
      </c>
      <c r="H275" s="4" t="s">
        <v>181</v>
      </c>
      <c r="I275" s="33" t="s">
        <v>859</v>
      </c>
      <c r="J275" s="81" t="s">
        <v>87</v>
      </c>
      <c r="K275" s="3" t="str">
        <f t="shared" ca="1" si="57"/>
        <v xml:space="preserve">4 Tahun 8 bulan </v>
      </c>
      <c r="L275" s="30" t="s">
        <v>88</v>
      </c>
      <c r="M275" s="81" t="s">
        <v>87</v>
      </c>
      <c r="N275" s="3" t="str">
        <f t="shared" ca="1" si="58"/>
        <v xml:space="preserve">4 Tahun 8 bulan </v>
      </c>
      <c r="O275" s="4"/>
      <c r="P275" s="4" t="s">
        <v>35</v>
      </c>
      <c r="Q275" s="4" t="str">
        <f t="shared" si="59"/>
        <v>Laki-Laki</v>
      </c>
      <c r="R275" s="4">
        <f t="shared" si="52"/>
        <v>1</v>
      </c>
      <c r="S275" s="4" t="str">
        <f t="shared" si="56"/>
        <v>1</v>
      </c>
      <c r="T275" s="4">
        <f t="shared" si="53"/>
        <v>0</v>
      </c>
      <c r="U275" s="29"/>
      <c r="V275" s="30" t="s">
        <v>50</v>
      </c>
      <c r="W275" s="30"/>
      <c r="X275" s="30"/>
      <c r="Y275" s="30"/>
      <c r="Z275" s="30"/>
      <c r="AA275" s="30"/>
      <c r="AB275" s="29"/>
      <c r="AC275" s="29"/>
      <c r="AD275" s="37">
        <f t="shared" si="61"/>
        <v>30154</v>
      </c>
      <c r="AE275" s="3" t="str">
        <f t="shared" ca="1" si="60"/>
        <v>44 Tahun 1 bulan 10 Hari</v>
      </c>
      <c r="AF275" s="38">
        <f t="shared" si="62"/>
        <v>52079</v>
      </c>
      <c r="AG275" s="7"/>
    </row>
    <row r="276" spans="1:33" ht="32.15" customHeight="1" x14ac:dyDescent="0.35">
      <c r="A276" s="26">
        <f t="shared" si="63"/>
        <v>258</v>
      </c>
      <c r="B276" s="27" t="s">
        <v>807</v>
      </c>
      <c r="C276" s="26"/>
      <c r="D276" s="50" t="s">
        <v>831</v>
      </c>
      <c r="E276" s="51" t="s">
        <v>860</v>
      </c>
      <c r="F276" s="24" t="s">
        <v>43</v>
      </c>
      <c r="G276" s="59" t="s">
        <v>861</v>
      </c>
      <c r="H276" s="4" t="s">
        <v>862</v>
      </c>
      <c r="I276" s="33" t="s">
        <v>67</v>
      </c>
      <c r="J276" s="81" t="s">
        <v>87</v>
      </c>
      <c r="K276" s="3" t="str">
        <f t="shared" ca="1" si="57"/>
        <v xml:space="preserve">4 Tahun 8 bulan </v>
      </c>
      <c r="L276" s="30" t="s">
        <v>88</v>
      </c>
      <c r="M276" s="81" t="s">
        <v>87</v>
      </c>
      <c r="N276" s="3" t="str">
        <f t="shared" ca="1" si="58"/>
        <v xml:space="preserve">4 Tahun 8 bulan </v>
      </c>
      <c r="O276" s="4" t="s">
        <v>863</v>
      </c>
      <c r="P276" s="4" t="s">
        <v>139</v>
      </c>
      <c r="Q276" s="4" t="s">
        <v>864</v>
      </c>
      <c r="R276" s="4">
        <f t="shared" si="52"/>
        <v>1</v>
      </c>
      <c r="S276" s="4" t="str">
        <f t="shared" si="56"/>
        <v>1</v>
      </c>
      <c r="T276" s="4">
        <f t="shared" si="53"/>
        <v>0</v>
      </c>
      <c r="U276" s="29"/>
      <c r="V276" s="30"/>
      <c r="W276" s="30"/>
      <c r="X276" s="30"/>
      <c r="Y276" s="30"/>
      <c r="Z276" s="30"/>
      <c r="AA276" s="30"/>
      <c r="AB276" s="29"/>
      <c r="AC276" s="29"/>
      <c r="AD276" s="37">
        <f t="shared" si="61"/>
        <v>26700</v>
      </c>
      <c r="AE276" s="3" t="str">
        <f t="shared" ca="1" si="60"/>
        <v>53 Tahun 6 bulan 27 Hari</v>
      </c>
      <c r="AF276" s="38">
        <f t="shared" si="62"/>
        <v>48639</v>
      </c>
      <c r="AG276" s="7"/>
    </row>
    <row r="277" spans="1:33" ht="32.15" customHeight="1" x14ac:dyDescent="0.35">
      <c r="A277" s="26">
        <f t="shared" si="63"/>
        <v>259</v>
      </c>
      <c r="B277" s="27" t="s">
        <v>807</v>
      </c>
      <c r="C277" s="26"/>
      <c r="D277" s="50" t="s">
        <v>831</v>
      </c>
      <c r="E277" s="39" t="s">
        <v>108</v>
      </c>
      <c r="F277" s="24"/>
      <c r="G277" s="40"/>
      <c r="H277" s="4"/>
      <c r="I277" s="25"/>
      <c r="J277" s="81"/>
      <c r="K277" s="3" t="str">
        <f t="shared" ca="1" si="57"/>
        <v/>
      </c>
      <c r="L277" s="30" t="s">
        <v>88</v>
      </c>
      <c r="M277" s="81"/>
      <c r="N277" s="3" t="str">
        <f t="shared" ca="1" si="58"/>
        <v/>
      </c>
      <c r="O277" s="35"/>
      <c r="P277" s="4"/>
      <c r="Q277" s="4" t="str">
        <f t="shared" si="59"/>
        <v/>
      </c>
      <c r="R277" s="4">
        <f t="shared" si="52"/>
        <v>1</v>
      </c>
      <c r="S277" s="4" t="str">
        <f t="shared" si="56"/>
        <v>0</v>
      </c>
      <c r="T277" s="4">
        <f t="shared" si="53"/>
        <v>1</v>
      </c>
      <c r="U277" s="29"/>
      <c r="V277" s="30"/>
      <c r="W277" s="30"/>
      <c r="X277" s="30"/>
      <c r="Y277" s="30"/>
      <c r="Z277" s="30"/>
      <c r="AA277" s="30"/>
      <c r="AB277" s="29"/>
      <c r="AC277" s="29"/>
      <c r="AD277" s="37" t="str">
        <f t="shared" si="61"/>
        <v/>
      </c>
      <c r="AE277" s="3" t="str">
        <f t="shared" ca="1" si="60"/>
        <v/>
      </c>
      <c r="AF277" s="38" t="str">
        <f t="shared" si="62"/>
        <v/>
      </c>
      <c r="AG277" s="7"/>
    </row>
    <row r="278" spans="1:33" ht="32.15" customHeight="1" x14ac:dyDescent="0.35">
      <c r="A278" s="26">
        <f t="shared" si="63"/>
        <v>260</v>
      </c>
      <c r="B278" s="27" t="s">
        <v>807</v>
      </c>
      <c r="C278" s="256" t="s">
        <v>865</v>
      </c>
      <c r="D278" s="257"/>
      <c r="E278" s="39" t="s">
        <v>866</v>
      </c>
      <c r="F278" s="24" t="s">
        <v>43</v>
      </c>
      <c r="G278" s="44" t="s">
        <v>2824</v>
      </c>
      <c r="H278" s="36" t="s">
        <v>231</v>
      </c>
      <c r="I278" s="4" t="s">
        <v>759</v>
      </c>
      <c r="J278" s="81">
        <v>45993</v>
      </c>
      <c r="K278" s="3" t="str">
        <f t="shared" ca="1" si="57"/>
        <v xml:space="preserve">0 Tahun 8 bulan </v>
      </c>
      <c r="L278" s="30" t="s">
        <v>346</v>
      </c>
      <c r="M278" s="47"/>
      <c r="N278" s="3" t="str">
        <f t="shared" ca="1" si="58"/>
        <v/>
      </c>
      <c r="O278" s="4"/>
      <c r="P278" s="4"/>
      <c r="Q278" s="4" t="str">
        <f t="shared" si="59"/>
        <v>Laki-Laki</v>
      </c>
      <c r="R278" s="4">
        <f t="shared" si="52"/>
        <v>1</v>
      </c>
      <c r="S278" s="4" t="str">
        <f t="shared" si="56"/>
        <v>1</v>
      </c>
      <c r="T278" s="4">
        <f t="shared" si="53"/>
        <v>0</v>
      </c>
      <c r="U278" s="29"/>
      <c r="V278" s="30"/>
      <c r="W278" s="30"/>
      <c r="X278" s="30"/>
      <c r="Y278" s="30"/>
      <c r="Z278" s="30"/>
      <c r="AA278" s="30"/>
      <c r="AB278" s="29"/>
      <c r="AC278" s="29"/>
      <c r="AD278" s="37">
        <f t="shared" si="61"/>
        <v>28710</v>
      </c>
      <c r="AE278" s="3" t="str">
        <f t="shared" ca="1" si="60"/>
        <v>48 Tahun 0 bulan 24 Hari</v>
      </c>
      <c r="AF278" s="38">
        <f t="shared" si="62"/>
        <v>50649</v>
      </c>
      <c r="AG278" s="7"/>
    </row>
    <row r="279" spans="1:33" ht="32.15" customHeight="1" x14ac:dyDescent="0.35">
      <c r="A279" s="26">
        <f t="shared" si="63"/>
        <v>261</v>
      </c>
      <c r="B279" s="27" t="s">
        <v>807</v>
      </c>
      <c r="C279" s="26"/>
      <c r="D279" s="50" t="s">
        <v>867</v>
      </c>
      <c r="E279" s="39" t="s">
        <v>868</v>
      </c>
      <c r="F279" s="24" t="s">
        <v>43</v>
      </c>
      <c r="G279" s="40" t="s">
        <v>869</v>
      </c>
      <c r="H279" s="4" t="s">
        <v>870</v>
      </c>
      <c r="I279" s="41" t="s">
        <v>441</v>
      </c>
      <c r="J279" s="81" t="s">
        <v>87</v>
      </c>
      <c r="K279" s="3" t="str">
        <f t="shared" ca="1" si="57"/>
        <v xml:space="preserve">4 Tahun 8 bulan </v>
      </c>
      <c r="L279" s="30" t="s">
        <v>88</v>
      </c>
      <c r="M279" s="81" t="s">
        <v>87</v>
      </c>
      <c r="N279" s="3" t="str">
        <f t="shared" ca="1" si="58"/>
        <v xml:space="preserve">4 Tahun 8 bulan </v>
      </c>
      <c r="O279" s="35"/>
      <c r="P279" s="4" t="s">
        <v>35</v>
      </c>
      <c r="Q279" s="4" t="str">
        <f t="shared" si="59"/>
        <v>Laki-Laki</v>
      </c>
      <c r="R279" s="4">
        <f t="shared" si="52"/>
        <v>1</v>
      </c>
      <c r="S279" s="4" t="str">
        <f t="shared" si="56"/>
        <v>1</v>
      </c>
      <c r="T279" s="4">
        <f t="shared" si="53"/>
        <v>0</v>
      </c>
      <c r="U279" s="29"/>
      <c r="V279" s="30" t="s">
        <v>50</v>
      </c>
      <c r="W279" s="30"/>
      <c r="X279" s="30"/>
      <c r="Y279" s="30"/>
      <c r="Z279" s="30"/>
      <c r="AA279" s="30"/>
      <c r="AB279" s="29"/>
      <c r="AC279" s="29"/>
      <c r="AD279" s="37">
        <f t="shared" si="61"/>
        <v>25851</v>
      </c>
      <c r="AE279" s="3" t="str">
        <f t="shared" ca="1" si="60"/>
        <v>55 Tahun 10 bulan 22 Hari</v>
      </c>
      <c r="AF279" s="38">
        <f t="shared" si="62"/>
        <v>47788</v>
      </c>
      <c r="AG279" s="7"/>
    </row>
    <row r="280" spans="1:33" ht="32.15" customHeight="1" x14ac:dyDescent="0.35">
      <c r="A280" s="26">
        <f t="shared" si="63"/>
        <v>262</v>
      </c>
      <c r="B280" s="27" t="s">
        <v>807</v>
      </c>
      <c r="C280" s="26"/>
      <c r="D280" s="50" t="s">
        <v>867</v>
      </c>
      <c r="E280" s="24" t="s">
        <v>871</v>
      </c>
      <c r="F280" s="24" t="s">
        <v>43</v>
      </c>
      <c r="G280" s="3" t="s">
        <v>872</v>
      </c>
      <c r="H280" s="4" t="s">
        <v>873</v>
      </c>
      <c r="I280" s="41" t="s">
        <v>46</v>
      </c>
      <c r="J280" s="81" t="s">
        <v>87</v>
      </c>
      <c r="K280" s="3" t="str">
        <f t="shared" ca="1" si="57"/>
        <v xml:space="preserve">4 Tahun 8 bulan </v>
      </c>
      <c r="L280" s="30" t="s">
        <v>88</v>
      </c>
      <c r="M280" s="81" t="s">
        <v>87</v>
      </c>
      <c r="N280" s="3" t="str">
        <f t="shared" ca="1" si="58"/>
        <v xml:space="preserve">4 Tahun 8 bulan </v>
      </c>
      <c r="O280" s="4"/>
      <c r="P280" s="4" t="s">
        <v>35</v>
      </c>
      <c r="Q280" s="4" t="str">
        <f t="shared" si="59"/>
        <v>Laki-Laki</v>
      </c>
      <c r="R280" s="4">
        <f t="shared" ref="R280:R281" si="64">R279</f>
        <v>1</v>
      </c>
      <c r="S280" s="4" t="str">
        <f t="shared" si="56"/>
        <v>1</v>
      </c>
      <c r="T280" s="4">
        <f t="shared" si="53"/>
        <v>0</v>
      </c>
      <c r="U280" s="29"/>
      <c r="V280" s="30" t="s">
        <v>50</v>
      </c>
      <c r="W280" s="30"/>
      <c r="X280" s="30"/>
      <c r="Y280" s="30"/>
      <c r="Z280" s="30"/>
      <c r="AA280" s="30"/>
      <c r="AB280" s="29"/>
      <c r="AC280" s="29"/>
      <c r="AD280" s="37">
        <f t="shared" si="61"/>
        <v>26919</v>
      </c>
      <c r="AE280" s="3" t="str">
        <f t="shared" ca="1" si="60"/>
        <v>52 Tahun 11 bulan 20 Hari</v>
      </c>
      <c r="AF280" s="38">
        <f t="shared" si="62"/>
        <v>48853</v>
      </c>
      <c r="AG280" s="7"/>
    </row>
    <row r="281" spans="1:33" ht="32.15" customHeight="1" x14ac:dyDescent="0.35">
      <c r="A281" s="26">
        <f t="shared" si="63"/>
        <v>263</v>
      </c>
      <c r="B281" s="27" t="s">
        <v>807</v>
      </c>
      <c r="C281" s="26"/>
      <c r="D281" s="50" t="s">
        <v>831</v>
      </c>
      <c r="E281" s="24" t="s">
        <v>108</v>
      </c>
      <c r="F281" s="24"/>
      <c r="G281" s="3"/>
      <c r="H281" s="4"/>
      <c r="I281" s="4"/>
      <c r="J281" s="81"/>
      <c r="K281" s="3" t="str">
        <f t="shared" ca="1" si="57"/>
        <v/>
      </c>
      <c r="L281" s="30" t="s">
        <v>88</v>
      </c>
      <c r="M281" s="81"/>
      <c r="N281" s="3" t="str">
        <f t="shared" ca="1" si="58"/>
        <v/>
      </c>
      <c r="O281" s="24"/>
      <c r="P281" s="4" t="s">
        <v>35</v>
      </c>
      <c r="Q281" s="4" t="str">
        <f t="shared" si="59"/>
        <v/>
      </c>
      <c r="R281" s="4">
        <f t="shared" si="64"/>
        <v>1</v>
      </c>
      <c r="S281" s="4" t="str">
        <f t="shared" si="56"/>
        <v>0</v>
      </c>
      <c r="T281" s="4">
        <f t="shared" si="53"/>
        <v>1</v>
      </c>
      <c r="U281" s="29"/>
      <c r="V281" s="30" t="s">
        <v>50</v>
      </c>
      <c r="W281" s="30"/>
      <c r="X281" s="30"/>
      <c r="Y281" s="30"/>
      <c r="Z281" s="30"/>
      <c r="AA281" s="30"/>
      <c r="AB281" s="29"/>
      <c r="AC281" s="29"/>
      <c r="AD281" s="37" t="str">
        <f t="shared" si="61"/>
        <v/>
      </c>
      <c r="AE281" s="3" t="str">
        <f t="shared" ca="1" si="60"/>
        <v/>
      </c>
      <c r="AF281" s="38" t="str">
        <f t="shared" si="62"/>
        <v/>
      </c>
    </row>
    <row r="282" spans="1:33" ht="32.15" customHeight="1" x14ac:dyDescent="0.35">
      <c r="A282" s="26"/>
      <c r="B282" s="27" t="s">
        <v>875</v>
      </c>
      <c r="C282" s="280" t="s">
        <v>876</v>
      </c>
      <c r="D282" s="281"/>
      <c r="E282" s="24"/>
      <c r="F282" s="24"/>
      <c r="G282" s="4"/>
      <c r="H282" s="4"/>
      <c r="I282" s="33"/>
      <c r="J282" s="5"/>
      <c r="K282" s="3" t="str">
        <f t="shared" ca="1" si="57"/>
        <v/>
      </c>
      <c r="L282" s="30"/>
      <c r="M282" s="5"/>
      <c r="N282" s="3" t="str">
        <f t="shared" ca="1" si="58"/>
        <v/>
      </c>
      <c r="O282" s="4"/>
      <c r="P282" s="4"/>
      <c r="Q282" s="4"/>
      <c r="R282" s="4"/>
      <c r="S282" s="4"/>
      <c r="T282" s="4"/>
      <c r="U282" s="29"/>
      <c r="V282" s="30"/>
      <c r="W282" s="30"/>
      <c r="X282" s="30"/>
      <c r="Y282" s="30"/>
      <c r="Z282" s="30"/>
      <c r="AA282" s="30"/>
      <c r="AB282" s="29"/>
      <c r="AC282" s="29"/>
      <c r="AD282" s="37" t="str">
        <f t="shared" si="61"/>
        <v/>
      </c>
      <c r="AE282" s="3" t="str">
        <f t="shared" ca="1" si="60"/>
        <v/>
      </c>
      <c r="AF282" s="38" t="str">
        <f t="shared" si="62"/>
        <v/>
      </c>
      <c r="AG282" s="7"/>
    </row>
    <row r="283" spans="1:33" ht="32.15" customHeight="1" x14ac:dyDescent="0.35">
      <c r="A283" s="26">
        <f>A281+1</f>
        <v>264</v>
      </c>
      <c r="B283" s="27" t="s">
        <v>875</v>
      </c>
      <c r="C283" s="278" t="s">
        <v>877</v>
      </c>
      <c r="D283" s="279"/>
      <c r="E283" s="39" t="s">
        <v>74</v>
      </c>
      <c r="F283" s="24" t="s">
        <v>71</v>
      </c>
      <c r="G283" s="40" t="s">
        <v>75</v>
      </c>
      <c r="H283" s="4" t="s">
        <v>76</v>
      </c>
      <c r="I283" s="25" t="s">
        <v>77</v>
      </c>
      <c r="J283" s="53">
        <v>46260</v>
      </c>
      <c r="K283" s="3" t="str">
        <f t="shared" ca="1" si="57"/>
        <v xml:space="preserve">0 Tahun 0 bulan </v>
      </c>
      <c r="L283" s="30" t="s">
        <v>56</v>
      </c>
      <c r="M283" s="212">
        <v>46260</v>
      </c>
      <c r="N283" s="3" t="str">
        <f t="shared" ca="1" si="58"/>
        <v xml:space="preserve">0 Tahun 0 bulan </v>
      </c>
      <c r="O283" s="89"/>
      <c r="P283" s="4" t="s">
        <v>35</v>
      </c>
      <c r="Q283" s="4" t="str">
        <f t="shared" si="59"/>
        <v>Laki-Laki</v>
      </c>
      <c r="R283" s="4">
        <f>R281</f>
        <v>1</v>
      </c>
      <c r="S283" s="4" t="str">
        <f t="shared" ref="S283:S296" si="65">IF(E283="LOWONG","0","1")</f>
        <v>1</v>
      </c>
      <c r="T283" s="4">
        <f t="shared" si="53"/>
        <v>0</v>
      </c>
      <c r="U283" s="29"/>
      <c r="V283" s="30" t="s">
        <v>50</v>
      </c>
      <c r="W283" s="30"/>
      <c r="X283" s="30"/>
      <c r="Y283" s="30"/>
      <c r="Z283" s="30"/>
      <c r="AA283" s="30"/>
      <c r="AB283" s="29"/>
      <c r="AC283" s="29"/>
      <c r="AD283" s="37">
        <f t="shared" si="61"/>
        <v>29829</v>
      </c>
      <c r="AE283" s="3" t="str">
        <f t="shared" ca="1" si="60"/>
        <v>45 Tahun 0 bulan 1 Hari</v>
      </c>
      <c r="AF283" s="38">
        <f t="shared" si="62"/>
        <v>51745</v>
      </c>
      <c r="AG283" s="7"/>
    </row>
    <row r="284" spans="1:33" ht="32.15" customHeight="1" x14ac:dyDescent="0.35">
      <c r="A284" s="26">
        <f t="shared" si="63"/>
        <v>265</v>
      </c>
      <c r="B284" s="27" t="s">
        <v>875</v>
      </c>
      <c r="C284" s="256" t="s">
        <v>881</v>
      </c>
      <c r="D284" s="257"/>
      <c r="E284" s="24" t="s">
        <v>882</v>
      </c>
      <c r="F284" s="24" t="s">
        <v>43</v>
      </c>
      <c r="G284" s="3" t="s">
        <v>883</v>
      </c>
      <c r="H284" s="4" t="s">
        <v>66</v>
      </c>
      <c r="I284" s="25" t="s">
        <v>46</v>
      </c>
      <c r="J284" s="47" t="s">
        <v>711</v>
      </c>
      <c r="K284" s="3" t="str">
        <f t="shared" ca="1" si="57"/>
        <v xml:space="preserve">4 Tahun 11 bulan </v>
      </c>
      <c r="L284" s="30" t="s">
        <v>79</v>
      </c>
      <c r="M284" s="47" t="s">
        <v>711</v>
      </c>
      <c r="N284" s="3" t="str">
        <f t="shared" ca="1" si="58"/>
        <v xml:space="preserve">4 Tahun 11 bulan </v>
      </c>
      <c r="O284" s="24"/>
      <c r="P284" s="4" t="s">
        <v>35</v>
      </c>
      <c r="Q284" s="4" t="str">
        <f t="shared" si="59"/>
        <v>Laki-Laki</v>
      </c>
      <c r="R284" s="4">
        <f t="shared" ref="R284:R347" si="66">R283</f>
        <v>1</v>
      </c>
      <c r="S284" s="4" t="str">
        <f t="shared" si="65"/>
        <v>1</v>
      </c>
      <c r="T284" s="4">
        <f t="shared" si="53"/>
        <v>0</v>
      </c>
      <c r="U284" s="29"/>
      <c r="V284" s="30" t="s">
        <v>50</v>
      </c>
      <c r="W284" s="30"/>
      <c r="X284" s="30"/>
      <c r="Y284" s="30"/>
      <c r="Z284" s="30"/>
      <c r="AA284" s="30"/>
      <c r="AB284" s="29"/>
      <c r="AC284" s="29"/>
      <c r="AD284" s="37">
        <f t="shared" si="61"/>
        <v>26025</v>
      </c>
      <c r="AE284" s="3" t="str">
        <f t="shared" ca="1" si="60"/>
        <v>55 Tahun 4 bulan 30 Hari</v>
      </c>
      <c r="AF284" s="38">
        <f t="shared" si="62"/>
        <v>47969</v>
      </c>
      <c r="AG284" s="7"/>
    </row>
    <row r="285" spans="1:33" ht="32.15" customHeight="1" x14ac:dyDescent="0.35">
      <c r="A285" s="26">
        <f t="shared" si="63"/>
        <v>266</v>
      </c>
      <c r="B285" s="27" t="s">
        <v>875</v>
      </c>
      <c r="C285" s="26"/>
      <c r="D285" s="50" t="s">
        <v>884</v>
      </c>
      <c r="E285" s="51" t="s">
        <v>885</v>
      </c>
      <c r="F285" s="24" t="s">
        <v>43</v>
      </c>
      <c r="G285" s="59" t="s">
        <v>886</v>
      </c>
      <c r="H285" s="4" t="s">
        <v>887</v>
      </c>
      <c r="I285" s="33" t="s">
        <v>86</v>
      </c>
      <c r="J285" s="47" t="s">
        <v>98</v>
      </c>
      <c r="K285" s="3" t="str">
        <f t="shared" ca="1" si="57"/>
        <v xml:space="preserve">3 Tahun 0 bulan </v>
      </c>
      <c r="L285" s="30" t="s">
        <v>200</v>
      </c>
      <c r="M285" s="47" t="s">
        <v>98</v>
      </c>
      <c r="N285" s="3" t="str">
        <f t="shared" ca="1" si="58"/>
        <v xml:space="preserve">3 Tahun 0 bulan </v>
      </c>
      <c r="O285" s="4"/>
      <c r="P285" s="4"/>
      <c r="Q285" s="4" t="str">
        <f t="shared" si="59"/>
        <v>Perempuan</v>
      </c>
      <c r="R285" s="4">
        <f t="shared" si="66"/>
        <v>1</v>
      </c>
      <c r="S285" s="4" t="str">
        <f t="shared" si="65"/>
        <v>1</v>
      </c>
      <c r="T285" s="4">
        <f t="shared" si="53"/>
        <v>0</v>
      </c>
      <c r="U285" s="29"/>
      <c r="V285" s="30"/>
      <c r="W285" s="30"/>
      <c r="X285" s="30"/>
      <c r="Y285" s="30"/>
      <c r="Z285" s="30"/>
      <c r="AA285" s="30"/>
      <c r="AB285" s="29"/>
      <c r="AC285" s="29"/>
      <c r="AD285" s="37">
        <f t="shared" si="61"/>
        <v>27397</v>
      </c>
      <c r="AE285" s="3" t="str">
        <f t="shared" ca="1" si="60"/>
        <v>51 Tahun 7 bulan 29 Hari</v>
      </c>
      <c r="AF285" s="38">
        <f t="shared" si="62"/>
        <v>49341</v>
      </c>
      <c r="AG285" s="7"/>
    </row>
    <row r="286" spans="1:33" ht="32.15" customHeight="1" x14ac:dyDescent="0.35">
      <c r="A286" s="26">
        <f t="shared" si="63"/>
        <v>267</v>
      </c>
      <c r="B286" s="27" t="s">
        <v>875</v>
      </c>
      <c r="C286" s="26"/>
      <c r="D286" s="50" t="s">
        <v>888</v>
      </c>
      <c r="E286" s="51" t="s">
        <v>889</v>
      </c>
      <c r="F286" s="24" t="s">
        <v>43</v>
      </c>
      <c r="G286" s="59" t="s">
        <v>890</v>
      </c>
      <c r="H286" s="4" t="s">
        <v>891</v>
      </c>
      <c r="I286" s="33" t="s">
        <v>86</v>
      </c>
      <c r="J286" s="47" t="s">
        <v>711</v>
      </c>
      <c r="K286" s="3" t="str">
        <f t="shared" ca="1" si="57"/>
        <v xml:space="preserve">4 Tahun 11 bulan </v>
      </c>
      <c r="L286" s="30" t="s">
        <v>200</v>
      </c>
      <c r="M286" s="47" t="s">
        <v>711</v>
      </c>
      <c r="N286" s="3" t="str">
        <f t="shared" ca="1" si="58"/>
        <v xml:space="preserve">4 Tahun 11 bulan </v>
      </c>
      <c r="O286" s="4"/>
      <c r="P286" s="4" t="s">
        <v>35</v>
      </c>
      <c r="Q286" s="4" t="str">
        <f t="shared" si="59"/>
        <v>Perempuan</v>
      </c>
      <c r="R286" s="4">
        <f t="shared" si="66"/>
        <v>1</v>
      </c>
      <c r="S286" s="4" t="str">
        <f t="shared" si="65"/>
        <v>1</v>
      </c>
      <c r="T286" s="4">
        <f t="shared" ref="T286:T352" si="67">R286-S286</f>
        <v>0</v>
      </c>
      <c r="U286" s="29"/>
      <c r="V286" s="30"/>
      <c r="W286" s="30"/>
      <c r="X286" s="30"/>
      <c r="Y286" s="30"/>
      <c r="Z286" s="30"/>
      <c r="AA286" s="30"/>
      <c r="AB286" s="29"/>
      <c r="AC286" s="29"/>
      <c r="AD286" s="37">
        <f t="shared" si="61"/>
        <v>29372</v>
      </c>
      <c r="AE286" s="3" t="str">
        <f t="shared" ca="1" si="60"/>
        <v>46 Tahun 3 bulan 1 Hari</v>
      </c>
      <c r="AF286" s="38">
        <f t="shared" si="62"/>
        <v>51288</v>
      </c>
      <c r="AG286" s="7"/>
    </row>
    <row r="287" spans="1:33" ht="32.15" customHeight="1" x14ac:dyDescent="0.35">
      <c r="A287" s="26">
        <f t="shared" si="63"/>
        <v>268</v>
      </c>
      <c r="B287" s="27" t="s">
        <v>875</v>
      </c>
      <c r="C287" s="26"/>
      <c r="D287" s="50" t="s">
        <v>892</v>
      </c>
      <c r="E287" s="24" t="s">
        <v>893</v>
      </c>
      <c r="F287" s="24" t="s">
        <v>43</v>
      </c>
      <c r="G287" s="3" t="s">
        <v>894</v>
      </c>
      <c r="H287" s="4" t="s">
        <v>241</v>
      </c>
      <c r="I287" s="4" t="s">
        <v>362</v>
      </c>
      <c r="J287" s="47" t="s">
        <v>895</v>
      </c>
      <c r="K287" s="3" t="str">
        <f t="shared" ca="1" si="57"/>
        <v xml:space="preserve">4 Tahun 2 bulan </v>
      </c>
      <c r="L287" s="30" t="s">
        <v>88</v>
      </c>
      <c r="M287" s="47" t="s">
        <v>895</v>
      </c>
      <c r="N287" s="3" t="str">
        <f t="shared" ca="1" si="58"/>
        <v xml:space="preserve">4 Tahun 2 bulan </v>
      </c>
      <c r="O287" s="4"/>
      <c r="P287" s="4" t="s">
        <v>35</v>
      </c>
      <c r="Q287" s="4" t="str">
        <f t="shared" si="59"/>
        <v>Perempuan</v>
      </c>
      <c r="R287" s="4">
        <f t="shared" si="66"/>
        <v>1</v>
      </c>
      <c r="S287" s="4" t="str">
        <f t="shared" si="65"/>
        <v>1</v>
      </c>
      <c r="T287" s="4">
        <f t="shared" si="67"/>
        <v>0</v>
      </c>
      <c r="U287" s="29"/>
      <c r="V287" s="30"/>
      <c r="W287" s="30"/>
      <c r="X287" s="30"/>
      <c r="Y287" s="30"/>
      <c r="Z287" s="30"/>
      <c r="AA287" s="30"/>
      <c r="AB287" s="29"/>
      <c r="AC287" s="29"/>
      <c r="AD287" s="37">
        <f t="shared" si="61"/>
        <v>30417</v>
      </c>
      <c r="AE287" s="3" t="str">
        <f t="shared" ca="1" si="60"/>
        <v>43 Tahun 4 bulan 21 Hari</v>
      </c>
      <c r="AF287" s="38">
        <f t="shared" si="62"/>
        <v>52352</v>
      </c>
      <c r="AG287" s="7"/>
    </row>
    <row r="288" spans="1:33" ht="32.15" customHeight="1" x14ac:dyDescent="0.35">
      <c r="A288" s="26">
        <f t="shared" si="63"/>
        <v>269</v>
      </c>
      <c r="B288" s="27" t="s">
        <v>875</v>
      </c>
      <c r="C288" s="256" t="s">
        <v>896</v>
      </c>
      <c r="D288" s="257"/>
      <c r="E288" s="24" t="s">
        <v>897</v>
      </c>
      <c r="F288" s="24" t="s">
        <v>43</v>
      </c>
      <c r="G288" s="3" t="s">
        <v>2825</v>
      </c>
      <c r="H288" s="3" t="s">
        <v>874</v>
      </c>
      <c r="I288" s="3" t="s">
        <v>2826</v>
      </c>
      <c r="J288" s="90" t="s">
        <v>898</v>
      </c>
      <c r="K288" s="3" t="str">
        <f t="shared" ca="1" si="57"/>
        <v xml:space="preserve">0 Tahun 8 bulan </v>
      </c>
      <c r="L288" s="30" t="s">
        <v>346</v>
      </c>
      <c r="M288" s="81"/>
      <c r="N288" s="3" t="str">
        <f t="shared" ca="1" si="58"/>
        <v/>
      </c>
      <c r="O288" s="4"/>
      <c r="P288" s="4" t="s">
        <v>35</v>
      </c>
      <c r="Q288" s="4" t="str">
        <f t="shared" si="59"/>
        <v>Perempuan</v>
      </c>
      <c r="R288" s="4">
        <f t="shared" si="66"/>
        <v>1</v>
      </c>
      <c r="S288" s="4" t="str">
        <f t="shared" si="65"/>
        <v>1</v>
      </c>
      <c r="T288" s="4">
        <f t="shared" si="67"/>
        <v>0</v>
      </c>
      <c r="U288" s="29"/>
      <c r="V288" s="30" t="str">
        <f>V292</f>
        <v>Baik</v>
      </c>
      <c r="W288" s="30"/>
      <c r="X288" s="30"/>
      <c r="Y288" s="30"/>
      <c r="Z288" s="30"/>
      <c r="AA288" s="30"/>
      <c r="AB288" s="29"/>
      <c r="AC288" s="29"/>
      <c r="AD288" s="37">
        <f t="shared" si="61"/>
        <v>26063</v>
      </c>
      <c r="AE288" s="3" t="str">
        <f t="shared" ca="1" si="60"/>
        <v>55 Tahun 3 bulan 22 Hari</v>
      </c>
      <c r="AF288" s="38">
        <f t="shared" si="62"/>
        <v>48000</v>
      </c>
      <c r="AG288" s="7"/>
    </row>
    <row r="289" spans="1:33" ht="29.25" customHeight="1" x14ac:dyDescent="0.35">
      <c r="A289" s="26">
        <f t="shared" si="63"/>
        <v>270</v>
      </c>
      <c r="B289" s="27" t="s">
        <v>875</v>
      </c>
      <c r="C289" s="26"/>
      <c r="D289" s="50" t="s">
        <v>899</v>
      </c>
      <c r="E289" s="24" t="s">
        <v>108</v>
      </c>
      <c r="F289" s="24"/>
      <c r="G289" s="4"/>
      <c r="H289" s="4"/>
      <c r="I289" s="33"/>
      <c r="J289" s="91"/>
      <c r="K289" s="3" t="str">
        <f t="shared" ca="1" si="57"/>
        <v/>
      </c>
      <c r="L289" s="30" t="s">
        <v>88</v>
      </c>
      <c r="M289" s="91"/>
      <c r="N289" s="3" t="str">
        <f t="shared" ca="1" si="58"/>
        <v/>
      </c>
      <c r="O289" s="4"/>
      <c r="P289" s="4"/>
      <c r="Q289" s="4" t="str">
        <f t="shared" si="59"/>
        <v/>
      </c>
      <c r="R289" s="4">
        <f t="shared" si="66"/>
        <v>1</v>
      </c>
      <c r="S289" s="4" t="str">
        <f t="shared" si="65"/>
        <v>0</v>
      </c>
      <c r="T289" s="4">
        <f t="shared" si="67"/>
        <v>1</v>
      </c>
      <c r="U289" s="29"/>
      <c r="V289" s="30"/>
      <c r="W289" s="30"/>
      <c r="X289" s="30"/>
      <c r="Y289" s="30"/>
      <c r="Z289" s="30"/>
      <c r="AA289" s="30"/>
      <c r="AB289" s="29"/>
      <c r="AC289" s="29"/>
      <c r="AD289" s="37" t="str">
        <f t="shared" si="61"/>
        <v/>
      </c>
      <c r="AE289" s="3" t="str">
        <f t="shared" ca="1" si="60"/>
        <v/>
      </c>
      <c r="AF289" s="38" t="str">
        <f t="shared" si="62"/>
        <v/>
      </c>
      <c r="AG289" s="7"/>
    </row>
    <row r="290" spans="1:33" ht="27.75" customHeight="1" x14ac:dyDescent="0.35">
      <c r="A290" s="26">
        <f t="shared" si="63"/>
        <v>271</v>
      </c>
      <c r="B290" s="27" t="s">
        <v>875</v>
      </c>
      <c r="C290" s="26"/>
      <c r="D290" s="50" t="s">
        <v>899</v>
      </c>
      <c r="E290" s="39" t="s">
        <v>900</v>
      </c>
      <c r="F290" s="24" t="s">
        <v>43</v>
      </c>
      <c r="G290" s="40" t="s">
        <v>901</v>
      </c>
      <c r="H290" s="4" t="s">
        <v>385</v>
      </c>
      <c r="I290" s="25" t="s">
        <v>46</v>
      </c>
      <c r="J290" s="47" t="s">
        <v>895</v>
      </c>
      <c r="K290" s="3" t="str">
        <f t="shared" ca="1" si="57"/>
        <v xml:space="preserve">4 Tahun 2 bulan </v>
      </c>
      <c r="L290" s="30" t="s">
        <v>88</v>
      </c>
      <c r="M290" s="47" t="s">
        <v>895</v>
      </c>
      <c r="N290" s="3" t="str">
        <f t="shared" ca="1" si="58"/>
        <v xml:space="preserve">4 Tahun 2 bulan </v>
      </c>
      <c r="O290" s="25" t="s">
        <v>863</v>
      </c>
      <c r="P290" s="4" t="s">
        <v>35</v>
      </c>
      <c r="Q290" s="4" t="str">
        <f t="shared" si="59"/>
        <v>Perempuan</v>
      </c>
      <c r="R290" s="4">
        <f t="shared" si="66"/>
        <v>1</v>
      </c>
      <c r="S290" s="4" t="str">
        <f t="shared" si="65"/>
        <v>1</v>
      </c>
      <c r="T290" s="4">
        <f t="shared" si="67"/>
        <v>0</v>
      </c>
      <c r="U290" s="29"/>
      <c r="V290" s="30"/>
      <c r="W290" s="30"/>
      <c r="X290" s="30"/>
      <c r="Y290" s="30"/>
      <c r="Z290" s="30"/>
      <c r="AA290" s="30"/>
      <c r="AB290" s="29"/>
      <c r="AC290" s="29"/>
      <c r="AD290" s="37">
        <f t="shared" si="61"/>
        <v>28937</v>
      </c>
      <c r="AE290" s="3" t="str">
        <f t="shared" ca="1" si="60"/>
        <v>47 Tahun 5 bulan 9 Hari</v>
      </c>
      <c r="AF290" s="38">
        <f t="shared" si="62"/>
        <v>50861</v>
      </c>
      <c r="AG290" s="7"/>
    </row>
    <row r="291" spans="1:33" ht="32.15" customHeight="1" x14ac:dyDescent="0.35">
      <c r="A291" s="26">
        <f t="shared" si="63"/>
        <v>272</v>
      </c>
      <c r="B291" s="27" t="s">
        <v>875</v>
      </c>
      <c r="C291" s="256" t="s">
        <v>902</v>
      </c>
      <c r="D291" s="257"/>
      <c r="E291" s="51" t="s">
        <v>903</v>
      </c>
      <c r="F291" s="24" t="s">
        <v>43</v>
      </c>
      <c r="G291" s="52" t="s">
        <v>2827</v>
      </c>
      <c r="H291" s="4" t="s">
        <v>781</v>
      </c>
      <c r="I291" s="36" t="s">
        <v>2828</v>
      </c>
      <c r="J291" s="81">
        <v>45993</v>
      </c>
      <c r="K291" s="3" t="str">
        <f t="shared" ca="1" si="57"/>
        <v xml:space="preserve">0 Tahun 8 bulan </v>
      </c>
      <c r="L291" s="30" t="s">
        <v>346</v>
      </c>
      <c r="M291" s="81"/>
      <c r="N291" s="3" t="str">
        <f t="shared" ca="1" si="58"/>
        <v/>
      </c>
      <c r="O291" s="36"/>
      <c r="P291" s="4" t="s">
        <v>35</v>
      </c>
      <c r="Q291" s="4" t="str">
        <f t="shared" si="59"/>
        <v>Laki-Laki</v>
      </c>
      <c r="R291" s="4">
        <f t="shared" si="66"/>
        <v>1</v>
      </c>
      <c r="S291" s="4" t="str">
        <f t="shared" si="65"/>
        <v>1</v>
      </c>
      <c r="T291" s="4">
        <f t="shared" si="67"/>
        <v>0</v>
      </c>
      <c r="U291" s="29"/>
      <c r="V291" s="30" t="s">
        <v>50</v>
      </c>
      <c r="W291" s="30"/>
      <c r="X291" s="30"/>
      <c r="Y291" s="30"/>
      <c r="Z291" s="30"/>
      <c r="AA291" s="30"/>
      <c r="AB291" s="29"/>
      <c r="AC291" s="29"/>
      <c r="AD291" s="37">
        <f t="shared" si="61"/>
        <v>28867</v>
      </c>
      <c r="AE291" s="3" t="str">
        <f t="shared" ca="1" si="60"/>
        <v>47 Tahun 7 bulan 20 Hari</v>
      </c>
      <c r="AF291" s="38">
        <f t="shared" si="62"/>
        <v>50802</v>
      </c>
      <c r="AG291" s="7"/>
    </row>
    <row r="292" spans="1:33" ht="32.15" customHeight="1" x14ac:dyDescent="0.35">
      <c r="A292" s="26">
        <f t="shared" si="63"/>
        <v>273</v>
      </c>
      <c r="B292" s="27" t="s">
        <v>875</v>
      </c>
      <c r="C292" s="26"/>
      <c r="D292" s="50" t="s">
        <v>904</v>
      </c>
      <c r="E292" s="24" t="s">
        <v>108</v>
      </c>
      <c r="F292" s="24"/>
      <c r="G292" s="4"/>
      <c r="H292" s="4"/>
      <c r="I292" s="33"/>
      <c r="J292" s="47"/>
      <c r="K292" s="3" t="str">
        <f t="shared" ca="1" si="57"/>
        <v/>
      </c>
      <c r="L292" s="30" t="s">
        <v>88</v>
      </c>
      <c r="M292" s="47"/>
      <c r="N292" s="3" t="str">
        <f t="shared" ca="1" si="58"/>
        <v/>
      </c>
      <c r="O292" s="4"/>
      <c r="P292" s="4" t="s">
        <v>35</v>
      </c>
      <c r="Q292" s="4" t="str">
        <f t="shared" si="59"/>
        <v/>
      </c>
      <c r="R292" s="4">
        <f t="shared" si="66"/>
        <v>1</v>
      </c>
      <c r="S292" s="4" t="str">
        <f t="shared" si="65"/>
        <v>0</v>
      </c>
      <c r="T292" s="4">
        <f t="shared" si="67"/>
        <v>1</v>
      </c>
      <c r="U292" s="29"/>
      <c r="V292" s="30" t="s">
        <v>50</v>
      </c>
      <c r="W292" s="30"/>
      <c r="X292" s="30"/>
      <c r="Y292" s="30"/>
      <c r="Z292" s="30"/>
      <c r="AA292" s="30"/>
      <c r="AB292" s="29"/>
      <c r="AC292" s="29"/>
      <c r="AD292" s="37" t="str">
        <f t="shared" si="61"/>
        <v/>
      </c>
      <c r="AE292" s="3" t="str">
        <f t="shared" ca="1" si="60"/>
        <v/>
      </c>
      <c r="AF292" s="38" t="str">
        <f t="shared" si="62"/>
        <v/>
      </c>
      <c r="AG292" s="7"/>
    </row>
    <row r="293" spans="1:33" ht="30" customHeight="1" x14ac:dyDescent="0.35">
      <c r="A293" s="26">
        <f t="shared" si="63"/>
        <v>274</v>
      </c>
      <c r="B293" s="27" t="s">
        <v>875</v>
      </c>
      <c r="C293" s="26"/>
      <c r="D293" s="50" t="s">
        <v>904</v>
      </c>
      <c r="E293" s="24" t="s">
        <v>108</v>
      </c>
      <c r="F293" s="24"/>
      <c r="G293" s="3"/>
      <c r="H293" s="4"/>
      <c r="I293" s="33"/>
      <c r="J293" s="47"/>
      <c r="K293" s="3" t="str">
        <f t="shared" ca="1" si="57"/>
        <v/>
      </c>
      <c r="L293" s="30" t="s">
        <v>88</v>
      </c>
      <c r="M293" s="47"/>
      <c r="N293" s="3" t="str">
        <f t="shared" ca="1" si="58"/>
        <v/>
      </c>
      <c r="O293" s="4"/>
      <c r="P293" s="4" t="s">
        <v>35</v>
      </c>
      <c r="Q293" s="4" t="str">
        <f t="shared" si="59"/>
        <v/>
      </c>
      <c r="R293" s="4">
        <f t="shared" si="66"/>
        <v>1</v>
      </c>
      <c r="S293" s="4" t="str">
        <f t="shared" si="65"/>
        <v>0</v>
      </c>
      <c r="T293" s="4">
        <f t="shared" si="67"/>
        <v>1</v>
      </c>
      <c r="U293" s="29"/>
      <c r="V293" s="30" t="s">
        <v>50</v>
      </c>
      <c r="W293" s="30"/>
      <c r="X293" s="30"/>
      <c r="Y293" s="30"/>
      <c r="Z293" s="30"/>
      <c r="AA293" s="30"/>
      <c r="AB293" s="29"/>
      <c r="AC293" s="29"/>
      <c r="AD293" s="37" t="str">
        <f t="shared" si="61"/>
        <v/>
      </c>
      <c r="AE293" s="3" t="str">
        <f t="shared" ca="1" si="60"/>
        <v/>
      </c>
      <c r="AF293" s="38" t="str">
        <f t="shared" si="62"/>
        <v/>
      </c>
      <c r="AG293" s="7"/>
    </row>
    <row r="294" spans="1:33" ht="32.15" customHeight="1" x14ac:dyDescent="0.35">
      <c r="A294" s="26">
        <f t="shared" si="63"/>
        <v>275</v>
      </c>
      <c r="B294" s="27" t="s">
        <v>875</v>
      </c>
      <c r="C294" s="256" t="s">
        <v>909</v>
      </c>
      <c r="D294" s="257"/>
      <c r="E294" s="24" t="s">
        <v>910</v>
      </c>
      <c r="F294" s="24" t="s">
        <v>43</v>
      </c>
      <c r="G294" s="3" t="s">
        <v>911</v>
      </c>
      <c r="H294" s="4" t="s">
        <v>912</v>
      </c>
      <c r="I294" s="33" t="s">
        <v>913</v>
      </c>
      <c r="J294" s="81" t="s">
        <v>87</v>
      </c>
      <c r="K294" s="3" t="str">
        <f t="shared" ca="1" si="57"/>
        <v xml:space="preserve">4 Tahun 8 bulan </v>
      </c>
      <c r="L294" s="30" t="s">
        <v>346</v>
      </c>
      <c r="M294" s="81" t="s">
        <v>87</v>
      </c>
      <c r="N294" s="3" t="str">
        <f t="shared" ca="1" si="58"/>
        <v xml:space="preserve">4 Tahun 8 bulan </v>
      </c>
      <c r="O294" s="4"/>
      <c r="P294" s="4" t="s">
        <v>35</v>
      </c>
      <c r="Q294" s="4" t="str">
        <f t="shared" si="59"/>
        <v>Perempuan</v>
      </c>
      <c r="R294" s="4">
        <f t="shared" si="66"/>
        <v>1</v>
      </c>
      <c r="S294" s="4" t="str">
        <f t="shared" si="65"/>
        <v>1</v>
      </c>
      <c r="T294" s="4">
        <f t="shared" si="67"/>
        <v>0</v>
      </c>
      <c r="U294" s="29"/>
      <c r="V294" s="30"/>
      <c r="W294" s="30"/>
      <c r="X294" s="30"/>
      <c r="Y294" s="30"/>
      <c r="Z294" s="30"/>
      <c r="AA294" s="30"/>
      <c r="AB294" s="29"/>
      <c r="AC294" s="29"/>
      <c r="AD294" s="37">
        <f t="shared" si="61"/>
        <v>25455</v>
      </c>
      <c r="AE294" s="3" t="str">
        <f t="shared" ca="1" si="60"/>
        <v>56 Tahun 11 bulan 23 Hari</v>
      </c>
      <c r="AF294" s="38">
        <f t="shared" si="62"/>
        <v>47392</v>
      </c>
      <c r="AG294" s="7"/>
    </row>
    <row r="295" spans="1:33" ht="32.15" customHeight="1" x14ac:dyDescent="0.35">
      <c r="A295" s="26">
        <f t="shared" si="63"/>
        <v>276</v>
      </c>
      <c r="B295" s="27" t="s">
        <v>875</v>
      </c>
      <c r="C295" s="26"/>
      <c r="D295" s="50" t="s">
        <v>899</v>
      </c>
      <c r="E295" s="45" t="s">
        <v>914</v>
      </c>
      <c r="F295" s="24" t="s">
        <v>43</v>
      </c>
      <c r="G295" s="44" t="s">
        <v>915</v>
      </c>
      <c r="H295" s="4" t="s">
        <v>781</v>
      </c>
      <c r="I295" s="4" t="s">
        <v>107</v>
      </c>
      <c r="J295" s="47" t="s">
        <v>895</v>
      </c>
      <c r="K295" s="3" t="str">
        <f t="shared" ca="1" si="57"/>
        <v xml:space="preserve">4 Tahun 2 bulan </v>
      </c>
      <c r="L295" s="30" t="s">
        <v>88</v>
      </c>
      <c r="M295" s="47" t="s">
        <v>895</v>
      </c>
      <c r="N295" s="3" t="str">
        <f t="shared" ca="1" si="58"/>
        <v xml:space="preserve">4 Tahun 2 bulan </v>
      </c>
      <c r="O295" s="35"/>
      <c r="P295" s="4" t="s">
        <v>35</v>
      </c>
      <c r="Q295" s="4" t="str">
        <f t="shared" si="59"/>
        <v>Perempuan</v>
      </c>
      <c r="R295" s="4">
        <f t="shared" si="66"/>
        <v>1</v>
      </c>
      <c r="S295" s="4" t="str">
        <f t="shared" si="65"/>
        <v>1</v>
      </c>
      <c r="T295" s="4">
        <f t="shared" si="67"/>
        <v>0</v>
      </c>
      <c r="U295" s="29"/>
      <c r="V295" s="30"/>
      <c r="W295" s="30"/>
      <c r="X295" s="30"/>
      <c r="Y295" s="30"/>
      <c r="Z295" s="30"/>
      <c r="AA295" s="30"/>
      <c r="AB295" s="29"/>
      <c r="AC295" s="29"/>
      <c r="AD295" s="37">
        <f t="shared" si="61"/>
        <v>28500</v>
      </c>
      <c r="AE295" s="3" t="str">
        <f t="shared" ca="1" si="60"/>
        <v>48 Tahun 7 bulan 22 Hari</v>
      </c>
      <c r="AF295" s="38">
        <f t="shared" si="62"/>
        <v>50437</v>
      </c>
      <c r="AG295" s="7"/>
    </row>
    <row r="296" spans="1:33" ht="32.15" customHeight="1" x14ac:dyDescent="0.35">
      <c r="A296" s="26">
        <f t="shared" si="63"/>
        <v>277</v>
      </c>
      <c r="B296" s="27" t="s">
        <v>875</v>
      </c>
      <c r="C296" s="26"/>
      <c r="D296" s="50" t="s">
        <v>899</v>
      </c>
      <c r="E296" s="24" t="s">
        <v>916</v>
      </c>
      <c r="F296" s="24" t="s">
        <v>43</v>
      </c>
      <c r="G296" s="3" t="s">
        <v>917</v>
      </c>
      <c r="H296" s="4" t="s">
        <v>159</v>
      </c>
      <c r="I296" s="33" t="s">
        <v>184</v>
      </c>
      <c r="J296" s="47" t="s">
        <v>895</v>
      </c>
      <c r="K296" s="3" t="str">
        <f t="shared" ca="1" si="57"/>
        <v xml:space="preserve">4 Tahun 2 bulan </v>
      </c>
      <c r="L296" s="30" t="s">
        <v>88</v>
      </c>
      <c r="M296" s="47" t="s">
        <v>895</v>
      </c>
      <c r="N296" s="3" t="str">
        <f t="shared" ca="1" si="58"/>
        <v xml:space="preserve">4 Tahun 2 bulan </v>
      </c>
      <c r="O296" s="4"/>
      <c r="P296" s="4" t="s">
        <v>35</v>
      </c>
      <c r="Q296" s="4" t="str">
        <f t="shared" si="59"/>
        <v>Laki-Laki</v>
      </c>
      <c r="R296" s="4">
        <f t="shared" si="66"/>
        <v>1</v>
      </c>
      <c r="S296" s="4" t="str">
        <f t="shared" si="65"/>
        <v>1</v>
      </c>
      <c r="T296" s="4">
        <f t="shared" si="67"/>
        <v>0</v>
      </c>
      <c r="U296" s="29"/>
      <c r="V296" s="30" t="s">
        <v>50</v>
      </c>
      <c r="W296" s="30"/>
      <c r="X296" s="30"/>
      <c r="Y296" s="30"/>
      <c r="Z296" s="30"/>
      <c r="AA296" s="30"/>
      <c r="AB296" s="29"/>
      <c r="AC296" s="29"/>
      <c r="AD296" s="37">
        <f t="shared" si="61"/>
        <v>26408</v>
      </c>
      <c r="AE296" s="3" t="str">
        <f t="shared" ca="1" si="60"/>
        <v>54 Tahun 4 bulan 13 Hari</v>
      </c>
      <c r="AF296" s="38">
        <f t="shared" si="62"/>
        <v>48335</v>
      </c>
      <c r="AG296" s="7"/>
    </row>
    <row r="297" spans="1:33" ht="32.15" customHeight="1" x14ac:dyDescent="0.35">
      <c r="A297" s="26">
        <f t="shared" si="63"/>
        <v>278</v>
      </c>
      <c r="B297" s="27" t="s">
        <v>875</v>
      </c>
      <c r="C297" s="256" t="s">
        <v>918</v>
      </c>
      <c r="D297" s="257"/>
      <c r="E297" s="64" t="s">
        <v>905</v>
      </c>
      <c r="F297" s="24" t="s">
        <v>43</v>
      </c>
      <c r="G297" s="25" t="s">
        <v>906</v>
      </c>
      <c r="H297" s="25" t="s">
        <v>337</v>
      </c>
      <c r="I297" s="25" t="s">
        <v>184</v>
      </c>
      <c r="J297" s="92" t="s">
        <v>895</v>
      </c>
      <c r="K297" s="3" t="str">
        <f t="shared" ca="1" si="57"/>
        <v xml:space="preserve">4 Tahun 2 bulan </v>
      </c>
      <c r="L297" s="30" t="s">
        <v>346</v>
      </c>
      <c r="M297" s="47" t="s">
        <v>895</v>
      </c>
      <c r="N297" s="3" t="str">
        <f t="shared" ca="1" si="58"/>
        <v xml:space="preserve">4 Tahun 2 bulan </v>
      </c>
      <c r="O297" s="29"/>
      <c r="P297" s="4" t="s">
        <v>35</v>
      </c>
      <c r="Q297" s="4" t="str">
        <f t="shared" si="59"/>
        <v>Laki-Laki</v>
      </c>
      <c r="R297" s="4">
        <f t="shared" si="66"/>
        <v>1</v>
      </c>
      <c r="S297" s="4" t="str">
        <f>IF(E42="LOWONG","0","1")</f>
        <v>1</v>
      </c>
      <c r="T297" s="4">
        <f t="shared" si="67"/>
        <v>0</v>
      </c>
      <c r="U297" s="29"/>
      <c r="V297" s="30" t="s">
        <v>50</v>
      </c>
      <c r="W297" s="30"/>
      <c r="X297" s="30"/>
      <c r="Y297" s="30"/>
      <c r="Z297" s="30"/>
      <c r="AA297" s="30"/>
      <c r="AB297" s="29"/>
      <c r="AC297" s="29"/>
      <c r="AD297" s="37">
        <f t="shared" si="61"/>
        <v>30544</v>
      </c>
      <c r="AE297" s="3" t="str">
        <f t="shared" ca="1" si="60"/>
        <v>43 Tahun 0 bulan 16 Hari</v>
      </c>
      <c r="AF297" s="38">
        <f t="shared" si="62"/>
        <v>52475</v>
      </c>
      <c r="AG297" s="7"/>
    </row>
    <row r="298" spans="1:33" ht="27" customHeight="1" x14ac:dyDescent="0.35">
      <c r="A298" s="26">
        <f t="shared" si="63"/>
        <v>279</v>
      </c>
      <c r="B298" s="27" t="s">
        <v>875</v>
      </c>
      <c r="C298" s="26"/>
      <c r="D298" s="50" t="s">
        <v>904</v>
      </c>
      <c r="E298" s="45" t="s">
        <v>919</v>
      </c>
      <c r="F298" s="24" t="s">
        <v>43</v>
      </c>
      <c r="G298" s="73" t="s">
        <v>920</v>
      </c>
      <c r="H298" s="76" t="s">
        <v>345</v>
      </c>
      <c r="I298" s="36" t="s">
        <v>46</v>
      </c>
      <c r="J298" s="47" t="s">
        <v>895</v>
      </c>
      <c r="K298" s="3" t="str">
        <f t="shared" ca="1" si="57"/>
        <v xml:space="preserve">4 Tahun 2 bulan </v>
      </c>
      <c r="L298" s="30" t="s">
        <v>88</v>
      </c>
      <c r="M298" s="47" t="s">
        <v>895</v>
      </c>
      <c r="N298" s="3" t="str">
        <f t="shared" ca="1" si="58"/>
        <v xml:space="preserve">4 Tahun 2 bulan </v>
      </c>
      <c r="O298" s="35"/>
      <c r="P298" s="4" t="s">
        <v>35</v>
      </c>
      <c r="Q298" s="4" t="str">
        <f t="shared" si="59"/>
        <v>Laki-Laki</v>
      </c>
      <c r="R298" s="4">
        <f t="shared" si="66"/>
        <v>1</v>
      </c>
      <c r="S298" s="4" t="str">
        <f>IF(E298="LOWONG","0","1")</f>
        <v>1</v>
      </c>
      <c r="T298" s="4">
        <f t="shared" si="67"/>
        <v>0</v>
      </c>
      <c r="U298" s="29"/>
      <c r="V298" s="30" t="s">
        <v>50</v>
      </c>
      <c r="W298" s="30"/>
      <c r="X298" s="30"/>
      <c r="Y298" s="30"/>
      <c r="Z298" s="30"/>
      <c r="AA298" s="30"/>
      <c r="AB298" s="29"/>
      <c r="AC298" s="29"/>
      <c r="AD298" s="37">
        <f t="shared" si="61"/>
        <v>30107</v>
      </c>
      <c r="AE298" s="3" t="str">
        <f t="shared" ca="1" si="60"/>
        <v>44 Tahun 2 bulan 27 Hari</v>
      </c>
      <c r="AF298" s="38">
        <f t="shared" si="62"/>
        <v>52048</v>
      </c>
      <c r="AG298" s="7"/>
    </row>
    <row r="299" spans="1:33" ht="28.5" customHeight="1" x14ac:dyDescent="0.35">
      <c r="A299" s="26">
        <f t="shared" si="63"/>
        <v>280</v>
      </c>
      <c r="B299" s="27" t="s">
        <v>875</v>
      </c>
      <c r="C299" s="26"/>
      <c r="D299" s="50" t="s">
        <v>892</v>
      </c>
      <c r="E299" s="39" t="s">
        <v>921</v>
      </c>
      <c r="F299" s="24" t="s">
        <v>43</v>
      </c>
      <c r="G299" s="40" t="s">
        <v>922</v>
      </c>
      <c r="H299" s="4" t="s">
        <v>85</v>
      </c>
      <c r="I299" s="30" t="s">
        <v>184</v>
      </c>
      <c r="J299" s="47" t="s">
        <v>895</v>
      </c>
      <c r="K299" s="3" t="str">
        <f t="shared" ca="1" si="57"/>
        <v xml:space="preserve">4 Tahun 2 bulan </v>
      </c>
      <c r="L299" s="30" t="s">
        <v>88</v>
      </c>
      <c r="M299" s="47" t="s">
        <v>895</v>
      </c>
      <c r="N299" s="3" t="str">
        <f t="shared" ca="1" si="58"/>
        <v xml:space="preserve">4 Tahun 2 bulan </v>
      </c>
      <c r="O299" s="29"/>
      <c r="P299" s="4" t="s">
        <v>35</v>
      </c>
      <c r="Q299" s="4" t="str">
        <f t="shared" si="59"/>
        <v>Laki-Laki</v>
      </c>
      <c r="R299" s="4">
        <f t="shared" si="66"/>
        <v>1</v>
      </c>
      <c r="S299" s="4" t="str">
        <f>IF(E299="LOWONG","0","1")</f>
        <v>1</v>
      </c>
      <c r="T299" s="4">
        <f t="shared" si="67"/>
        <v>0</v>
      </c>
      <c r="U299" s="29"/>
      <c r="V299" s="30" t="s">
        <v>50</v>
      </c>
      <c r="W299" s="30"/>
      <c r="X299" s="30"/>
      <c r="Y299" s="30"/>
      <c r="Z299" s="30"/>
      <c r="AA299" s="30"/>
      <c r="AB299" s="29"/>
      <c r="AC299" s="29"/>
      <c r="AD299" s="37">
        <f t="shared" si="61"/>
        <v>30896</v>
      </c>
      <c r="AE299" s="3" t="str">
        <f t="shared" ca="1" si="60"/>
        <v>42 Tahun 0 bulan 30 Hari</v>
      </c>
      <c r="AF299" s="38">
        <f t="shared" si="62"/>
        <v>52841</v>
      </c>
      <c r="AG299" s="7"/>
    </row>
    <row r="300" spans="1:33" ht="28.5" customHeight="1" x14ac:dyDescent="0.35">
      <c r="A300" s="26"/>
      <c r="B300" s="27" t="s">
        <v>923</v>
      </c>
      <c r="C300" s="280" t="s">
        <v>924</v>
      </c>
      <c r="D300" s="281"/>
      <c r="E300" s="24"/>
      <c r="F300" s="24"/>
      <c r="G300" s="4"/>
      <c r="H300" s="4"/>
      <c r="I300" s="33"/>
      <c r="J300" s="5"/>
      <c r="K300" s="3" t="str">
        <f t="shared" ca="1" si="57"/>
        <v/>
      </c>
      <c r="L300" s="30"/>
      <c r="M300" s="5"/>
      <c r="N300" s="3" t="str">
        <f t="shared" ca="1" si="58"/>
        <v/>
      </c>
      <c r="O300" s="4"/>
      <c r="P300" s="4"/>
      <c r="Q300" s="4"/>
      <c r="R300" s="4"/>
      <c r="S300" s="4"/>
      <c r="T300" s="4"/>
      <c r="U300" s="29"/>
      <c r="V300" s="30"/>
      <c r="W300" s="30"/>
      <c r="X300" s="30"/>
      <c r="Y300" s="30"/>
      <c r="Z300" s="30"/>
      <c r="AA300" s="30"/>
      <c r="AB300" s="29"/>
      <c r="AC300" s="29"/>
      <c r="AD300" s="37" t="str">
        <f t="shared" si="61"/>
        <v/>
      </c>
      <c r="AE300" s="3" t="str">
        <f t="shared" ca="1" si="60"/>
        <v/>
      </c>
      <c r="AF300" s="38" t="str">
        <f t="shared" si="62"/>
        <v/>
      </c>
      <c r="AG300" s="7"/>
    </row>
    <row r="301" spans="1:33" ht="32.15" customHeight="1" x14ac:dyDescent="0.35">
      <c r="A301" s="26">
        <f>A299+1</f>
        <v>281</v>
      </c>
      <c r="B301" s="27" t="s">
        <v>923</v>
      </c>
      <c r="C301" s="278" t="s">
        <v>925</v>
      </c>
      <c r="D301" s="279"/>
      <c r="E301" s="24" t="s">
        <v>929</v>
      </c>
      <c r="F301" s="24" t="s">
        <v>43</v>
      </c>
      <c r="G301" s="3" t="s">
        <v>926</v>
      </c>
      <c r="H301" s="4" t="s">
        <v>2813</v>
      </c>
      <c r="I301" s="4" t="s">
        <v>927</v>
      </c>
      <c r="J301" s="5">
        <v>46087</v>
      </c>
      <c r="K301" s="3" t="str">
        <f t="shared" ca="1" si="57"/>
        <v xml:space="preserve">0 Tahun 5 bulan </v>
      </c>
      <c r="L301" s="30" t="s">
        <v>56</v>
      </c>
      <c r="M301" s="53">
        <v>46087</v>
      </c>
      <c r="N301" s="3" t="str">
        <f t="shared" ca="1" si="58"/>
        <v xml:space="preserve">0 Tahun 5 bulan </v>
      </c>
      <c r="O301" s="4"/>
      <c r="P301" s="4"/>
      <c r="Q301" s="4" t="str">
        <f t="shared" si="59"/>
        <v>Laki-Laki</v>
      </c>
      <c r="R301" s="4">
        <f>R299</f>
        <v>1</v>
      </c>
      <c r="S301" s="4" t="str">
        <f t="shared" ref="S301:S313" si="68">IF(E301="LOWONG","0","1")</f>
        <v>1</v>
      </c>
      <c r="T301" s="4">
        <f t="shared" si="67"/>
        <v>0</v>
      </c>
      <c r="U301" s="29"/>
      <c r="V301" s="30" t="s">
        <v>50</v>
      </c>
      <c r="W301" s="30"/>
      <c r="X301" s="30"/>
      <c r="Y301" s="30"/>
      <c r="Z301" s="30"/>
      <c r="AA301" s="30"/>
      <c r="AB301" s="29"/>
      <c r="AC301" s="29"/>
      <c r="AD301" s="37">
        <f t="shared" si="61"/>
        <v>27049</v>
      </c>
      <c r="AE301" s="3" t="str">
        <f t="shared" ca="1" si="60"/>
        <v>52 Tahun 7 bulan 12 Hari</v>
      </c>
      <c r="AF301" s="38">
        <f t="shared" si="62"/>
        <v>48976</v>
      </c>
      <c r="AG301" s="7"/>
    </row>
    <row r="302" spans="1:33" ht="32.15" customHeight="1" x14ac:dyDescent="0.35">
      <c r="A302" s="26">
        <f t="shared" si="63"/>
        <v>282</v>
      </c>
      <c r="B302" s="27" t="s">
        <v>923</v>
      </c>
      <c r="C302" s="256" t="s">
        <v>928</v>
      </c>
      <c r="D302" s="257"/>
      <c r="E302" s="220" t="s">
        <v>938</v>
      </c>
      <c r="F302" s="24" t="s">
        <v>43</v>
      </c>
      <c r="G302" s="44" t="s">
        <v>939</v>
      </c>
      <c r="H302" s="36" t="s">
        <v>188</v>
      </c>
      <c r="I302" s="36" t="s">
        <v>86</v>
      </c>
      <c r="J302" s="5">
        <v>46132</v>
      </c>
      <c r="K302" s="3" t="str">
        <f ca="1">IF(J302="","",CONCATENATE(DATEDIF(J302,NOW(),"Y")," Tahun ",DATEDIF(J302,NOW(),"YM")," bulan "))</f>
        <v xml:space="preserve">0 Tahun 4 bulan </v>
      </c>
      <c r="L302" s="30" t="s">
        <v>79</v>
      </c>
      <c r="M302" s="82">
        <v>46132</v>
      </c>
      <c r="N302" s="3" t="str">
        <f t="shared" ca="1" si="58"/>
        <v xml:space="preserve">0 Tahun 4 bulan </v>
      </c>
      <c r="O302" s="4"/>
      <c r="P302" s="4"/>
      <c r="Q302" s="4" t="str">
        <f t="shared" si="59"/>
        <v>Laki-Laki</v>
      </c>
      <c r="R302" s="4">
        <f t="shared" si="66"/>
        <v>1</v>
      </c>
      <c r="S302" s="4" t="str">
        <f t="shared" si="68"/>
        <v>1</v>
      </c>
      <c r="T302" s="4">
        <f t="shared" si="67"/>
        <v>0</v>
      </c>
      <c r="U302" s="29"/>
      <c r="V302" s="30"/>
      <c r="W302" s="30"/>
      <c r="X302" s="30"/>
      <c r="Y302" s="30"/>
      <c r="Z302" s="30"/>
      <c r="AA302" s="30"/>
      <c r="AB302" s="29"/>
      <c r="AC302" s="29"/>
      <c r="AD302" s="37">
        <f t="shared" si="61"/>
        <v>25082</v>
      </c>
      <c r="AE302" s="3" t="str">
        <f t="shared" ca="1" si="60"/>
        <v>58 Tahun 0 bulan 0 Hari</v>
      </c>
      <c r="AF302" s="38">
        <f t="shared" si="62"/>
        <v>47027</v>
      </c>
      <c r="AG302" s="11" t="s">
        <v>3145</v>
      </c>
    </row>
    <row r="303" spans="1:33" ht="34.5" customHeight="1" x14ac:dyDescent="0.35">
      <c r="A303" s="26">
        <f t="shared" si="63"/>
        <v>283</v>
      </c>
      <c r="B303" s="27" t="s">
        <v>923</v>
      </c>
      <c r="C303" s="26"/>
      <c r="D303" s="50" t="s">
        <v>930</v>
      </c>
      <c r="E303" s="24" t="s">
        <v>931</v>
      </c>
      <c r="F303" s="24" t="s">
        <v>43</v>
      </c>
      <c r="G303" s="3" t="s">
        <v>932</v>
      </c>
      <c r="H303" s="4" t="s">
        <v>891</v>
      </c>
      <c r="I303" s="33" t="s">
        <v>86</v>
      </c>
      <c r="J303" s="47" t="s">
        <v>338</v>
      </c>
      <c r="K303" s="3" t="str">
        <f t="shared" ca="1" si="57"/>
        <v xml:space="preserve">2 Tahun 11 bulan </v>
      </c>
      <c r="L303" s="30" t="s">
        <v>200</v>
      </c>
      <c r="M303" s="47" t="s">
        <v>338</v>
      </c>
      <c r="N303" s="3" t="str">
        <f t="shared" ca="1" si="58"/>
        <v xml:space="preserve">2 Tahun 11 bulan </v>
      </c>
      <c r="O303" s="30"/>
      <c r="P303" s="4" t="s">
        <v>35</v>
      </c>
      <c r="Q303" s="4" t="str">
        <f t="shared" si="59"/>
        <v>Perempuan</v>
      </c>
      <c r="R303" s="4">
        <f t="shared" si="66"/>
        <v>1</v>
      </c>
      <c r="S303" s="4" t="str">
        <f t="shared" si="68"/>
        <v>1</v>
      </c>
      <c r="T303" s="4">
        <f t="shared" si="67"/>
        <v>0</v>
      </c>
      <c r="U303" s="29"/>
      <c r="V303" s="30"/>
      <c r="W303" s="30"/>
      <c r="X303" s="30"/>
      <c r="Y303" s="30"/>
      <c r="Z303" s="30"/>
      <c r="AA303" s="30"/>
      <c r="AB303" s="29"/>
      <c r="AC303" s="29"/>
      <c r="AD303" s="37">
        <f t="shared" si="61"/>
        <v>27592</v>
      </c>
      <c r="AE303" s="3" t="str">
        <f t="shared" ca="1" si="60"/>
        <v>51 Tahun 1 bulan 15 Hari</v>
      </c>
      <c r="AF303" s="38">
        <f t="shared" si="62"/>
        <v>49522</v>
      </c>
      <c r="AG303" s="7"/>
    </row>
    <row r="304" spans="1:33" ht="32.15" customHeight="1" x14ac:dyDescent="0.35">
      <c r="A304" s="26">
        <f t="shared" si="63"/>
        <v>284</v>
      </c>
      <c r="B304" s="27" t="s">
        <v>923</v>
      </c>
      <c r="C304" s="26"/>
      <c r="D304" s="50" t="s">
        <v>933</v>
      </c>
      <c r="E304" s="24" t="s">
        <v>934</v>
      </c>
      <c r="F304" s="24" t="s">
        <v>71</v>
      </c>
      <c r="G304" s="3" t="s">
        <v>935</v>
      </c>
      <c r="H304" s="4" t="s">
        <v>94</v>
      </c>
      <c r="I304" s="33" t="s">
        <v>936</v>
      </c>
      <c r="J304" s="81">
        <f>'[2]Plt. Kab. Tanggamus'!$J$92</f>
        <v>45799</v>
      </c>
      <c r="K304" s="3" t="str">
        <f t="shared" ca="1" si="57"/>
        <v xml:space="preserve">1 Tahun 3 bulan </v>
      </c>
      <c r="L304" s="30" t="s">
        <v>200</v>
      </c>
      <c r="M304" s="47" t="s">
        <v>501</v>
      </c>
      <c r="N304" s="3" t="str">
        <f t="shared" ca="1" si="58"/>
        <v xml:space="preserve">5 Tahun 2 bulan </v>
      </c>
      <c r="O304" s="4"/>
      <c r="P304" s="4" t="s">
        <v>35</v>
      </c>
      <c r="Q304" s="4" t="str">
        <f t="shared" si="59"/>
        <v>Perempuan</v>
      </c>
      <c r="R304" s="4">
        <f t="shared" si="66"/>
        <v>1</v>
      </c>
      <c r="S304" s="4" t="str">
        <f t="shared" si="68"/>
        <v>1</v>
      </c>
      <c r="T304" s="4">
        <f t="shared" si="67"/>
        <v>0</v>
      </c>
      <c r="U304" s="29"/>
      <c r="V304" s="30" t="s">
        <v>50</v>
      </c>
      <c r="W304" s="30"/>
      <c r="X304" s="30"/>
      <c r="Y304" s="30"/>
      <c r="Z304" s="30"/>
      <c r="AA304" s="30"/>
      <c r="AB304" s="29"/>
      <c r="AC304" s="29"/>
      <c r="AD304" s="37">
        <f t="shared" si="61"/>
        <v>31133</v>
      </c>
      <c r="AE304" s="3" t="str">
        <f t="shared" ca="1" si="60"/>
        <v>41 Tahun 5 bulan 5 Hari</v>
      </c>
      <c r="AF304" s="38">
        <f t="shared" si="62"/>
        <v>53053</v>
      </c>
      <c r="AG304" s="7"/>
    </row>
    <row r="305" spans="1:32" s="7" customFormat="1" ht="32.15" customHeight="1" x14ac:dyDescent="0.35">
      <c r="A305" s="26">
        <f t="shared" si="63"/>
        <v>285</v>
      </c>
      <c r="B305" s="27" t="s">
        <v>923</v>
      </c>
      <c r="C305" s="256" t="s">
        <v>937</v>
      </c>
      <c r="D305" s="257"/>
      <c r="E305" s="45" t="s">
        <v>235</v>
      </c>
      <c r="F305" s="24" t="s">
        <v>43</v>
      </c>
      <c r="G305" s="44" t="s">
        <v>236</v>
      </c>
      <c r="H305" s="36" t="s">
        <v>2935</v>
      </c>
      <c r="I305" s="36"/>
      <c r="J305" s="82">
        <v>46132</v>
      </c>
      <c r="K305" s="3" t="str">
        <f t="shared" ca="1" si="57"/>
        <v xml:space="preserve">0 Tahun 4 bulan </v>
      </c>
      <c r="L305" s="30" t="s">
        <v>346</v>
      </c>
      <c r="M305" s="82">
        <v>46132</v>
      </c>
      <c r="N305" s="3" t="str">
        <f t="shared" ca="1" si="58"/>
        <v xml:space="preserve">0 Tahun 4 bulan </v>
      </c>
      <c r="O305" s="4"/>
      <c r="P305" s="4" t="s">
        <v>35</v>
      </c>
      <c r="Q305" s="4" t="str">
        <f t="shared" si="59"/>
        <v>Laki-Laki</v>
      </c>
      <c r="R305" s="4">
        <f t="shared" si="66"/>
        <v>1</v>
      </c>
      <c r="S305" s="4" t="str">
        <f t="shared" si="68"/>
        <v>1</v>
      </c>
      <c r="T305" s="4">
        <f t="shared" si="67"/>
        <v>0</v>
      </c>
      <c r="U305" s="29"/>
      <c r="V305" s="30" t="s">
        <v>50</v>
      </c>
      <c r="W305" s="30"/>
      <c r="X305" s="30"/>
      <c r="Y305" s="30"/>
      <c r="Z305" s="30"/>
      <c r="AA305" s="30"/>
      <c r="AB305" s="29"/>
      <c r="AC305" s="29"/>
      <c r="AD305" s="37">
        <f t="shared" si="61"/>
        <v>28738</v>
      </c>
      <c r="AE305" s="3" t="str">
        <f t="shared" ca="1" si="60"/>
        <v>47 Tahun 11 bulan 27 Hari</v>
      </c>
      <c r="AF305" s="38">
        <f t="shared" si="62"/>
        <v>50679</v>
      </c>
    </row>
    <row r="306" spans="1:32" s="7" customFormat="1" ht="32.15" customHeight="1" x14ac:dyDescent="0.35">
      <c r="A306" s="26">
        <f t="shared" si="63"/>
        <v>286</v>
      </c>
      <c r="B306" s="27" t="s">
        <v>923</v>
      </c>
      <c r="C306" s="26"/>
      <c r="D306" s="50" t="s">
        <v>941</v>
      </c>
      <c r="E306" s="45" t="s">
        <v>942</v>
      </c>
      <c r="F306" s="24" t="s">
        <v>43</v>
      </c>
      <c r="G306" s="44" t="s">
        <v>943</v>
      </c>
      <c r="H306" s="4" t="s">
        <v>891</v>
      </c>
      <c r="I306" s="36" t="s">
        <v>107</v>
      </c>
      <c r="J306" s="47" t="s">
        <v>626</v>
      </c>
      <c r="K306" s="3" t="str">
        <f t="shared" ca="1" si="57"/>
        <v xml:space="preserve">7 Tahun 7 bulan </v>
      </c>
      <c r="L306" s="30" t="s">
        <v>200</v>
      </c>
      <c r="M306" s="47" t="s">
        <v>626</v>
      </c>
      <c r="N306" s="3" t="str">
        <f t="shared" ca="1" si="58"/>
        <v xml:space="preserve">7 Tahun 7 bulan </v>
      </c>
      <c r="O306" s="36"/>
      <c r="P306" s="4"/>
      <c r="Q306" s="4" t="str">
        <f t="shared" si="59"/>
        <v>Laki-Laki</v>
      </c>
      <c r="R306" s="4">
        <f t="shared" si="66"/>
        <v>1</v>
      </c>
      <c r="S306" s="4" t="str">
        <f t="shared" si="68"/>
        <v>1</v>
      </c>
      <c r="T306" s="4">
        <f t="shared" si="67"/>
        <v>0</v>
      </c>
      <c r="U306" s="29"/>
      <c r="V306" s="30" t="s">
        <v>50</v>
      </c>
      <c r="W306" s="30"/>
      <c r="X306" s="30"/>
      <c r="Y306" s="30"/>
      <c r="Z306" s="30"/>
      <c r="AA306" s="30"/>
      <c r="AB306" s="29"/>
      <c r="AC306" s="29"/>
      <c r="AD306" s="37">
        <f t="shared" si="61"/>
        <v>29587</v>
      </c>
      <c r="AE306" s="3" t="str">
        <f t="shared" ca="1" si="60"/>
        <v>45 Tahun 8 bulan 0 Hari</v>
      </c>
      <c r="AF306" s="38">
        <f t="shared" si="62"/>
        <v>51533</v>
      </c>
    </row>
    <row r="307" spans="1:32" s="7" customFormat="1" ht="32.15" customHeight="1" x14ac:dyDescent="0.35">
      <c r="A307" s="26">
        <f t="shared" si="63"/>
        <v>287</v>
      </c>
      <c r="B307" s="27" t="s">
        <v>923</v>
      </c>
      <c r="C307" s="26"/>
      <c r="D307" s="50" t="s">
        <v>944</v>
      </c>
      <c r="E307" s="39" t="s">
        <v>945</v>
      </c>
      <c r="F307" s="24" t="s">
        <v>43</v>
      </c>
      <c r="G307" s="40" t="s">
        <v>946</v>
      </c>
      <c r="H307" s="4" t="s">
        <v>947</v>
      </c>
      <c r="I307" s="33" t="s">
        <v>86</v>
      </c>
      <c r="J307" s="47" t="s">
        <v>386</v>
      </c>
      <c r="K307" s="3" t="str">
        <f t="shared" ca="1" si="57"/>
        <v xml:space="preserve">5 Tahun 5 bulan </v>
      </c>
      <c r="L307" s="30" t="s">
        <v>200</v>
      </c>
      <c r="M307" s="47" t="s">
        <v>386</v>
      </c>
      <c r="N307" s="3" t="str">
        <f t="shared" ca="1" si="58"/>
        <v xml:space="preserve">5 Tahun 5 bulan </v>
      </c>
      <c r="O307" s="35"/>
      <c r="P307" s="4" t="s">
        <v>35</v>
      </c>
      <c r="Q307" s="4" t="str">
        <f t="shared" si="59"/>
        <v>Laki-Laki</v>
      </c>
      <c r="R307" s="4">
        <f t="shared" si="66"/>
        <v>1</v>
      </c>
      <c r="S307" s="4" t="str">
        <f t="shared" si="68"/>
        <v>1</v>
      </c>
      <c r="T307" s="4">
        <f t="shared" si="67"/>
        <v>0</v>
      </c>
      <c r="U307" s="29"/>
      <c r="V307" s="30" t="s">
        <v>50</v>
      </c>
      <c r="W307" s="30"/>
      <c r="X307" s="30"/>
      <c r="Y307" s="30"/>
      <c r="Z307" s="30"/>
      <c r="AA307" s="30"/>
      <c r="AB307" s="29"/>
      <c r="AC307" s="29"/>
      <c r="AD307" s="37">
        <f t="shared" si="61"/>
        <v>29161</v>
      </c>
      <c r="AE307" s="3" t="str">
        <f t="shared" ca="1" si="60"/>
        <v>46 Tahun 9 bulan 30 Hari</v>
      </c>
      <c r="AF307" s="38">
        <f t="shared" si="62"/>
        <v>51105</v>
      </c>
    </row>
    <row r="308" spans="1:32" s="7" customFormat="1" ht="32.15" customHeight="1" x14ac:dyDescent="0.35">
      <c r="A308" s="26">
        <f t="shared" si="63"/>
        <v>288</v>
      </c>
      <c r="B308" s="27" t="s">
        <v>923</v>
      </c>
      <c r="C308" s="256" t="s">
        <v>948</v>
      </c>
      <c r="D308" s="257"/>
      <c r="E308" s="24" t="s">
        <v>949</v>
      </c>
      <c r="F308" s="24" t="s">
        <v>43</v>
      </c>
      <c r="G308" s="3" t="s">
        <v>2829</v>
      </c>
      <c r="H308" s="4" t="s">
        <v>2830</v>
      </c>
      <c r="I308" s="4" t="s">
        <v>2831</v>
      </c>
      <c r="J308" s="53" t="s">
        <v>898</v>
      </c>
      <c r="K308" s="3" t="str">
        <f t="shared" ca="1" si="57"/>
        <v xml:space="preserve">0 Tahun 8 bulan </v>
      </c>
      <c r="L308" s="30" t="s">
        <v>346</v>
      </c>
      <c r="M308" s="47"/>
      <c r="N308" s="3" t="str">
        <f t="shared" ca="1" si="58"/>
        <v/>
      </c>
      <c r="O308" s="24"/>
      <c r="P308" s="4" t="s">
        <v>35</v>
      </c>
      <c r="Q308" s="4" t="str">
        <f t="shared" si="59"/>
        <v>Laki-Laki</v>
      </c>
      <c r="R308" s="4">
        <f t="shared" si="66"/>
        <v>1</v>
      </c>
      <c r="S308" s="4" t="str">
        <f t="shared" si="68"/>
        <v>1</v>
      </c>
      <c r="T308" s="4">
        <f t="shared" si="67"/>
        <v>0</v>
      </c>
      <c r="U308" s="29"/>
      <c r="V308" s="30" t="s">
        <v>50</v>
      </c>
      <c r="W308" s="30"/>
      <c r="X308" s="30"/>
      <c r="Y308" s="30"/>
      <c r="Z308" s="30"/>
      <c r="AA308" s="30"/>
      <c r="AB308" s="29"/>
      <c r="AC308" s="29"/>
      <c r="AD308" s="37">
        <f t="shared" si="61"/>
        <v>25813</v>
      </c>
      <c r="AE308" s="3" t="str">
        <f t="shared" ca="1" si="60"/>
        <v>55 Tahun 11 bulan 30 Hari</v>
      </c>
      <c r="AF308" s="38">
        <f t="shared" si="62"/>
        <v>47757</v>
      </c>
    </row>
    <row r="309" spans="1:32" s="7" customFormat="1" ht="32.15" customHeight="1" x14ac:dyDescent="0.35">
      <c r="A309" s="26">
        <f t="shared" si="63"/>
        <v>289</v>
      </c>
      <c r="B309" s="27" t="s">
        <v>923</v>
      </c>
      <c r="C309" s="26"/>
      <c r="D309" s="50" t="s">
        <v>950</v>
      </c>
      <c r="E309" s="58" t="s">
        <v>951</v>
      </c>
      <c r="F309" s="24" t="s">
        <v>43</v>
      </c>
      <c r="G309" s="25" t="s">
        <v>952</v>
      </c>
      <c r="H309" s="4" t="s">
        <v>410</v>
      </c>
      <c r="I309" s="33" t="s">
        <v>251</v>
      </c>
      <c r="J309" s="47" t="s">
        <v>953</v>
      </c>
      <c r="K309" s="3" t="str">
        <f t="shared" ca="1" si="57"/>
        <v xml:space="preserve">3 Tahun 9 bulan </v>
      </c>
      <c r="L309" s="30" t="s">
        <v>200</v>
      </c>
      <c r="M309" s="47" t="s">
        <v>953</v>
      </c>
      <c r="N309" s="3" t="str">
        <f t="shared" ca="1" si="58"/>
        <v xml:space="preserve">3 Tahun 9 bulan </v>
      </c>
      <c r="O309" s="29"/>
      <c r="P309" s="30" t="s">
        <v>35</v>
      </c>
      <c r="Q309" s="4" t="str">
        <f t="shared" si="59"/>
        <v>Laki-Laki</v>
      </c>
      <c r="R309" s="4">
        <f t="shared" si="66"/>
        <v>1</v>
      </c>
      <c r="S309" s="4" t="str">
        <f t="shared" si="68"/>
        <v>1</v>
      </c>
      <c r="T309" s="4">
        <f t="shared" si="67"/>
        <v>0</v>
      </c>
      <c r="U309" s="29"/>
      <c r="V309" s="30" t="s">
        <v>50</v>
      </c>
      <c r="W309" s="30"/>
      <c r="X309" s="30"/>
      <c r="Y309" s="30"/>
      <c r="Z309" s="30"/>
      <c r="AA309" s="30"/>
      <c r="AB309" s="29"/>
      <c r="AC309" s="29"/>
      <c r="AD309" s="37">
        <f t="shared" si="61"/>
        <v>29717</v>
      </c>
      <c r="AE309" s="3" t="str">
        <f t="shared" ca="1" si="60"/>
        <v>45 Tahun 3 bulan 21 Hari</v>
      </c>
      <c r="AF309" s="38">
        <f t="shared" si="62"/>
        <v>51653</v>
      </c>
    </row>
    <row r="310" spans="1:32" s="7" customFormat="1" ht="32.15" customHeight="1" x14ac:dyDescent="0.35">
      <c r="A310" s="26">
        <f t="shared" si="63"/>
        <v>290</v>
      </c>
      <c r="B310" s="27" t="s">
        <v>923</v>
      </c>
      <c r="C310" s="26"/>
      <c r="D310" s="50" t="s">
        <v>954</v>
      </c>
      <c r="E310" s="24" t="s">
        <v>955</v>
      </c>
      <c r="F310" s="24" t="s">
        <v>43</v>
      </c>
      <c r="G310" s="3" t="s">
        <v>956</v>
      </c>
      <c r="H310" s="4" t="s">
        <v>957</v>
      </c>
      <c r="I310" s="33" t="s">
        <v>86</v>
      </c>
      <c r="J310" s="47" t="s">
        <v>533</v>
      </c>
      <c r="K310" s="3" t="str">
        <f t="shared" ca="1" si="57"/>
        <v xml:space="preserve">9 Tahun 7 bulan </v>
      </c>
      <c r="L310" s="30" t="s">
        <v>200</v>
      </c>
      <c r="M310" s="47" t="s">
        <v>533</v>
      </c>
      <c r="N310" s="3" t="str">
        <f t="shared" ca="1" si="58"/>
        <v xml:space="preserve">9 Tahun 7 bulan </v>
      </c>
      <c r="O310" s="4"/>
      <c r="P310" s="30" t="s">
        <v>35</v>
      </c>
      <c r="Q310" s="4" t="str">
        <f t="shared" si="59"/>
        <v>Laki-Laki</v>
      </c>
      <c r="R310" s="4">
        <f t="shared" si="66"/>
        <v>1</v>
      </c>
      <c r="S310" s="4" t="str">
        <f t="shared" si="68"/>
        <v>1</v>
      </c>
      <c r="T310" s="4">
        <f t="shared" si="67"/>
        <v>0</v>
      </c>
      <c r="U310" s="29"/>
      <c r="V310" s="30" t="s">
        <v>50</v>
      </c>
      <c r="W310" s="30"/>
      <c r="X310" s="30"/>
      <c r="Y310" s="30"/>
      <c r="Z310" s="30"/>
      <c r="AA310" s="30"/>
      <c r="AB310" s="29"/>
      <c r="AC310" s="29"/>
      <c r="AD310" s="37">
        <f t="shared" si="61"/>
        <v>27395</v>
      </c>
      <c r="AE310" s="3" t="str">
        <f t="shared" ca="1" si="60"/>
        <v>51 Tahun 8 bulan 0 Hari</v>
      </c>
      <c r="AF310" s="38">
        <f t="shared" si="62"/>
        <v>49341</v>
      </c>
    </row>
    <row r="311" spans="1:32" s="7" customFormat="1" ht="32.15" customHeight="1" x14ac:dyDescent="0.35">
      <c r="A311" s="26">
        <f t="shared" si="63"/>
        <v>291</v>
      </c>
      <c r="B311" s="27" t="s">
        <v>923</v>
      </c>
      <c r="C311" s="256" t="s">
        <v>958</v>
      </c>
      <c r="D311" s="257"/>
      <c r="E311" s="24" t="s">
        <v>959</v>
      </c>
      <c r="F311" s="24" t="s">
        <v>43</v>
      </c>
      <c r="G311" s="3" t="s">
        <v>960</v>
      </c>
      <c r="H311" s="56" t="s">
        <v>159</v>
      </c>
      <c r="I311" s="33" t="s">
        <v>86</v>
      </c>
      <c r="J311" s="47" t="s">
        <v>275</v>
      </c>
      <c r="K311" s="3" t="str">
        <f t="shared" ca="1" si="57"/>
        <v xml:space="preserve">5 Tahun 10 bulan </v>
      </c>
      <c r="L311" s="30" t="s">
        <v>346</v>
      </c>
      <c r="M311" s="47" t="s">
        <v>275</v>
      </c>
      <c r="N311" s="3" t="str">
        <f t="shared" ca="1" si="58"/>
        <v xml:space="preserve">5 Tahun 10 bulan </v>
      </c>
      <c r="O311" s="4"/>
      <c r="P311" s="30" t="s">
        <v>35</v>
      </c>
      <c r="Q311" s="4" t="str">
        <f t="shared" si="59"/>
        <v>Laki-Laki</v>
      </c>
      <c r="R311" s="4">
        <f t="shared" si="66"/>
        <v>1</v>
      </c>
      <c r="S311" s="4" t="str">
        <f t="shared" si="68"/>
        <v>1</v>
      </c>
      <c r="T311" s="4">
        <f t="shared" si="67"/>
        <v>0</v>
      </c>
      <c r="U311" s="29"/>
      <c r="V311" s="30" t="s">
        <v>50</v>
      </c>
      <c r="W311" s="30"/>
      <c r="X311" s="30"/>
      <c r="Y311" s="30"/>
      <c r="Z311" s="30"/>
      <c r="AA311" s="30"/>
      <c r="AB311" s="29"/>
      <c r="AC311" s="29"/>
      <c r="AD311" s="37">
        <f t="shared" si="61"/>
        <v>29104</v>
      </c>
      <c r="AE311" s="3" t="str">
        <f t="shared" ca="1" si="60"/>
        <v>46 Tahun 11 bulan 26 Hari</v>
      </c>
      <c r="AF311" s="38">
        <f t="shared" si="62"/>
        <v>51044</v>
      </c>
    </row>
    <row r="312" spans="1:32" s="7" customFormat="1" ht="32.15" customHeight="1" x14ac:dyDescent="0.35">
      <c r="A312" s="26">
        <f t="shared" si="63"/>
        <v>292</v>
      </c>
      <c r="B312" s="27" t="s">
        <v>923</v>
      </c>
      <c r="C312" s="26"/>
      <c r="D312" s="50" t="s">
        <v>961</v>
      </c>
      <c r="E312" s="24" t="s">
        <v>962</v>
      </c>
      <c r="F312" s="24" t="s">
        <v>43</v>
      </c>
      <c r="G312" s="3" t="s">
        <v>963</v>
      </c>
      <c r="H312" s="4" t="s">
        <v>891</v>
      </c>
      <c r="I312" s="33" t="s">
        <v>964</v>
      </c>
      <c r="J312" s="81" t="s">
        <v>237</v>
      </c>
      <c r="K312" s="3" t="str">
        <f t="shared" ca="1" si="57"/>
        <v xml:space="preserve">4 Tahun 7 bulan </v>
      </c>
      <c r="L312" s="30" t="s">
        <v>200</v>
      </c>
      <c r="M312" s="81" t="s">
        <v>237</v>
      </c>
      <c r="N312" s="3" t="str">
        <f t="shared" ca="1" si="58"/>
        <v xml:space="preserve">4 Tahun 7 bulan </v>
      </c>
      <c r="O312" s="4"/>
      <c r="P312" s="30" t="s">
        <v>35</v>
      </c>
      <c r="Q312" s="4" t="str">
        <f t="shared" si="59"/>
        <v>Laki-Laki</v>
      </c>
      <c r="R312" s="4">
        <f t="shared" si="66"/>
        <v>1</v>
      </c>
      <c r="S312" s="4" t="str">
        <f t="shared" si="68"/>
        <v>1</v>
      </c>
      <c r="T312" s="4">
        <f t="shared" si="67"/>
        <v>0</v>
      </c>
      <c r="U312" s="29"/>
      <c r="V312" s="30" t="s">
        <v>50</v>
      </c>
      <c r="W312" s="30"/>
      <c r="X312" s="30"/>
      <c r="Y312" s="30"/>
      <c r="Z312" s="30"/>
      <c r="AA312" s="30"/>
      <c r="AB312" s="29"/>
      <c r="AC312" s="29"/>
      <c r="AD312" s="37">
        <f t="shared" si="61"/>
        <v>26513</v>
      </c>
      <c r="AE312" s="3" t="str">
        <f t="shared" ca="1" si="60"/>
        <v>54 Tahun 0 bulan 30 Hari</v>
      </c>
      <c r="AF312" s="38">
        <f t="shared" si="62"/>
        <v>48458</v>
      </c>
    </row>
    <row r="313" spans="1:32" s="7" customFormat="1" ht="35.25" customHeight="1" x14ac:dyDescent="0.35">
      <c r="A313" s="26">
        <f t="shared" si="63"/>
        <v>293</v>
      </c>
      <c r="B313" s="27" t="s">
        <v>923</v>
      </c>
      <c r="C313" s="26"/>
      <c r="D313" s="50" t="s">
        <v>965</v>
      </c>
      <c r="E313" s="51" t="s">
        <v>966</v>
      </c>
      <c r="F313" s="24" t="s">
        <v>43</v>
      </c>
      <c r="G313" s="52" t="s">
        <v>967</v>
      </c>
      <c r="H313" s="4" t="s">
        <v>410</v>
      </c>
      <c r="I313" s="33" t="s">
        <v>67</v>
      </c>
      <c r="J313" s="47" t="s">
        <v>533</v>
      </c>
      <c r="K313" s="3" t="str">
        <f t="shared" ca="1" si="57"/>
        <v xml:space="preserve">9 Tahun 7 bulan </v>
      </c>
      <c r="L313" s="30" t="s">
        <v>200</v>
      </c>
      <c r="M313" s="47" t="s">
        <v>533</v>
      </c>
      <c r="N313" s="3" t="str">
        <f t="shared" ca="1" si="58"/>
        <v xml:space="preserve">9 Tahun 7 bulan </v>
      </c>
      <c r="O313" s="4"/>
      <c r="P313" s="4" t="s">
        <v>968</v>
      </c>
      <c r="Q313" s="4" t="str">
        <f t="shared" si="59"/>
        <v>Laki-Laki</v>
      </c>
      <c r="R313" s="4">
        <f t="shared" si="66"/>
        <v>1</v>
      </c>
      <c r="S313" s="4" t="str">
        <f t="shared" si="68"/>
        <v>1</v>
      </c>
      <c r="T313" s="4">
        <f t="shared" si="67"/>
        <v>0</v>
      </c>
      <c r="U313" s="29"/>
      <c r="V313" s="30" t="s">
        <v>50</v>
      </c>
      <c r="W313" s="30"/>
      <c r="X313" s="30"/>
      <c r="Y313" s="30"/>
      <c r="Z313" s="30"/>
      <c r="AA313" s="30"/>
      <c r="AB313" s="29"/>
      <c r="AC313" s="29"/>
      <c r="AD313" s="37">
        <f t="shared" si="61"/>
        <v>28267</v>
      </c>
      <c r="AE313" s="3" t="str">
        <f t="shared" ca="1" si="60"/>
        <v>49 Tahun 3 bulan 10 Hari</v>
      </c>
      <c r="AF313" s="38">
        <f t="shared" si="62"/>
        <v>50192</v>
      </c>
    </row>
    <row r="314" spans="1:32" s="7" customFormat="1" ht="32.15" customHeight="1" x14ac:dyDescent="0.35">
      <c r="A314" s="26"/>
      <c r="B314" s="32" t="s">
        <v>969</v>
      </c>
      <c r="C314" s="280" t="s">
        <v>970</v>
      </c>
      <c r="D314" s="281"/>
      <c r="E314" s="24"/>
      <c r="F314" s="24"/>
      <c r="G314" s="4"/>
      <c r="H314" s="4"/>
      <c r="I314" s="33"/>
      <c r="J314" s="5"/>
      <c r="K314" s="3" t="str">
        <f t="shared" ca="1" si="57"/>
        <v/>
      </c>
      <c r="L314" s="30"/>
      <c r="M314" s="5"/>
      <c r="N314" s="3" t="str">
        <f t="shared" ca="1" si="58"/>
        <v/>
      </c>
      <c r="O314" s="4"/>
      <c r="P314" s="4"/>
      <c r="Q314" s="4"/>
      <c r="R314" s="4"/>
      <c r="S314" s="4"/>
      <c r="T314" s="4"/>
      <c r="U314" s="29"/>
      <c r="V314" s="30"/>
      <c r="W314" s="30"/>
      <c r="X314" s="30"/>
      <c r="Y314" s="30"/>
      <c r="Z314" s="30"/>
      <c r="AA314" s="30"/>
      <c r="AB314" s="29"/>
      <c r="AC314" s="29"/>
      <c r="AD314" s="37" t="str">
        <f t="shared" si="61"/>
        <v/>
      </c>
      <c r="AE314" s="3" t="str">
        <f t="shared" ca="1" si="60"/>
        <v/>
      </c>
      <c r="AF314" s="38" t="str">
        <f t="shared" si="62"/>
        <v/>
      </c>
    </row>
    <row r="315" spans="1:32" s="7" customFormat="1" ht="32.15" customHeight="1" x14ac:dyDescent="0.35">
      <c r="A315" s="26">
        <f>A313+1</f>
        <v>294</v>
      </c>
      <c r="B315" s="32" t="s">
        <v>969</v>
      </c>
      <c r="C315" s="278" t="s">
        <v>971</v>
      </c>
      <c r="D315" s="279"/>
      <c r="E315" s="24" t="s">
        <v>972</v>
      </c>
      <c r="F315" s="24" t="s">
        <v>43</v>
      </c>
      <c r="G315" s="3" t="s">
        <v>973</v>
      </c>
      <c r="H315" s="4" t="s">
        <v>974</v>
      </c>
      <c r="I315" s="33" t="s">
        <v>975</v>
      </c>
      <c r="J315" s="47" t="s">
        <v>652</v>
      </c>
      <c r="K315" s="3" t="str">
        <f t="shared" ca="1" si="57"/>
        <v xml:space="preserve">2 Tahun 11 bulan </v>
      </c>
      <c r="L315" s="30" t="s">
        <v>56</v>
      </c>
      <c r="M315" s="47" t="s">
        <v>652</v>
      </c>
      <c r="N315" s="3" t="str">
        <f t="shared" ca="1" si="58"/>
        <v xml:space="preserve">2 Tahun 11 bulan </v>
      </c>
      <c r="O315" s="36"/>
      <c r="P315" s="4" t="s">
        <v>35</v>
      </c>
      <c r="Q315" s="4" t="str">
        <f t="shared" si="59"/>
        <v>Laki-Laki</v>
      </c>
      <c r="R315" s="4">
        <f>R313</f>
        <v>1</v>
      </c>
      <c r="S315" s="4" t="str">
        <f t="shared" ref="S315:S332" si="69">IF(E315="LOWONG","0","1")</f>
        <v>1</v>
      </c>
      <c r="T315" s="4">
        <f t="shared" si="67"/>
        <v>0</v>
      </c>
      <c r="U315" s="29"/>
      <c r="V315" s="30" t="s">
        <v>50</v>
      </c>
      <c r="W315" s="30"/>
      <c r="X315" s="30"/>
      <c r="Y315" s="30"/>
      <c r="Z315" s="30"/>
      <c r="AA315" s="30"/>
      <c r="AB315" s="29"/>
      <c r="AC315" s="29"/>
      <c r="AD315" s="37">
        <f t="shared" si="61"/>
        <v>24834</v>
      </c>
      <c r="AE315" s="3" t="str">
        <f t="shared" ca="1" si="60"/>
        <v>58 Tahun 8 bulan 4 Hari</v>
      </c>
      <c r="AF315" s="38">
        <f t="shared" si="62"/>
        <v>46753</v>
      </c>
    </row>
    <row r="316" spans="1:32" s="7" customFormat="1" ht="32.15" customHeight="1" x14ac:dyDescent="0.35">
      <c r="A316" s="26">
        <f t="shared" si="63"/>
        <v>295</v>
      </c>
      <c r="B316" s="32" t="s">
        <v>969</v>
      </c>
      <c r="C316" s="256" t="s">
        <v>976</v>
      </c>
      <c r="D316" s="257"/>
      <c r="E316" s="24" t="s">
        <v>977</v>
      </c>
      <c r="F316" s="24" t="s">
        <v>43</v>
      </c>
      <c r="G316" s="3" t="s">
        <v>2832</v>
      </c>
      <c r="H316" s="4" t="s">
        <v>385</v>
      </c>
      <c r="I316" s="4" t="s">
        <v>759</v>
      </c>
      <c r="J316" s="5">
        <v>45993</v>
      </c>
      <c r="K316" s="3" t="str">
        <f t="shared" ca="1" si="57"/>
        <v xml:space="preserve">0 Tahun 8 bulan </v>
      </c>
      <c r="L316" s="30" t="s">
        <v>79</v>
      </c>
      <c r="M316" s="5">
        <v>45993</v>
      </c>
      <c r="N316" s="3" t="str">
        <f t="shared" ca="1" si="58"/>
        <v xml:space="preserve">0 Tahun 8 bulan </v>
      </c>
      <c r="O316" s="36"/>
      <c r="P316" s="4" t="s">
        <v>35</v>
      </c>
      <c r="Q316" s="4" t="str">
        <f t="shared" si="59"/>
        <v/>
      </c>
      <c r="R316" s="4">
        <f t="shared" si="66"/>
        <v>1</v>
      </c>
      <c r="S316" s="4" t="str">
        <f t="shared" si="69"/>
        <v>1</v>
      </c>
      <c r="T316" s="4">
        <f t="shared" si="67"/>
        <v>0</v>
      </c>
      <c r="U316" s="29"/>
      <c r="V316" s="30" t="s">
        <v>50</v>
      </c>
      <c r="W316" s="30"/>
      <c r="X316" s="30"/>
      <c r="Y316" s="30"/>
      <c r="Z316" s="30"/>
      <c r="AA316" s="30"/>
      <c r="AB316" s="29"/>
      <c r="AC316" s="29"/>
      <c r="AD316" s="37">
        <f t="shared" si="61"/>
        <v>25357</v>
      </c>
      <c r="AE316" s="3" t="str">
        <f t="shared" ca="1" si="60"/>
        <v>57 Tahun 2 bulan 29 Hari</v>
      </c>
      <c r="AF316" s="38">
        <f t="shared" si="62"/>
        <v>47300</v>
      </c>
    </row>
    <row r="317" spans="1:32" s="7" customFormat="1" ht="32.15" customHeight="1" x14ac:dyDescent="0.35">
      <c r="A317" s="26">
        <f t="shared" si="63"/>
        <v>296</v>
      </c>
      <c r="B317" s="32" t="s">
        <v>969</v>
      </c>
      <c r="C317" s="26"/>
      <c r="D317" s="50" t="s">
        <v>978</v>
      </c>
      <c r="E317" s="51" t="s">
        <v>2899</v>
      </c>
      <c r="F317" s="24" t="s">
        <v>43</v>
      </c>
      <c r="G317" s="52" t="s">
        <v>2900</v>
      </c>
      <c r="H317" s="4" t="s">
        <v>2901</v>
      </c>
      <c r="I317" s="33" t="s">
        <v>2902</v>
      </c>
      <c r="J317" s="82">
        <v>46087</v>
      </c>
      <c r="K317" s="3" t="str">
        <f t="shared" ca="1" si="57"/>
        <v xml:space="preserve">0 Tahun 5 bulan </v>
      </c>
      <c r="L317" s="30" t="s">
        <v>200</v>
      </c>
      <c r="M317" s="82">
        <v>46087</v>
      </c>
      <c r="N317" s="3" t="str">
        <f t="shared" ca="1" si="58"/>
        <v xml:space="preserve">0 Tahun 5 bulan </v>
      </c>
      <c r="O317" s="4"/>
      <c r="P317" s="4" t="s">
        <v>35</v>
      </c>
      <c r="Q317" s="4" t="str">
        <f t="shared" si="59"/>
        <v>Laki-Laki</v>
      </c>
      <c r="R317" s="4">
        <f t="shared" si="66"/>
        <v>1</v>
      </c>
      <c r="S317" s="4" t="str">
        <f t="shared" si="69"/>
        <v>1</v>
      </c>
      <c r="T317" s="4">
        <f t="shared" si="67"/>
        <v>0</v>
      </c>
      <c r="U317" s="29"/>
      <c r="V317" s="30"/>
      <c r="W317" s="30"/>
      <c r="X317" s="30"/>
      <c r="Y317" s="30"/>
      <c r="Z317" s="30"/>
      <c r="AA317" s="30"/>
      <c r="AB317" s="29"/>
      <c r="AC317" s="29"/>
      <c r="AD317" s="37">
        <f t="shared" si="61"/>
        <v>27704</v>
      </c>
      <c r="AE317" s="3" t="str">
        <f t="shared" ca="1" si="60"/>
        <v>50 Tahun 9 bulan 26 Hari</v>
      </c>
      <c r="AF317" s="38">
        <f t="shared" si="62"/>
        <v>49644</v>
      </c>
    </row>
    <row r="318" spans="1:32" s="7" customFormat="1" ht="32.15" customHeight="1" x14ac:dyDescent="0.35">
      <c r="A318" s="26">
        <f t="shared" si="63"/>
        <v>297</v>
      </c>
      <c r="B318" s="32" t="s">
        <v>969</v>
      </c>
      <c r="C318" s="26"/>
      <c r="D318" s="50" t="s">
        <v>979</v>
      </c>
      <c r="E318" s="24" t="s">
        <v>980</v>
      </c>
      <c r="F318" s="24" t="s">
        <v>43</v>
      </c>
      <c r="G318" s="4" t="s">
        <v>981</v>
      </c>
      <c r="H318" s="4" t="s">
        <v>699</v>
      </c>
      <c r="I318" s="33" t="s">
        <v>46</v>
      </c>
      <c r="J318" s="5">
        <v>44561</v>
      </c>
      <c r="K318" s="3" t="str">
        <f t="shared" ca="1" si="57"/>
        <v xml:space="preserve">4 Tahun 8 bulan </v>
      </c>
      <c r="L318" s="30" t="s">
        <v>88</v>
      </c>
      <c r="M318" s="5">
        <v>44561</v>
      </c>
      <c r="N318" s="3" t="str">
        <f t="shared" ca="1" si="58"/>
        <v xml:space="preserve">4 Tahun 8 bulan </v>
      </c>
      <c r="O318" s="4"/>
      <c r="P318" s="4" t="s">
        <v>35</v>
      </c>
      <c r="Q318" s="4" t="str">
        <f t="shared" si="59"/>
        <v>Laki-Laki</v>
      </c>
      <c r="R318" s="4">
        <f t="shared" si="66"/>
        <v>1</v>
      </c>
      <c r="S318" s="4" t="str">
        <f t="shared" si="69"/>
        <v>1</v>
      </c>
      <c r="T318" s="4">
        <f t="shared" si="67"/>
        <v>0</v>
      </c>
      <c r="U318" s="29"/>
      <c r="V318" s="30" t="s">
        <v>50</v>
      </c>
      <c r="W318" s="30"/>
      <c r="X318" s="30"/>
      <c r="Y318" s="30"/>
      <c r="Z318" s="30"/>
      <c r="AA318" s="30"/>
      <c r="AB318" s="29"/>
      <c r="AC318" s="29"/>
      <c r="AD318" s="37">
        <f t="shared" si="61"/>
        <v>26120</v>
      </c>
      <c r="AE318" s="3" t="str">
        <f t="shared" ca="1" si="60"/>
        <v>55 Tahun 1 bulan 26 Hari</v>
      </c>
      <c r="AF318" s="38">
        <f t="shared" si="62"/>
        <v>48061</v>
      </c>
    </row>
    <row r="319" spans="1:32" s="7" customFormat="1" ht="32.15" customHeight="1" x14ac:dyDescent="0.35">
      <c r="A319" s="26">
        <f t="shared" si="63"/>
        <v>298</v>
      </c>
      <c r="B319" s="32" t="s">
        <v>969</v>
      </c>
      <c r="C319" s="26"/>
      <c r="D319" s="50" t="s">
        <v>982</v>
      </c>
      <c r="E319" s="51" t="s">
        <v>983</v>
      </c>
      <c r="F319" s="24" t="s">
        <v>43</v>
      </c>
      <c r="G319" s="52" t="s">
        <v>984</v>
      </c>
      <c r="H319" s="4" t="s">
        <v>410</v>
      </c>
      <c r="I319" s="33" t="s">
        <v>46</v>
      </c>
      <c r="J319" s="5">
        <v>44561</v>
      </c>
      <c r="K319" s="3" t="str">
        <f t="shared" ca="1" si="57"/>
        <v xml:space="preserve">4 Tahun 8 bulan </v>
      </c>
      <c r="L319" s="30" t="s">
        <v>88</v>
      </c>
      <c r="M319" s="5">
        <v>44561</v>
      </c>
      <c r="N319" s="3" t="str">
        <f t="shared" ca="1" si="58"/>
        <v xml:space="preserve">4 Tahun 8 bulan </v>
      </c>
      <c r="O319" s="4"/>
      <c r="P319" s="4" t="s">
        <v>35</v>
      </c>
      <c r="Q319" s="4" t="str">
        <f t="shared" si="59"/>
        <v/>
      </c>
      <c r="R319" s="4">
        <f t="shared" si="66"/>
        <v>1</v>
      </c>
      <c r="S319" s="4" t="str">
        <f t="shared" si="69"/>
        <v>1</v>
      </c>
      <c r="T319" s="4">
        <f t="shared" si="67"/>
        <v>0</v>
      </c>
      <c r="U319" s="29"/>
      <c r="V319" s="30"/>
      <c r="W319" s="30"/>
      <c r="X319" s="30"/>
      <c r="Y319" s="30"/>
      <c r="Z319" s="30"/>
      <c r="AA319" s="30"/>
      <c r="AB319" s="29"/>
      <c r="AC319" s="29"/>
      <c r="AD319" s="37">
        <f t="shared" si="61"/>
        <v>29021</v>
      </c>
      <c r="AE319" s="3" t="str">
        <f t="shared" ca="1" si="60"/>
        <v>47 Tahun 2 bulan 17 Hari</v>
      </c>
      <c r="AF319" s="38">
        <f t="shared" si="62"/>
        <v>50952</v>
      </c>
    </row>
    <row r="320" spans="1:32" s="7" customFormat="1" ht="32.15" customHeight="1" x14ac:dyDescent="0.35">
      <c r="A320" s="26">
        <f t="shared" si="63"/>
        <v>299</v>
      </c>
      <c r="B320" s="32" t="s">
        <v>969</v>
      </c>
      <c r="C320" s="256" t="s">
        <v>985</v>
      </c>
      <c r="D320" s="257"/>
      <c r="E320" s="24" t="s">
        <v>986</v>
      </c>
      <c r="F320" s="24" t="s">
        <v>43</v>
      </c>
      <c r="G320" s="4" t="s">
        <v>987</v>
      </c>
      <c r="H320" s="4" t="s">
        <v>988</v>
      </c>
      <c r="I320" s="4" t="s">
        <v>989</v>
      </c>
      <c r="J320" s="5" t="s">
        <v>127</v>
      </c>
      <c r="K320" s="3" t="str">
        <f t="shared" ca="1" si="57"/>
        <v xml:space="preserve">5 Tahun 6 bulan </v>
      </c>
      <c r="L320" s="30" t="s">
        <v>346</v>
      </c>
      <c r="M320" s="5" t="s">
        <v>127</v>
      </c>
      <c r="N320" s="3" t="str">
        <f t="shared" ca="1" si="58"/>
        <v xml:space="preserve">5 Tahun 6 bulan </v>
      </c>
      <c r="O320" s="44"/>
      <c r="P320" s="4" t="s">
        <v>35</v>
      </c>
      <c r="Q320" s="4" t="str">
        <f t="shared" si="59"/>
        <v>Laki-Laki</v>
      </c>
      <c r="R320" s="4">
        <f t="shared" si="66"/>
        <v>1</v>
      </c>
      <c r="S320" s="4" t="str">
        <f t="shared" si="69"/>
        <v>1</v>
      </c>
      <c r="T320" s="4">
        <f t="shared" si="67"/>
        <v>0</v>
      </c>
      <c r="U320" s="29"/>
      <c r="V320" s="30" t="s">
        <v>50</v>
      </c>
      <c r="W320" s="30"/>
      <c r="X320" s="30"/>
      <c r="Y320" s="30"/>
      <c r="Z320" s="30"/>
      <c r="AA320" s="30"/>
      <c r="AB320" s="29"/>
      <c r="AC320" s="29"/>
      <c r="AD320" s="37">
        <f t="shared" si="61"/>
        <v>28457</v>
      </c>
      <c r="AE320" s="3" t="str">
        <f t="shared" ca="1" si="60"/>
        <v>48 Tahun 9 bulan 4 Hari</v>
      </c>
      <c r="AF320" s="38">
        <f t="shared" si="62"/>
        <v>50375</v>
      </c>
    </row>
    <row r="321" spans="1:32" s="7" customFormat="1" ht="32.15" customHeight="1" x14ac:dyDescent="0.35">
      <c r="A321" s="26">
        <f t="shared" si="63"/>
        <v>300</v>
      </c>
      <c r="B321" s="32" t="s">
        <v>969</v>
      </c>
      <c r="C321" s="26"/>
      <c r="D321" s="50" t="s">
        <v>990</v>
      </c>
      <c r="E321" s="24" t="s">
        <v>991</v>
      </c>
      <c r="F321" s="24" t="s">
        <v>43</v>
      </c>
      <c r="G321" s="3" t="s">
        <v>992</v>
      </c>
      <c r="H321" s="4" t="s">
        <v>479</v>
      </c>
      <c r="I321" s="33" t="s">
        <v>46</v>
      </c>
      <c r="J321" s="5">
        <v>44561</v>
      </c>
      <c r="K321" s="3" t="str">
        <f t="shared" ca="1" si="57"/>
        <v xml:space="preserve">4 Tahun 8 bulan </v>
      </c>
      <c r="L321" s="30" t="s">
        <v>88</v>
      </c>
      <c r="M321" s="5">
        <v>44561</v>
      </c>
      <c r="N321" s="3" t="str">
        <f t="shared" ca="1" si="58"/>
        <v xml:space="preserve">4 Tahun 8 bulan </v>
      </c>
      <c r="O321" s="4"/>
      <c r="P321" s="4" t="s">
        <v>35</v>
      </c>
      <c r="Q321" s="4" t="str">
        <f t="shared" si="59"/>
        <v>Laki-Laki</v>
      </c>
      <c r="R321" s="4">
        <f t="shared" si="66"/>
        <v>1</v>
      </c>
      <c r="S321" s="4" t="str">
        <f t="shared" si="69"/>
        <v>1</v>
      </c>
      <c r="T321" s="4">
        <f t="shared" si="67"/>
        <v>0</v>
      </c>
      <c r="U321" s="29"/>
      <c r="V321" s="30" t="s">
        <v>50</v>
      </c>
      <c r="W321" s="30"/>
      <c r="X321" s="30"/>
      <c r="Y321" s="30"/>
      <c r="Z321" s="30"/>
      <c r="AA321" s="30"/>
      <c r="AB321" s="29"/>
      <c r="AC321" s="29"/>
      <c r="AD321" s="37">
        <f t="shared" si="61"/>
        <v>31450</v>
      </c>
      <c r="AE321" s="3" t="str">
        <f t="shared" ca="1" si="60"/>
        <v>40 Tahun 6 bulan 25 Hari</v>
      </c>
      <c r="AF321" s="38">
        <f t="shared" si="62"/>
        <v>53387</v>
      </c>
    </row>
    <row r="322" spans="1:32" s="7" customFormat="1" ht="32.15" customHeight="1" x14ac:dyDescent="0.35">
      <c r="A322" s="26">
        <f t="shared" si="63"/>
        <v>301</v>
      </c>
      <c r="B322" s="32" t="s">
        <v>969</v>
      </c>
      <c r="C322" s="26"/>
      <c r="D322" s="50" t="s">
        <v>993</v>
      </c>
      <c r="E322" s="24" t="s">
        <v>108</v>
      </c>
      <c r="F322" s="24"/>
      <c r="G322" s="3"/>
      <c r="H322" s="4"/>
      <c r="I322" s="41"/>
      <c r="J322" s="49"/>
      <c r="K322" s="3" t="str">
        <f t="shared" ca="1" si="57"/>
        <v/>
      </c>
      <c r="L322" s="30" t="s">
        <v>88</v>
      </c>
      <c r="M322" s="49"/>
      <c r="N322" s="3" t="str">
        <f t="shared" ca="1" si="58"/>
        <v/>
      </c>
      <c r="O322" s="36"/>
      <c r="P322" s="4"/>
      <c r="Q322" s="4" t="str">
        <f t="shared" si="59"/>
        <v/>
      </c>
      <c r="R322" s="4">
        <f t="shared" si="66"/>
        <v>1</v>
      </c>
      <c r="S322" s="4" t="str">
        <f t="shared" si="69"/>
        <v>0</v>
      </c>
      <c r="T322" s="4">
        <f t="shared" si="67"/>
        <v>1</v>
      </c>
      <c r="U322" s="29"/>
      <c r="V322" s="30" t="s">
        <v>50</v>
      </c>
      <c r="W322" s="30"/>
      <c r="X322" s="30"/>
      <c r="Y322" s="30"/>
      <c r="Z322" s="30"/>
      <c r="AA322" s="30"/>
      <c r="AB322" s="29"/>
      <c r="AC322" s="29"/>
      <c r="AD322" s="37" t="str">
        <f t="shared" si="61"/>
        <v/>
      </c>
      <c r="AE322" s="3" t="str">
        <f t="shared" ca="1" si="60"/>
        <v/>
      </c>
      <c r="AF322" s="38" t="str">
        <f t="shared" si="62"/>
        <v/>
      </c>
    </row>
    <row r="323" spans="1:32" s="7" customFormat="1" ht="32.15" customHeight="1" x14ac:dyDescent="0.35">
      <c r="A323" s="26">
        <f t="shared" si="63"/>
        <v>302</v>
      </c>
      <c r="B323" s="32" t="s">
        <v>969</v>
      </c>
      <c r="C323" s="26"/>
      <c r="D323" s="50" t="s">
        <v>993</v>
      </c>
      <c r="E323" s="93" t="s">
        <v>994</v>
      </c>
      <c r="F323" s="93" t="s">
        <v>43</v>
      </c>
      <c r="G323" s="94" t="s">
        <v>995</v>
      </c>
      <c r="H323" s="4" t="s">
        <v>102</v>
      </c>
      <c r="I323" s="33" t="s">
        <v>46</v>
      </c>
      <c r="J323" s="5">
        <v>44561</v>
      </c>
      <c r="K323" s="3" t="str">
        <f t="shared" ca="1" si="57"/>
        <v xml:space="preserve">4 Tahun 8 bulan </v>
      </c>
      <c r="L323" s="30" t="s">
        <v>88</v>
      </c>
      <c r="M323" s="5">
        <v>44561</v>
      </c>
      <c r="N323" s="3" t="str">
        <f t="shared" ca="1" si="58"/>
        <v xml:space="preserve">4 Tahun 8 bulan </v>
      </c>
      <c r="O323" s="56"/>
      <c r="P323" s="4" t="s">
        <v>35</v>
      </c>
      <c r="Q323" s="4" t="str">
        <f t="shared" si="59"/>
        <v>Laki-Laki</v>
      </c>
      <c r="R323" s="4">
        <f t="shared" si="66"/>
        <v>1</v>
      </c>
      <c r="S323" s="4" t="str">
        <f t="shared" si="69"/>
        <v>1</v>
      </c>
      <c r="T323" s="4">
        <f t="shared" si="67"/>
        <v>0</v>
      </c>
      <c r="U323" s="29"/>
      <c r="V323" s="30" t="s">
        <v>50</v>
      </c>
      <c r="W323" s="30"/>
      <c r="X323" s="30"/>
      <c r="Y323" s="30"/>
      <c r="Z323" s="30"/>
      <c r="AA323" s="30"/>
      <c r="AB323" s="29"/>
      <c r="AC323" s="29"/>
      <c r="AD323" s="37">
        <f t="shared" si="61"/>
        <v>30258</v>
      </c>
      <c r="AE323" s="3" t="str">
        <f t="shared" ca="1" si="60"/>
        <v>43 Tahun 9 bulan 29 Hari</v>
      </c>
      <c r="AF323" s="38">
        <f t="shared" si="62"/>
        <v>52201</v>
      </c>
    </row>
    <row r="324" spans="1:32" s="7" customFormat="1" ht="32.15" customHeight="1" x14ac:dyDescent="0.35">
      <c r="A324" s="26">
        <f t="shared" si="63"/>
        <v>303</v>
      </c>
      <c r="B324" s="32" t="s">
        <v>969</v>
      </c>
      <c r="C324" s="256" t="s">
        <v>996</v>
      </c>
      <c r="D324" s="257"/>
      <c r="E324" s="24" t="s">
        <v>997</v>
      </c>
      <c r="F324" s="24" t="s">
        <v>43</v>
      </c>
      <c r="G324" s="4" t="s">
        <v>998</v>
      </c>
      <c r="H324" s="4" t="s">
        <v>135</v>
      </c>
      <c r="I324" s="33" t="s">
        <v>118</v>
      </c>
      <c r="J324" s="5" t="s">
        <v>369</v>
      </c>
      <c r="K324" s="3" t="str">
        <f t="shared" ca="1" si="57"/>
        <v xml:space="preserve">3 Tahun 11 bulan </v>
      </c>
      <c r="L324" s="30" t="s">
        <v>346</v>
      </c>
      <c r="M324" s="5" t="s">
        <v>369</v>
      </c>
      <c r="N324" s="3" t="str">
        <f t="shared" ca="1" si="58"/>
        <v xml:space="preserve">3 Tahun 11 bulan </v>
      </c>
      <c r="O324" s="36"/>
      <c r="P324" s="4" t="s">
        <v>35</v>
      </c>
      <c r="Q324" s="4" t="str">
        <f t="shared" si="59"/>
        <v>Laki-Laki</v>
      </c>
      <c r="R324" s="4">
        <f t="shared" si="66"/>
        <v>1</v>
      </c>
      <c r="S324" s="4" t="str">
        <f t="shared" si="69"/>
        <v>1</v>
      </c>
      <c r="T324" s="4">
        <f t="shared" si="67"/>
        <v>0</v>
      </c>
      <c r="U324" s="29"/>
      <c r="V324" s="30" t="s">
        <v>50</v>
      </c>
      <c r="W324" s="30"/>
      <c r="X324" s="30"/>
      <c r="Y324" s="30"/>
      <c r="Z324" s="30"/>
      <c r="AA324" s="30"/>
      <c r="AB324" s="29"/>
      <c r="AC324" s="29"/>
      <c r="AD324" s="37">
        <f t="shared" si="61"/>
        <v>29677</v>
      </c>
      <c r="AE324" s="3" t="str">
        <f t="shared" ca="1" si="60"/>
        <v>45 Tahun 5 bulan 0 Hari</v>
      </c>
      <c r="AF324" s="38">
        <f t="shared" si="62"/>
        <v>51622</v>
      </c>
    </row>
    <row r="325" spans="1:32" s="7" customFormat="1" ht="32.15" customHeight="1" x14ac:dyDescent="0.35">
      <c r="A325" s="26">
        <f t="shared" si="63"/>
        <v>304</v>
      </c>
      <c r="B325" s="32" t="s">
        <v>969</v>
      </c>
      <c r="C325" s="26"/>
      <c r="D325" s="50" t="s">
        <v>999</v>
      </c>
      <c r="E325" s="24" t="s">
        <v>1000</v>
      </c>
      <c r="F325" s="93" t="s">
        <v>43</v>
      </c>
      <c r="G325" s="4" t="s">
        <v>1001</v>
      </c>
      <c r="H325" s="4" t="s">
        <v>135</v>
      </c>
      <c r="I325" s="33" t="s">
        <v>86</v>
      </c>
      <c r="J325" s="5">
        <v>44561</v>
      </c>
      <c r="K325" s="3" t="str">
        <f t="shared" ca="1" si="57"/>
        <v xml:space="preserve">4 Tahun 8 bulan </v>
      </c>
      <c r="L325" s="30" t="s">
        <v>88</v>
      </c>
      <c r="M325" s="5">
        <v>44561</v>
      </c>
      <c r="N325" s="3" t="str">
        <f t="shared" ca="1" si="58"/>
        <v xml:space="preserve">4 Tahun 8 bulan </v>
      </c>
      <c r="O325" s="4"/>
      <c r="P325" s="4" t="s">
        <v>35</v>
      </c>
      <c r="Q325" s="4" t="str">
        <f t="shared" si="59"/>
        <v>Laki-Laki</v>
      </c>
      <c r="R325" s="4">
        <f t="shared" si="66"/>
        <v>1</v>
      </c>
      <c r="S325" s="4" t="str">
        <f t="shared" si="69"/>
        <v>1</v>
      </c>
      <c r="T325" s="4">
        <f t="shared" si="67"/>
        <v>0</v>
      </c>
      <c r="U325" s="29"/>
      <c r="V325" s="30" t="s">
        <v>50</v>
      </c>
      <c r="W325" s="30"/>
      <c r="X325" s="30"/>
      <c r="Y325" s="30"/>
      <c r="Z325" s="30"/>
      <c r="AA325" s="30"/>
      <c r="AB325" s="29"/>
      <c r="AC325" s="29"/>
      <c r="AD325" s="37">
        <f t="shared" si="61"/>
        <v>27995</v>
      </c>
      <c r="AE325" s="3" t="str">
        <f t="shared" ca="1" si="60"/>
        <v>50 Tahun 0 bulan 9 Hari</v>
      </c>
      <c r="AF325" s="38">
        <f t="shared" si="62"/>
        <v>49919</v>
      </c>
    </row>
    <row r="326" spans="1:32" s="7" customFormat="1" ht="32.15" customHeight="1" x14ac:dyDescent="0.35">
      <c r="A326" s="26">
        <f t="shared" si="63"/>
        <v>305</v>
      </c>
      <c r="B326" s="32" t="s">
        <v>969</v>
      </c>
      <c r="C326" s="26"/>
      <c r="D326" s="50" t="s">
        <v>999</v>
      </c>
      <c r="E326" s="24" t="s">
        <v>1002</v>
      </c>
      <c r="F326" s="93" t="s">
        <v>43</v>
      </c>
      <c r="G326" s="4" t="s">
        <v>1003</v>
      </c>
      <c r="H326" s="4" t="s">
        <v>379</v>
      </c>
      <c r="I326" s="33" t="s">
        <v>86</v>
      </c>
      <c r="J326" s="5">
        <v>44561</v>
      </c>
      <c r="K326" s="3" t="str">
        <f t="shared" ca="1" si="57"/>
        <v xml:space="preserve">4 Tahun 8 bulan </v>
      </c>
      <c r="L326" s="30" t="s">
        <v>88</v>
      </c>
      <c r="M326" s="5">
        <v>44561</v>
      </c>
      <c r="N326" s="3" t="str">
        <f t="shared" ca="1" si="58"/>
        <v xml:space="preserve">4 Tahun 8 bulan </v>
      </c>
      <c r="O326" s="4"/>
      <c r="P326" s="4" t="s">
        <v>35</v>
      </c>
      <c r="Q326" s="4" t="str">
        <f t="shared" si="59"/>
        <v>Laki-Laki</v>
      </c>
      <c r="R326" s="4">
        <f t="shared" si="66"/>
        <v>1</v>
      </c>
      <c r="S326" s="4" t="str">
        <f t="shared" si="69"/>
        <v>1</v>
      </c>
      <c r="T326" s="4">
        <f t="shared" si="67"/>
        <v>0</v>
      </c>
      <c r="U326" s="29"/>
      <c r="V326" s="30" t="s">
        <v>50</v>
      </c>
      <c r="W326" s="30"/>
      <c r="X326" s="30"/>
      <c r="Y326" s="30"/>
      <c r="Z326" s="30"/>
      <c r="AA326" s="30"/>
      <c r="AB326" s="29"/>
      <c r="AC326" s="29"/>
      <c r="AD326" s="37">
        <f t="shared" si="61"/>
        <v>27310</v>
      </c>
      <c r="AE326" s="3" t="str">
        <f t="shared" ca="1" si="60"/>
        <v>51 Tahun 10 bulan 24 Hari</v>
      </c>
      <c r="AF326" s="38">
        <f t="shared" si="62"/>
        <v>49249</v>
      </c>
    </row>
    <row r="327" spans="1:32" s="7" customFormat="1" ht="32.15" customHeight="1" x14ac:dyDescent="0.35">
      <c r="A327" s="26">
        <f t="shared" si="63"/>
        <v>306</v>
      </c>
      <c r="B327" s="32" t="s">
        <v>969</v>
      </c>
      <c r="C327" s="256" t="s">
        <v>1004</v>
      </c>
      <c r="D327" s="257"/>
      <c r="E327" s="39" t="s">
        <v>58</v>
      </c>
      <c r="F327" s="24" t="s">
        <v>43</v>
      </c>
      <c r="G327" s="40" t="s">
        <v>59</v>
      </c>
      <c r="H327" s="4" t="s">
        <v>3035</v>
      </c>
      <c r="I327" s="33"/>
      <c r="J327" s="5">
        <v>46260</v>
      </c>
      <c r="K327" s="3" t="str">
        <f t="shared" ref="K327:K390" ca="1" si="70">IF(J327="","",CONCATENATE(DATEDIF(J327,NOW(),"Y")," Tahun ",DATEDIF(J327,NOW(),"YM")," bulan "))</f>
        <v xml:space="preserve">0 Tahun 0 bulan </v>
      </c>
      <c r="L327" s="30" t="s">
        <v>346</v>
      </c>
      <c r="M327" s="5"/>
      <c r="N327" s="3" t="str">
        <f t="shared" ref="N327:N390" ca="1" si="71">IF(M327="","",CONCATENATE(DATEDIF(M327,NOW(),"Y")," Tahun ",DATEDIF(M327,NOW(),"YM")," bulan "))</f>
        <v/>
      </c>
      <c r="O327" s="35"/>
      <c r="P327" s="4" t="s">
        <v>35</v>
      </c>
      <c r="Q327" s="4" t="str">
        <f t="shared" ref="Q327:Q390" si="72">CONCATENATE(IF(MID(G327,17,1)="1","Laki-Laki",IF(MID(G327,17,1)="2","Perempuan",)))</f>
        <v>Laki-Laki</v>
      </c>
      <c r="R327" s="4">
        <f t="shared" si="66"/>
        <v>1</v>
      </c>
      <c r="S327" s="4" t="str">
        <f t="shared" si="69"/>
        <v>1</v>
      </c>
      <c r="T327" s="4">
        <f t="shared" si="67"/>
        <v>0</v>
      </c>
      <c r="U327" s="29"/>
      <c r="V327" s="30" t="s">
        <v>50</v>
      </c>
      <c r="W327" s="30"/>
      <c r="X327" s="30"/>
      <c r="Y327" s="30"/>
      <c r="Z327" s="30"/>
      <c r="AA327" s="30"/>
      <c r="AB327" s="29"/>
      <c r="AC327" s="29"/>
      <c r="AD327" s="37">
        <f t="shared" si="61"/>
        <v>27174</v>
      </c>
      <c r="AE327" s="3" t="str">
        <f t="shared" ref="AE327:AE390" ca="1" si="73">IF(TRIM(AD327)="", "", CONCATENATE(DATEDIF(AD327,NOW(),"Y")," Tahun ",DATEDIF(AD327,NOW(),"YM")," bulan ",DATEDIF(AD327,NOW(),"MD")," Hari"))</f>
        <v>52 Tahun 3 bulan 7 Hari</v>
      </c>
      <c r="AF327" s="38">
        <f t="shared" si="62"/>
        <v>49096</v>
      </c>
    </row>
    <row r="328" spans="1:32" s="7" customFormat="1" ht="32.15" customHeight="1" x14ac:dyDescent="0.35">
      <c r="A328" s="26">
        <f t="shared" si="63"/>
        <v>307</v>
      </c>
      <c r="B328" s="32" t="s">
        <v>969</v>
      </c>
      <c r="C328" s="26"/>
      <c r="D328" s="50" t="s">
        <v>1005</v>
      </c>
      <c r="E328" s="24" t="s">
        <v>1006</v>
      </c>
      <c r="F328" s="93" t="s">
        <v>43</v>
      </c>
      <c r="G328" s="3" t="s">
        <v>1007</v>
      </c>
      <c r="H328" s="4" t="s">
        <v>410</v>
      </c>
      <c r="I328" s="33" t="s">
        <v>1008</v>
      </c>
      <c r="J328" s="5" t="s">
        <v>87</v>
      </c>
      <c r="K328" s="3" t="str">
        <f t="shared" ca="1" si="70"/>
        <v xml:space="preserve">4 Tahun 8 bulan </v>
      </c>
      <c r="L328" s="30" t="s">
        <v>88</v>
      </c>
      <c r="M328" s="5">
        <v>44561</v>
      </c>
      <c r="N328" s="3" t="str">
        <f t="shared" ca="1" si="71"/>
        <v xml:space="preserve">4 Tahun 8 bulan </v>
      </c>
      <c r="O328" s="4"/>
      <c r="P328" s="4" t="s">
        <v>35</v>
      </c>
      <c r="Q328" s="4" t="str">
        <f t="shared" si="72"/>
        <v>Laki-Laki</v>
      </c>
      <c r="R328" s="4">
        <f t="shared" si="66"/>
        <v>1</v>
      </c>
      <c r="S328" s="4" t="str">
        <f t="shared" si="69"/>
        <v>1</v>
      </c>
      <c r="T328" s="4">
        <f t="shared" si="67"/>
        <v>0</v>
      </c>
      <c r="U328" s="29"/>
      <c r="V328" s="30" t="s">
        <v>50</v>
      </c>
      <c r="W328" s="30"/>
      <c r="X328" s="30"/>
      <c r="Y328" s="30"/>
      <c r="Z328" s="30"/>
      <c r="AA328" s="30"/>
      <c r="AB328" s="29"/>
      <c r="AC328" s="29"/>
      <c r="AD328" s="37">
        <f t="shared" ref="AD328:AD391" si="74">IF(TRIM(G328)="", "", DATE(LEFT(G328,4),MID(G328,5,2),MID(G328,7,2)))</f>
        <v>28302</v>
      </c>
      <c r="AE328" s="3" t="str">
        <f t="shared" ca="1" si="73"/>
        <v>49 Tahun 2 bulan 6 Hari</v>
      </c>
      <c r="AF328" s="38">
        <f t="shared" ref="AF328:AF391" si="75">IF(TRIM(AD328)="","",DATE(YEAR(AD328)+60,MONTH(AD328)+1,1))</f>
        <v>50222</v>
      </c>
    </row>
    <row r="329" spans="1:32" s="7" customFormat="1" ht="32.15" customHeight="1" x14ac:dyDescent="0.35">
      <c r="A329" s="26">
        <f t="shared" si="63"/>
        <v>308</v>
      </c>
      <c r="B329" s="32" t="s">
        <v>969</v>
      </c>
      <c r="C329" s="26"/>
      <c r="D329" s="50" t="s">
        <v>1009</v>
      </c>
      <c r="E329" s="51" t="s">
        <v>1010</v>
      </c>
      <c r="F329" s="93" t="s">
        <v>43</v>
      </c>
      <c r="G329" s="52" t="s">
        <v>1011</v>
      </c>
      <c r="H329" s="4" t="s">
        <v>379</v>
      </c>
      <c r="I329" s="33" t="s">
        <v>118</v>
      </c>
      <c r="J329" s="5" t="s">
        <v>87</v>
      </c>
      <c r="K329" s="3" t="str">
        <f t="shared" ca="1" si="70"/>
        <v xml:space="preserve">4 Tahun 8 bulan </v>
      </c>
      <c r="L329" s="30" t="s">
        <v>88</v>
      </c>
      <c r="M329" s="5">
        <v>44561</v>
      </c>
      <c r="N329" s="3" t="str">
        <f t="shared" ca="1" si="71"/>
        <v xml:space="preserve">4 Tahun 8 bulan </v>
      </c>
      <c r="O329" s="4"/>
      <c r="P329" s="4" t="s">
        <v>35</v>
      </c>
      <c r="Q329" s="4" t="str">
        <f t="shared" si="72"/>
        <v>Perempuan</v>
      </c>
      <c r="R329" s="4">
        <f t="shared" si="66"/>
        <v>1</v>
      </c>
      <c r="S329" s="4" t="str">
        <f t="shared" si="69"/>
        <v>1</v>
      </c>
      <c r="T329" s="4">
        <f t="shared" si="67"/>
        <v>0</v>
      </c>
      <c r="U329" s="29"/>
      <c r="V329" s="30"/>
      <c r="W329" s="30"/>
      <c r="X329" s="30"/>
      <c r="Y329" s="30"/>
      <c r="Z329" s="30"/>
      <c r="AA329" s="30"/>
      <c r="AB329" s="29"/>
      <c r="AC329" s="29"/>
      <c r="AD329" s="37">
        <f t="shared" si="74"/>
        <v>28320</v>
      </c>
      <c r="AE329" s="3" t="str">
        <f t="shared" ca="1" si="73"/>
        <v>49 Tahun 1 bulan 18 Hari</v>
      </c>
      <c r="AF329" s="38">
        <f t="shared" si="75"/>
        <v>50253</v>
      </c>
    </row>
    <row r="330" spans="1:32" s="7" customFormat="1" ht="32.15" customHeight="1" x14ac:dyDescent="0.35">
      <c r="A330" s="26">
        <f t="shared" si="63"/>
        <v>309</v>
      </c>
      <c r="B330" s="32" t="s">
        <v>969</v>
      </c>
      <c r="C330" s="256" t="s">
        <v>1012</v>
      </c>
      <c r="D330" s="257"/>
      <c r="E330" s="24" t="s">
        <v>1013</v>
      </c>
      <c r="F330" s="24" t="s">
        <v>43</v>
      </c>
      <c r="G330" s="3" t="s">
        <v>1014</v>
      </c>
      <c r="H330" s="4" t="s">
        <v>1015</v>
      </c>
      <c r="I330" s="33" t="s">
        <v>46</v>
      </c>
      <c r="J330" s="5" t="s">
        <v>330</v>
      </c>
      <c r="K330" s="3" t="str">
        <f t="shared" ca="1" si="70"/>
        <v xml:space="preserve">3 Tahun 8 bulan </v>
      </c>
      <c r="L330" s="30" t="s">
        <v>346</v>
      </c>
      <c r="M330" s="5" t="s">
        <v>330</v>
      </c>
      <c r="N330" s="3" t="str">
        <f t="shared" ca="1" si="71"/>
        <v xml:space="preserve">3 Tahun 8 bulan </v>
      </c>
      <c r="O330" s="36" t="s">
        <v>81</v>
      </c>
      <c r="P330" s="4" t="s">
        <v>35</v>
      </c>
      <c r="Q330" s="4" t="str">
        <f t="shared" si="72"/>
        <v>Perempuan</v>
      </c>
      <c r="R330" s="4">
        <f t="shared" si="66"/>
        <v>1</v>
      </c>
      <c r="S330" s="4" t="str">
        <f t="shared" si="69"/>
        <v>1</v>
      </c>
      <c r="T330" s="4">
        <f t="shared" si="67"/>
        <v>0</v>
      </c>
      <c r="U330" s="29"/>
      <c r="V330" s="30"/>
      <c r="W330" s="30"/>
      <c r="X330" s="30"/>
      <c r="Y330" s="30"/>
      <c r="Z330" s="30"/>
      <c r="AA330" s="30"/>
      <c r="AB330" s="29"/>
      <c r="AC330" s="29"/>
      <c r="AD330" s="37">
        <f t="shared" si="74"/>
        <v>29385</v>
      </c>
      <c r="AE330" s="3" t="str">
        <f t="shared" ca="1" si="73"/>
        <v>46 Tahun 2 bulan 19 Hari</v>
      </c>
      <c r="AF330" s="38">
        <f t="shared" si="75"/>
        <v>51318</v>
      </c>
    </row>
    <row r="331" spans="1:32" s="7" customFormat="1" ht="32.15" customHeight="1" x14ac:dyDescent="0.35">
      <c r="A331" s="26">
        <f t="shared" si="63"/>
        <v>310</v>
      </c>
      <c r="B331" s="32" t="s">
        <v>969</v>
      </c>
      <c r="C331" s="26"/>
      <c r="D331" s="50" t="s">
        <v>990</v>
      </c>
      <c r="E331" s="45" t="s">
        <v>1016</v>
      </c>
      <c r="F331" s="93" t="s">
        <v>43</v>
      </c>
      <c r="G331" s="44" t="s">
        <v>1017</v>
      </c>
      <c r="H331" s="4" t="s">
        <v>241</v>
      </c>
      <c r="I331" s="36" t="s">
        <v>67</v>
      </c>
      <c r="J331" s="5">
        <v>44561</v>
      </c>
      <c r="K331" s="3" t="str">
        <f t="shared" ca="1" si="70"/>
        <v xml:space="preserve">4 Tahun 8 bulan </v>
      </c>
      <c r="L331" s="30" t="s">
        <v>88</v>
      </c>
      <c r="M331" s="5">
        <v>44561</v>
      </c>
      <c r="N331" s="3" t="str">
        <f t="shared" ca="1" si="71"/>
        <v xml:space="preserve">4 Tahun 8 bulan </v>
      </c>
      <c r="O331" s="56"/>
      <c r="P331" s="4" t="s">
        <v>35</v>
      </c>
      <c r="Q331" s="4" t="str">
        <f t="shared" si="72"/>
        <v>Laki-Laki</v>
      </c>
      <c r="R331" s="4">
        <f t="shared" si="66"/>
        <v>1</v>
      </c>
      <c r="S331" s="4" t="str">
        <f t="shared" si="69"/>
        <v>1</v>
      </c>
      <c r="T331" s="4">
        <f t="shared" si="67"/>
        <v>0</v>
      </c>
      <c r="U331" s="29"/>
      <c r="V331" s="30" t="s">
        <v>50</v>
      </c>
      <c r="W331" s="30"/>
      <c r="X331" s="30"/>
      <c r="Y331" s="30"/>
      <c r="Z331" s="30"/>
      <c r="AA331" s="30"/>
      <c r="AB331" s="29"/>
      <c r="AC331" s="29"/>
      <c r="AD331" s="37">
        <f t="shared" si="74"/>
        <v>31209</v>
      </c>
      <c r="AE331" s="3" t="str">
        <f t="shared" ca="1" si="73"/>
        <v>41 Tahun 2 bulan 21 Hari</v>
      </c>
      <c r="AF331" s="38">
        <f t="shared" si="75"/>
        <v>53144</v>
      </c>
    </row>
    <row r="332" spans="1:32" s="7" customFormat="1" ht="32.15" customHeight="1" x14ac:dyDescent="0.35">
      <c r="A332" s="26">
        <f t="shared" si="63"/>
        <v>311</v>
      </c>
      <c r="B332" s="32" t="s">
        <v>969</v>
      </c>
      <c r="C332" s="26"/>
      <c r="D332" s="50" t="s">
        <v>990</v>
      </c>
      <c r="E332" s="45" t="s">
        <v>1018</v>
      </c>
      <c r="F332" s="93" t="s">
        <v>43</v>
      </c>
      <c r="G332" s="44" t="s">
        <v>1019</v>
      </c>
      <c r="H332" s="4" t="s">
        <v>259</v>
      </c>
      <c r="I332" s="36" t="s">
        <v>1020</v>
      </c>
      <c r="J332" s="5">
        <v>44561</v>
      </c>
      <c r="K332" s="3" t="str">
        <f t="shared" ca="1" si="70"/>
        <v xml:space="preserve">4 Tahun 8 bulan </v>
      </c>
      <c r="L332" s="30" t="s">
        <v>88</v>
      </c>
      <c r="M332" s="5">
        <v>44561</v>
      </c>
      <c r="N332" s="3" t="str">
        <f t="shared" ca="1" si="71"/>
        <v xml:space="preserve">4 Tahun 8 bulan </v>
      </c>
      <c r="O332" s="4"/>
      <c r="P332" s="4"/>
      <c r="Q332" s="4" t="str">
        <f t="shared" si="72"/>
        <v>Laki-Laki</v>
      </c>
      <c r="R332" s="4">
        <f t="shared" si="66"/>
        <v>1</v>
      </c>
      <c r="S332" s="4" t="str">
        <f t="shared" si="69"/>
        <v>1</v>
      </c>
      <c r="T332" s="4">
        <f t="shared" si="67"/>
        <v>0</v>
      </c>
      <c r="U332" s="29"/>
      <c r="V332" s="30" t="s">
        <v>50</v>
      </c>
      <c r="W332" s="30"/>
      <c r="X332" s="30"/>
      <c r="Y332" s="30"/>
      <c r="Z332" s="30"/>
      <c r="AA332" s="30"/>
      <c r="AB332" s="29"/>
      <c r="AC332" s="29"/>
      <c r="AD332" s="37">
        <f t="shared" si="74"/>
        <v>30194</v>
      </c>
      <c r="AE332" s="3" t="str">
        <f t="shared" ca="1" si="73"/>
        <v>44 Tahun 0 bulan 1 Hari</v>
      </c>
      <c r="AF332" s="38">
        <f t="shared" si="75"/>
        <v>52110</v>
      </c>
    </row>
    <row r="333" spans="1:32" s="7" customFormat="1" ht="32.15" customHeight="1" x14ac:dyDescent="0.35">
      <c r="A333" s="26"/>
      <c r="B333" s="27" t="s">
        <v>1021</v>
      </c>
      <c r="C333" s="264" t="s">
        <v>1022</v>
      </c>
      <c r="D333" s="305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  <c r="AA333" s="305"/>
      <c r="AB333" s="305"/>
      <c r="AC333" s="305"/>
      <c r="AD333" s="305"/>
      <c r="AE333" s="305"/>
      <c r="AF333" s="265"/>
    </row>
    <row r="334" spans="1:32" s="7" customFormat="1" ht="30.75" customHeight="1" x14ac:dyDescent="0.35">
      <c r="A334" s="26">
        <f>A332+1</f>
        <v>312</v>
      </c>
      <c r="B334" s="27" t="s">
        <v>1021</v>
      </c>
      <c r="C334" s="278" t="s">
        <v>1023</v>
      </c>
      <c r="D334" s="279"/>
      <c r="E334" s="24" t="s">
        <v>2994</v>
      </c>
      <c r="F334" s="24" t="s">
        <v>43</v>
      </c>
      <c r="G334" s="208" t="s">
        <v>230</v>
      </c>
      <c r="H334" s="4" t="s">
        <v>2995</v>
      </c>
      <c r="I334" s="41" t="s">
        <v>232</v>
      </c>
      <c r="J334" s="5">
        <v>46198</v>
      </c>
      <c r="K334" s="3" t="str">
        <f t="shared" ca="1" si="70"/>
        <v xml:space="preserve">0 Tahun 2 bulan </v>
      </c>
      <c r="L334" s="30" t="s">
        <v>56</v>
      </c>
      <c r="M334" s="5" t="s">
        <v>233</v>
      </c>
      <c r="N334" s="3" t="str">
        <f t="shared" ca="1" si="71"/>
        <v xml:space="preserve">2 Tahun 8 bulan </v>
      </c>
      <c r="O334" s="4"/>
      <c r="P334" s="4" t="s">
        <v>35</v>
      </c>
      <c r="Q334" s="4" t="str">
        <f t="shared" si="72"/>
        <v>Laki-Laki</v>
      </c>
      <c r="R334" s="4">
        <f>R332</f>
        <v>1</v>
      </c>
      <c r="S334" s="4" t="str">
        <f t="shared" ref="S334:S358" si="76">IF(E334="LOWONG","0","1")</f>
        <v>1</v>
      </c>
      <c r="T334" s="4">
        <f t="shared" si="67"/>
        <v>0</v>
      </c>
      <c r="U334" s="29"/>
      <c r="V334" s="30"/>
      <c r="W334" s="30"/>
      <c r="X334" s="30"/>
      <c r="Y334" s="30"/>
      <c r="Z334" s="30"/>
      <c r="AA334" s="30"/>
      <c r="AB334" s="29"/>
      <c r="AC334" s="29"/>
      <c r="AD334" s="37">
        <f t="shared" si="74"/>
        <v>28208</v>
      </c>
      <c r="AE334" s="3" t="str">
        <f t="shared" ca="1" si="73"/>
        <v>49 Tahun 5 bulan 8 Hari</v>
      </c>
      <c r="AF334" s="38">
        <f t="shared" si="75"/>
        <v>50131</v>
      </c>
    </row>
    <row r="335" spans="1:32" s="7" customFormat="1" ht="31.5" customHeight="1" x14ac:dyDescent="0.35">
      <c r="A335" s="26">
        <f t="shared" si="63"/>
        <v>313</v>
      </c>
      <c r="B335" s="27" t="s">
        <v>1021</v>
      </c>
      <c r="C335" s="256" t="s">
        <v>1024</v>
      </c>
      <c r="D335" s="257"/>
      <c r="E335" s="45" t="s">
        <v>1025</v>
      </c>
      <c r="F335" s="24" t="s">
        <v>43</v>
      </c>
      <c r="G335" s="44" t="s">
        <v>1026</v>
      </c>
      <c r="H335" s="4" t="s">
        <v>231</v>
      </c>
      <c r="I335" s="33" t="s">
        <v>1027</v>
      </c>
      <c r="J335" s="95">
        <v>45916</v>
      </c>
      <c r="K335" s="3" t="str">
        <f t="shared" ca="1" si="70"/>
        <v xml:space="preserve">0 Tahun 11 bulan </v>
      </c>
      <c r="L335" s="30" t="s">
        <v>79</v>
      </c>
      <c r="M335" s="95">
        <v>45916</v>
      </c>
      <c r="N335" s="3" t="str">
        <f t="shared" ca="1" si="71"/>
        <v xml:space="preserve">0 Tahun 11 bulan </v>
      </c>
      <c r="O335" s="36"/>
      <c r="P335" s="4" t="s">
        <v>35</v>
      </c>
      <c r="Q335" s="4" t="str">
        <f t="shared" si="72"/>
        <v>Perempuan</v>
      </c>
      <c r="R335" s="4">
        <f t="shared" si="66"/>
        <v>1</v>
      </c>
      <c r="S335" s="4" t="str">
        <f t="shared" si="76"/>
        <v>1</v>
      </c>
      <c r="T335" s="4">
        <f t="shared" si="67"/>
        <v>0</v>
      </c>
      <c r="U335" s="29"/>
      <c r="V335" s="30" t="s">
        <v>50</v>
      </c>
      <c r="W335" s="30"/>
      <c r="X335" s="30"/>
      <c r="Y335" s="30"/>
      <c r="Z335" s="30"/>
      <c r="AA335" s="30"/>
      <c r="AB335" s="29"/>
      <c r="AC335" s="29"/>
      <c r="AD335" s="37">
        <f t="shared" si="74"/>
        <v>25996</v>
      </c>
      <c r="AE335" s="3" t="str">
        <f t="shared" ca="1" si="73"/>
        <v>55 Tahun 5 bulan 28 Hari</v>
      </c>
      <c r="AF335" s="38">
        <f t="shared" si="75"/>
        <v>47939</v>
      </c>
    </row>
    <row r="336" spans="1:32" s="7" customFormat="1" ht="33.75" customHeight="1" x14ac:dyDescent="0.35">
      <c r="A336" s="26">
        <f t="shared" si="63"/>
        <v>314</v>
      </c>
      <c r="B336" s="27" t="s">
        <v>1021</v>
      </c>
      <c r="C336" s="26"/>
      <c r="D336" s="50" t="s">
        <v>1028</v>
      </c>
      <c r="E336" s="24" t="s">
        <v>1029</v>
      </c>
      <c r="F336" s="24" t="s">
        <v>43</v>
      </c>
      <c r="G336" s="3" t="s">
        <v>1030</v>
      </c>
      <c r="H336" s="4" t="s">
        <v>1031</v>
      </c>
      <c r="I336" s="33" t="s">
        <v>184</v>
      </c>
      <c r="J336" s="5" t="s">
        <v>1032</v>
      </c>
      <c r="K336" s="3" t="str">
        <f t="shared" ca="1" si="70"/>
        <v xml:space="preserve">4 Tahun 5 bulan </v>
      </c>
      <c r="L336" s="30" t="s">
        <v>200</v>
      </c>
      <c r="M336" s="5" t="s">
        <v>1032</v>
      </c>
      <c r="N336" s="3" t="str">
        <f t="shared" ca="1" si="71"/>
        <v xml:space="preserve">4 Tahun 5 bulan </v>
      </c>
      <c r="O336" s="4"/>
      <c r="P336" s="4" t="s">
        <v>35</v>
      </c>
      <c r="Q336" s="4" t="str">
        <f t="shared" si="72"/>
        <v>Perempuan</v>
      </c>
      <c r="R336" s="4">
        <f t="shared" si="66"/>
        <v>1</v>
      </c>
      <c r="S336" s="4" t="str">
        <f t="shared" si="76"/>
        <v>1</v>
      </c>
      <c r="T336" s="4">
        <f t="shared" si="67"/>
        <v>0</v>
      </c>
      <c r="U336" s="29"/>
      <c r="V336" s="30"/>
      <c r="W336" s="30"/>
      <c r="X336" s="30"/>
      <c r="Y336" s="30"/>
      <c r="Z336" s="30"/>
      <c r="AA336" s="30"/>
      <c r="AB336" s="29"/>
      <c r="AC336" s="29"/>
      <c r="AD336" s="37">
        <f t="shared" si="74"/>
        <v>30965</v>
      </c>
      <c r="AE336" s="3" t="str">
        <f t="shared" ca="1" si="73"/>
        <v>41 Tahun 10 bulan 22 Hari</v>
      </c>
      <c r="AF336" s="38">
        <f t="shared" si="75"/>
        <v>52902</v>
      </c>
    </row>
    <row r="337" spans="1:32" s="7" customFormat="1" ht="35.25" customHeight="1" x14ac:dyDescent="0.35">
      <c r="A337" s="26">
        <f t="shared" si="63"/>
        <v>315</v>
      </c>
      <c r="B337" s="27" t="s">
        <v>1021</v>
      </c>
      <c r="C337" s="26"/>
      <c r="D337" s="50" t="s">
        <v>1033</v>
      </c>
      <c r="E337" s="51" t="s">
        <v>1034</v>
      </c>
      <c r="F337" s="51" t="s">
        <v>43</v>
      </c>
      <c r="G337" s="52" t="s">
        <v>1035</v>
      </c>
      <c r="H337" s="4" t="s">
        <v>181</v>
      </c>
      <c r="I337" s="33" t="s">
        <v>46</v>
      </c>
      <c r="J337" s="5">
        <v>44561</v>
      </c>
      <c r="K337" s="3" t="str">
        <f t="shared" ca="1" si="70"/>
        <v xml:space="preserve">4 Tahun 8 bulan </v>
      </c>
      <c r="L337" s="30" t="s">
        <v>88</v>
      </c>
      <c r="M337" s="5">
        <v>44561</v>
      </c>
      <c r="N337" s="3" t="str">
        <f t="shared" ca="1" si="71"/>
        <v xml:space="preserve">4 Tahun 8 bulan </v>
      </c>
      <c r="O337" s="4"/>
      <c r="P337" s="4" t="s">
        <v>35</v>
      </c>
      <c r="Q337" s="4" t="str">
        <f t="shared" si="72"/>
        <v>Perempuan</v>
      </c>
      <c r="R337" s="4">
        <f t="shared" si="66"/>
        <v>1</v>
      </c>
      <c r="S337" s="4" t="str">
        <f t="shared" si="76"/>
        <v>1</v>
      </c>
      <c r="T337" s="4">
        <f t="shared" si="67"/>
        <v>0</v>
      </c>
      <c r="U337" s="29"/>
      <c r="V337" s="30"/>
      <c r="W337" s="30"/>
      <c r="X337" s="30"/>
      <c r="Y337" s="30"/>
      <c r="Z337" s="30"/>
      <c r="AA337" s="30"/>
      <c r="AB337" s="29"/>
      <c r="AC337" s="29"/>
      <c r="AD337" s="37">
        <f t="shared" si="74"/>
        <v>31211</v>
      </c>
      <c r="AE337" s="3" t="str">
        <f t="shared" ca="1" si="73"/>
        <v>41 Tahun 2 bulan 19 Hari</v>
      </c>
      <c r="AF337" s="38">
        <f t="shared" si="75"/>
        <v>53144</v>
      </c>
    </row>
    <row r="338" spans="1:32" s="7" customFormat="1" ht="27.5" customHeight="1" x14ac:dyDescent="0.35">
      <c r="A338" s="26">
        <f t="shared" ref="A338:A401" si="77">A337+1</f>
        <v>316</v>
      </c>
      <c r="B338" s="27" t="s">
        <v>1021</v>
      </c>
      <c r="C338" s="26"/>
      <c r="D338" s="50" t="s">
        <v>1036</v>
      </c>
      <c r="E338" s="24" t="s">
        <v>1037</v>
      </c>
      <c r="F338" s="24" t="s">
        <v>43</v>
      </c>
      <c r="G338" s="3" t="s">
        <v>1038</v>
      </c>
      <c r="H338" s="4" t="s">
        <v>870</v>
      </c>
      <c r="I338" s="33" t="s">
        <v>86</v>
      </c>
      <c r="J338" s="5" t="s">
        <v>199</v>
      </c>
      <c r="K338" s="3" t="str">
        <f t="shared" ca="1" si="70"/>
        <v xml:space="preserve">3 Tahun 11 bulan </v>
      </c>
      <c r="L338" s="30" t="s">
        <v>200</v>
      </c>
      <c r="M338" s="5" t="s">
        <v>199</v>
      </c>
      <c r="N338" s="3" t="str">
        <f t="shared" ca="1" si="71"/>
        <v xml:space="preserve">3 Tahun 11 bulan </v>
      </c>
      <c r="O338" s="35"/>
      <c r="P338" s="4" t="s">
        <v>35</v>
      </c>
      <c r="Q338" s="4" t="str">
        <f t="shared" si="72"/>
        <v>Laki-Laki</v>
      </c>
      <c r="R338" s="4">
        <f t="shared" si="66"/>
        <v>1</v>
      </c>
      <c r="S338" s="4" t="str">
        <f t="shared" si="76"/>
        <v>1</v>
      </c>
      <c r="T338" s="4">
        <f t="shared" si="67"/>
        <v>0</v>
      </c>
      <c r="U338" s="29"/>
      <c r="V338" s="30" t="s">
        <v>50</v>
      </c>
      <c r="W338" s="30"/>
      <c r="X338" s="30"/>
      <c r="Y338" s="30"/>
      <c r="Z338" s="30"/>
      <c r="AA338" s="30"/>
      <c r="AB338" s="29"/>
      <c r="AC338" s="29"/>
      <c r="AD338" s="37">
        <f t="shared" si="74"/>
        <v>27036</v>
      </c>
      <c r="AE338" s="3" t="str">
        <f t="shared" ca="1" si="73"/>
        <v>52 Tahun 7 bulan 25 Hari</v>
      </c>
      <c r="AF338" s="38">
        <f t="shared" si="75"/>
        <v>48976</v>
      </c>
    </row>
    <row r="339" spans="1:32" s="7" customFormat="1" ht="32.15" customHeight="1" x14ac:dyDescent="0.35">
      <c r="A339" s="26">
        <f t="shared" si="77"/>
        <v>317</v>
      </c>
      <c r="B339" s="27" t="s">
        <v>1021</v>
      </c>
      <c r="C339" s="256" t="s">
        <v>1039</v>
      </c>
      <c r="D339" s="257"/>
      <c r="E339" s="24" t="s">
        <v>1040</v>
      </c>
      <c r="F339" s="24" t="s">
        <v>43</v>
      </c>
      <c r="G339" s="3" t="s">
        <v>1041</v>
      </c>
      <c r="H339" s="4" t="s">
        <v>1042</v>
      </c>
      <c r="I339" s="4" t="s">
        <v>46</v>
      </c>
      <c r="J339" s="5" t="s">
        <v>1043</v>
      </c>
      <c r="K339" s="3" t="str">
        <f t="shared" ca="1" si="70"/>
        <v xml:space="preserve">5 Tahun 1 bulan </v>
      </c>
      <c r="L339" s="30" t="s">
        <v>346</v>
      </c>
      <c r="M339" s="5" t="s">
        <v>1043</v>
      </c>
      <c r="N339" s="3" t="str">
        <f t="shared" ca="1" si="71"/>
        <v xml:space="preserve">5 Tahun 1 bulan </v>
      </c>
      <c r="O339" s="4" t="s">
        <v>1044</v>
      </c>
      <c r="P339" s="4" t="s">
        <v>35</v>
      </c>
      <c r="Q339" s="4" t="str">
        <f t="shared" si="72"/>
        <v>Laki-Laki</v>
      </c>
      <c r="R339" s="4">
        <f t="shared" si="66"/>
        <v>1</v>
      </c>
      <c r="S339" s="4" t="str">
        <f t="shared" si="76"/>
        <v>1</v>
      </c>
      <c r="T339" s="4">
        <f t="shared" si="67"/>
        <v>0</v>
      </c>
      <c r="U339" s="29"/>
      <c r="V339" s="30" t="s">
        <v>50</v>
      </c>
      <c r="W339" s="30"/>
      <c r="X339" s="30"/>
      <c r="Y339" s="30"/>
      <c r="Z339" s="30"/>
      <c r="AA339" s="30"/>
      <c r="AB339" s="29"/>
      <c r="AC339" s="29"/>
      <c r="AD339" s="37">
        <f t="shared" si="74"/>
        <v>25288</v>
      </c>
      <c r="AE339" s="3" t="str">
        <f t="shared" ca="1" si="73"/>
        <v>57 Tahun 5 bulan 6 Hari</v>
      </c>
      <c r="AF339" s="38">
        <f t="shared" si="75"/>
        <v>47209</v>
      </c>
    </row>
    <row r="340" spans="1:32" s="7" customFormat="1" ht="32.15" customHeight="1" x14ac:dyDescent="0.35">
      <c r="A340" s="26">
        <f t="shared" si="77"/>
        <v>318</v>
      </c>
      <c r="B340" s="27" t="s">
        <v>1021</v>
      </c>
      <c r="C340" s="26"/>
      <c r="D340" s="50" t="s">
        <v>1045</v>
      </c>
      <c r="E340" s="24" t="s">
        <v>108</v>
      </c>
      <c r="F340" s="51"/>
      <c r="G340" s="4"/>
      <c r="H340" s="4"/>
      <c r="I340" s="41"/>
      <c r="J340" s="5"/>
      <c r="K340" s="3" t="str">
        <f t="shared" ca="1" si="70"/>
        <v/>
      </c>
      <c r="L340" s="30" t="s">
        <v>88</v>
      </c>
      <c r="M340" s="5"/>
      <c r="N340" s="3" t="str">
        <f t="shared" ca="1" si="71"/>
        <v/>
      </c>
      <c r="O340" s="4"/>
      <c r="P340" s="4" t="s">
        <v>35</v>
      </c>
      <c r="Q340" s="4" t="str">
        <f t="shared" si="72"/>
        <v/>
      </c>
      <c r="R340" s="4">
        <f t="shared" si="66"/>
        <v>1</v>
      </c>
      <c r="S340" s="4" t="str">
        <f t="shared" si="76"/>
        <v>0</v>
      </c>
      <c r="T340" s="4">
        <f t="shared" si="67"/>
        <v>1</v>
      </c>
      <c r="U340" s="29"/>
      <c r="V340" s="30"/>
      <c r="W340" s="30"/>
      <c r="X340" s="30"/>
      <c r="Y340" s="30"/>
      <c r="Z340" s="30"/>
      <c r="AA340" s="30"/>
      <c r="AB340" s="29"/>
      <c r="AC340" s="29"/>
      <c r="AD340" s="37" t="str">
        <f t="shared" si="74"/>
        <v/>
      </c>
      <c r="AE340" s="3" t="str">
        <f t="shared" ca="1" si="73"/>
        <v/>
      </c>
      <c r="AF340" s="38" t="str">
        <f t="shared" si="75"/>
        <v/>
      </c>
    </row>
    <row r="341" spans="1:32" s="7" customFormat="1" ht="32.15" customHeight="1" x14ac:dyDescent="0.35">
      <c r="A341" s="26">
        <f t="shared" si="77"/>
        <v>319</v>
      </c>
      <c r="B341" s="27" t="s">
        <v>1021</v>
      </c>
      <c r="C341" s="26"/>
      <c r="D341" s="50" t="s">
        <v>1045</v>
      </c>
      <c r="E341" s="24" t="s">
        <v>1048</v>
      </c>
      <c r="F341" s="24" t="s">
        <v>43</v>
      </c>
      <c r="G341" s="4" t="s">
        <v>1049</v>
      </c>
      <c r="H341" s="4" t="s">
        <v>1050</v>
      </c>
      <c r="I341" s="33" t="s">
        <v>46</v>
      </c>
      <c r="J341" s="5">
        <v>44561</v>
      </c>
      <c r="K341" s="3" t="str">
        <f t="shared" ca="1" si="70"/>
        <v xml:space="preserve">4 Tahun 8 bulan </v>
      </c>
      <c r="L341" s="30" t="s">
        <v>88</v>
      </c>
      <c r="M341" s="5">
        <v>44561</v>
      </c>
      <c r="N341" s="3" t="str">
        <f t="shared" ca="1" si="71"/>
        <v xml:space="preserve">4 Tahun 8 bulan </v>
      </c>
      <c r="O341" s="4"/>
      <c r="P341" s="4" t="s">
        <v>35</v>
      </c>
      <c r="Q341" s="4" t="str">
        <f t="shared" si="72"/>
        <v>Laki-Laki</v>
      </c>
      <c r="R341" s="4">
        <f t="shared" si="66"/>
        <v>1</v>
      </c>
      <c r="S341" s="4" t="str">
        <f t="shared" si="76"/>
        <v>1</v>
      </c>
      <c r="T341" s="4">
        <f t="shared" si="67"/>
        <v>0</v>
      </c>
      <c r="U341" s="29"/>
      <c r="V341" s="30" t="s">
        <v>50</v>
      </c>
      <c r="W341" s="30"/>
      <c r="X341" s="30"/>
      <c r="Y341" s="30"/>
      <c r="Z341" s="30"/>
      <c r="AA341" s="30"/>
      <c r="AB341" s="29"/>
      <c r="AC341" s="29"/>
      <c r="AD341" s="37">
        <f t="shared" si="74"/>
        <v>27186</v>
      </c>
      <c r="AE341" s="3" t="str">
        <f t="shared" ca="1" si="73"/>
        <v>52 Tahun 2 bulan 26 Hari</v>
      </c>
      <c r="AF341" s="38">
        <f t="shared" si="75"/>
        <v>49126</v>
      </c>
    </row>
    <row r="342" spans="1:32" s="7" customFormat="1" ht="32.15" customHeight="1" x14ac:dyDescent="0.35">
      <c r="A342" s="26">
        <f t="shared" si="77"/>
        <v>320</v>
      </c>
      <c r="B342" s="27" t="s">
        <v>1021</v>
      </c>
      <c r="C342" s="26"/>
      <c r="D342" s="50" t="s">
        <v>1045</v>
      </c>
      <c r="E342" s="24" t="s">
        <v>108</v>
      </c>
      <c r="F342" s="24"/>
      <c r="G342" s="3"/>
      <c r="H342" s="4"/>
      <c r="I342" s="41"/>
      <c r="J342" s="5"/>
      <c r="K342" s="3" t="str">
        <f t="shared" ca="1" si="70"/>
        <v/>
      </c>
      <c r="L342" s="30" t="s">
        <v>88</v>
      </c>
      <c r="M342" s="5"/>
      <c r="N342" s="3" t="str">
        <f t="shared" ca="1" si="71"/>
        <v/>
      </c>
      <c r="O342" s="4"/>
      <c r="P342" s="4" t="s">
        <v>35</v>
      </c>
      <c r="Q342" s="4" t="str">
        <f t="shared" si="72"/>
        <v/>
      </c>
      <c r="R342" s="4">
        <f t="shared" si="66"/>
        <v>1</v>
      </c>
      <c r="S342" s="4" t="str">
        <f t="shared" si="76"/>
        <v>0</v>
      </c>
      <c r="T342" s="4">
        <f t="shared" si="67"/>
        <v>1</v>
      </c>
      <c r="U342" s="29"/>
      <c r="V342" s="30" t="s">
        <v>50</v>
      </c>
      <c r="W342" s="30"/>
      <c r="X342" s="30"/>
      <c r="Y342" s="30"/>
      <c r="Z342" s="30"/>
      <c r="AA342" s="30"/>
      <c r="AB342" s="29"/>
      <c r="AC342" s="29"/>
      <c r="AD342" s="37" t="str">
        <f t="shared" si="74"/>
        <v/>
      </c>
      <c r="AE342" s="3" t="str">
        <f t="shared" ca="1" si="73"/>
        <v/>
      </c>
      <c r="AF342" s="38" t="str">
        <f t="shared" si="75"/>
        <v/>
      </c>
    </row>
    <row r="343" spans="1:32" s="7" customFormat="1" ht="32.15" customHeight="1" x14ac:dyDescent="0.35">
      <c r="A343" s="26">
        <f t="shared" si="77"/>
        <v>321</v>
      </c>
      <c r="B343" s="27" t="s">
        <v>1021</v>
      </c>
      <c r="C343" s="256" t="s">
        <v>1053</v>
      </c>
      <c r="D343" s="257"/>
      <c r="E343" s="24" t="s">
        <v>1046</v>
      </c>
      <c r="F343" s="24" t="s">
        <v>43</v>
      </c>
      <c r="G343" s="4" t="s">
        <v>1047</v>
      </c>
      <c r="H343" s="4" t="s">
        <v>279</v>
      </c>
      <c r="I343" s="33" t="s">
        <v>86</v>
      </c>
      <c r="J343" s="5">
        <v>46198</v>
      </c>
      <c r="K343" s="3" t="str">
        <f t="shared" ca="1" si="70"/>
        <v xml:space="preserve">0 Tahun 2 bulan </v>
      </c>
      <c r="L343" s="30" t="s">
        <v>346</v>
      </c>
      <c r="M343" s="5">
        <v>46198</v>
      </c>
      <c r="N343" s="3" t="str">
        <f t="shared" ca="1" si="71"/>
        <v xml:space="preserve">0 Tahun 2 bulan </v>
      </c>
      <c r="O343" s="4"/>
      <c r="P343" s="4" t="s">
        <v>35</v>
      </c>
      <c r="Q343" s="4" t="str">
        <f t="shared" si="72"/>
        <v>Perempuan</v>
      </c>
      <c r="R343" s="4">
        <f t="shared" si="66"/>
        <v>1</v>
      </c>
      <c r="S343" s="4" t="str">
        <f t="shared" si="76"/>
        <v>1</v>
      </c>
      <c r="T343" s="4">
        <f t="shared" si="67"/>
        <v>0</v>
      </c>
      <c r="U343" s="29"/>
      <c r="V343" s="30"/>
      <c r="W343" s="30"/>
      <c r="X343" s="30"/>
      <c r="Y343" s="30"/>
      <c r="Z343" s="30"/>
      <c r="AA343" s="30"/>
      <c r="AB343" s="29"/>
      <c r="AC343" s="29"/>
      <c r="AD343" s="37">
        <f t="shared" si="74"/>
        <v>25307</v>
      </c>
      <c r="AE343" s="3" t="str">
        <f t="shared" ca="1" si="73"/>
        <v>57 Tahun 4 bulan 18 Hari</v>
      </c>
      <c r="AF343" s="38">
        <f t="shared" si="75"/>
        <v>47239</v>
      </c>
    </row>
    <row r="344" spans="1:32" s="7" customFormat="1" ht="32.15" customHeight="1" x14ac:dyDescent="0.35">
      <c r="A344" s="26">
        <f t="shared" si="77"/>
        <v>322</v>
      </c>
      <c r="B344" s="27" t="s">
        <v>1021</v>
      </c>
      <c r="C344" s="26"/>
      <c r="D344" s="50" t="s">
        <v>1054</v>
      </c>
      <c r="E344" s="39" t="s">
        <v>1055</v>
      </c>
      <c r="F344" s="24" t="s">
        <v>43</v>
      </c>
      <c r="G344" s="25" t="s">
        <v>1056</v>
      </c>
      <c r="H344" s="4" t="s">
        <v>135</v>
      </c>
      <c r="I344" s="41" t="s">
        <v>86</v>
      </c>
      <c r="J344" s="5" t="s">
        <v>87</v>
      </c>
      <c r="K344" s="3" t="str">
        <f t="shared" ca="1" si="70"/>
        <v xml:space="preserve">4 Tahun 8 bulan </v>
      </c>
      <c r="L344" s="30" t="s">
        <v>88</v>
      </c>
      <c r="M344" s="5">
        <v>44561</v>
      </c>
      <c r="N344" s="3" t="str">
        <f t="shared" ca="1" si="71"/>
        <v xml:space="preserve">4 Tahun 8 bulan </v>
      </c>
      <c r="O344" s="36"/>
      <c r="P344" s="4" t="s">
        <v>35</v>
      </c>
      <c r="Q344" s="4" t="str">
        <f t="shared" si="72"/>
        <v>Perempuan</v>
      </c>
      <c r="R344" s="4">
        <f t="shared" si="66"/>
        <v>1</v>
      </c>
      <c r="S344" s="4" t="str">
        <f t="shared" si="76"/>
        <v>1</v>
      </c>
      <c r="T344" s="4">
        <f t="shared" si="67"/>
        <v>0</v>
      </c>
      <c r="U344" s="29"/>
      <c r="V344" s="30"/>
      <c r="W344" s="30"/>
      <c r="X344" s="30"/>
      <c r="Y344" s="30"/>
      <c r="Z344" s="30"/>
      <c r="AA344" s="30"/>
      <c r="AB344" s="29"/>
      <c r="AC344" s="29"/>
      <c r="AD344" s="37">
        <f t="shared" si="74"/>
        <v>29327</v>
      </c>
      <c r="AE344" s="3" t="str">
        <f t="shared" ca="1" si="73"/>
        <v>46 Tahun 4 bulan 16 Hari</v>
      </c>
      <c r="AF344" s="38">
        <f t="shared" si="75"/>
        <v>51257</v>
      </c>
    </row>
    <row r="345" spans="1:32" s="7" customFormat="1" ht="32.15" customHeight="1" x14ac:dyDescent="0.35">
      <c r="A345" s="26">
        <f t="shared" si="77"/>
        <v>323</v>
      </c>
      <c r="B345" s="27" t="s">
        <v>1021</v>
      </c>
      <c r="C345" s="26"/>
      <c r="D345" s="50" t="s">
        <v>1057</v>
      </c>
      <c r="E345" s="24" t="s">
        <v>1058</v>
      </c>
      <c r="F345" s="24" t="s">
        <v>43</v>
      </c>
      <c r="G345" s="3" t="s">
        <v>1059</v>
      </c>
      <c r="H345" s="4" t="s">
        <v>159</v>
      </c>
      <c r="I345" s="33" t="s">
        <v>86</v>
      </c>
      <c r="J345" s="5" t="s">
        <v>87</v>
      </c>
      <c r="K345" s="3" t="str">
        <f t="shared" ca="1" si="70"/>
        <v xml:space="preserve">4 Tahun 8 bulan </v>
      </c>
      <c r="L345" s="30" t="s">
        <v>88</v>
      </c>
      <c r="M345" s="5">
        <v>44561</v>
      </c>
      <c r="N345" s="3" t="str">
        <f t="shared" ca="1" si="71"/>
        <v xml:space="preserve">4 Tahun 8 bulan </v>
      </c>
      <c r="O345" s="4"/>
      <c r="P345" s="4" t="s">
        <v>35</v>
      </c>
      <c r="Q345" s="4" t="str">
        <f t="shared" si="72"/>
        <v>Laki-Laki</v>
      </c>
      <c r="R345" s="4">
        <f t="shared" si="66"/>
        <v>1</v>
      </c>
      <c r="S345" s="4" t="str">
        <f t="shared" si="76"/>
        <v>1</v>
      </c>
      <c r="T345" s="4">
        <f t="shared" si="67"/>
        <v>0</v>
      </c>
      <c r="U345" s="29"/>
      <c r="V345" s="30" t="s">
        <v>50</v>
      </c>
      <c r="W345" s="30"/>
      <c r="X345" s="30"/>
      <c r="Y345" s="30"/>
      <c r="Z345" s="30"/>
      <c r="AA345" s="30"/>
      <c r="AB345" s="29"/>
      <c r="AC345" s="29"/>
      <c r="AD345" s="37">
        <f t="shared" si="74"/>
        <v>27946</v>
      </c>
      <c r="AE345" s="3" t="str">
        <f t="shared" ca="1" si="73"/>
        <v>50 Tahun 1 bulan 27 Hari</v>
      </c>
      <c r="AF345" s="38">
        <f t="shared" si="75"/>
        <v>49888</v>
      </c>
    </row>
    <row r="346" spans="1:32" s="7" customFormat="1" ht="32.15" customHeight="1" x14ac:dyDescent="0.35">
      <c r="A346" s="26">
        <f t="shared" si="77"/>
        <v>324</v>
      </c>
      <c r="B346" s="27" t="s">
        <v>1021</v>
      </c>
      <c r="C346" s="26"/>
      <c r="D346" s="50" t="s">
        <v>1057</v>
      </c>
      <c r="E346" s="24" t="s">
        <v>1060</v>
      </c>
      <c r="F346" s="24" t="s">
        <v>43</v>
      </c>
      <c r="G346" s="4" t="s">
        <v>1061</v>
      </c>
      <c r="H346" s="4" t="s">
        <v>159</v>
      </c>
      <c r="I346" s="4" t="s">
        <v>61</v>
      </c>
      <c r="J346" s="5" t="s">
        <v>87</v>
      </c>
      <c r="K346" s="3" t="str">
        <f t="shared" ca="1" si="70"/>
        <v xml:space="preserve">4 Tahun 8 bulan </v>
      </c>
      <c r="L346" s="30" t="s">
        <v>88</v>
      </c>
      <c r="M346" s="5">
        <v>44561</v>
      </c>
      <c r="N346" s="3" t="str">
        <f t="shared" ca="1" si="71"/>
        <v xml:space="preserve">4 Tahun 8 bulan </v>
      </c>
      <c r="O346" s="4"/>
      <c r="P346" s="4" t="s">
        <v>35</v>
      </c>
      <c r="Q346" s="4" t="str">
        <f t="shared" si="72"/>
        <v>Perempuan</v>
      </c>
      <c r="R346" s="4">
        <f t="shared" si="66"/>
        <v>1</v>
      </c>
      <c r="S346" s="4" t="str">
        <f t="shared" si="76"/>
        <v>1</v>
      </c>
      <c r="T346" s="4">
        <f t="shared" si="67"/>
        <v>0</v>
      </c>
      <c r="U346" s="29"/>
      <c r="V346" s="30"/>
      <c r="W346" s="30"/>
      <c r="X346" s="30"/>
      <c r="Y346" s="30"/>
      <c r="Z346" s="30"/>
      <c r="AA346" s="30"/>
      <c r="AB346" s="29"/>
      <c r="AC346" s="29"/>
      <c r="AD346" s="37">
        <f t="shared" si="74"/>
        <v>28406</v>
      </c>
      <c r="AE346" s="3" t="str">
        <f t="shared" ca="1" si="73"/>
        <v>48 Tahun 10 bulan 24 Hari</v>
      </c>
      <c r="AF346" s="38">
        <f t="shared" si="75"/>
        <v>50345</v>
      </c>
    </row>
    <row r="347" spans="1:32" s="7" customFormat="1" ht="32.15" customHeight="1" x14ac:dyDescent="0.35">
      <c r="A347" s="26">
        <f t="shared" si="77"/>
        <v>325</v>
      </c>
      <c r="B347" s="27" t="s">
        <v>1021</v>
      </c>
      <c r="C347" s="256" t="s">
        <v>1062</v>
      </c>
      <c r="D347" s="257"/>
      <c r="E347" s="24" t="s">
        <v>2892</v>
      </c>
      <c r="F347" s="24" t="s">
        <v>43</v>
      </c>
      <c r="G347" s="4" t="s">
        <v>2893</v>
      </c>
      <c r="H347" s="4" t="s">
        <v>1158</v>
      </c>
      <c r="I347" s="33" t="s">
        <v>1961</v>
      </c>
      <c r="J347" s="5">
        <v>46087</v>
      </c>
      <c r="K347" s="3" t="str">
        <f t="shared" ca="1" si="70"/>
        <v xml:space="preserve">0 Tahun 5 bulan </v>
      </c>
      <c r="L347" s="30" t="s">
        <v>346</v>
      </c>
      <c r="M347" s="5">
        <v>46087</v>
      </c>
      <c r="N347" s="3" t="str">
        <f t="shared" ca="1" si="71"/>
        <v xml:space="preserve">0 Tahun 5 bulan </v>
      </c>
      <c r="O347" s="4"/>
      <c r="P347" s="4" t="s">
        <v>2805</v>
      </c>
      <c r="Q347" s="4" t="str">
        <f t="shared" si="72"/>
        <v>Laki-Laki</v>
      </c>
      <c r="R347" s="4">
        <f t="shared" si="66"/>
        <v>1</v>
      </c>
      <c r="S347" s="4" t="str">
        <f t="shared" si="76"/>
        <v>1</v>
      </c>
      <c r="T347" s="4">
        <f t="shared" si="67"/>
        <v>0</v>
      </c>
      <c r="U347" s="29"/>
      <c r="V347" s="30" t="s">
        <v>50</v>
      </c>
      <c r="W347" s="30"/>
      <c r="X347" s="30"/>
      <c r="Y347" s="30"/>
      <c r="Z347" s="30"/>
      <c r="AA347" s="30"/>
      <c r="AB347" s="29"/>
      <c r="AC347" s="29"/>
      <c r="AD347" s="37">
        <f t="shared" si="74"/>
        <v>28777</v>
      </c>
      <c r="AE347" s="3" t="str">
        <f t="shared" ca="1" si="73"/>
        <v>47 Tahun 10 bulan 18 Hari</v>
      </c>
      <c r="AF347" s="38">
        <f t="shared" si="75"/>
        <v>50710</v>
      </c>
    </row>
    <row r="348" spans="1:32" s="7" customFormat="1" ht="38.25" customHeight="1" x14ac:dyDescent="0.35">
      <c r="A348" s="26">
        <f t="shared" si="77"/>
        <v>326</v>
      </c>
      <c r="B348" s="27" t="s">
        <v>1021</v>
      </c>
      <c r="C348" s="26"/>
      <c r="D348" s="50" t="s">
        <v>1064</v>
      </c>
      <c r="E348" s="24" t="s">
        <v>1065</v>
      </c>
      <c r="F348" s="24" t="s">
        <v>43</v>
      </c>
      <c r="G348" s="4" t="s">
        <v>1066</v>
      </c>
      <c r="H348" s="4" t="s">
        <v>1063</v>
      </c>
      <c r="I348" s="33" t="s">
        <v>1067</v>
      </c>
      <c r="J348" s="5" t="s">
        <v>87</v>
      </c>
      <c r="K348" s="3" t="str">
        <f t="shared" ca="1" si="70"/>
        <v xml:space="preserve">4 Tahun 8 bulan </v>
      </c>
      <c r="L348" s="30" t="s">
        <v>88</v>
      </c>
      <c r="M348" s="5">
        <v>44561</v>
      </c>
      <c r="N348" s="3" t="str">
        <f t="shared" ca="1" si="71"/>
        <v xml:space="preserve">4 Tahun 8 bulan </v>
      </c>
      <c r="O348" s="4"/>
      <c r="P348" s="4" t="s">
        <v>35</v>
      </c>
      <c r="Q348" s="4" t="str">
        <f t="shared" si="72"/>
        <v/>
      </c>
      <c r="R348" s="4">
        <f t="shared" ref="R348:R411" si="78">R347</f>
        <v>1</v>
      </c>
      <c r="S348" s="4" t="str">
        <f t="shared" si="76"/>
        <v>1</v>
      </c>
      <c r="T348" s="4">
        <f t="shared" si="67"/>
        <v>0</v>
      </c>
      <c r="U348" s="29"/>
      <c r="V348" s="30" t="s">
        <v>50</v>
      </c>
      <c r="W348" s="30"/>
      <c r="X348" s="30"/>
      <c r="Y348" s="30"/>
      <c r="Z348" s="30"/>
      <c r="AA348" s="30"/>
      <c r="AB348" s="29"/>
      <c r="AC348" s="29"/>
      <c r="AD348" s="37">
        <f t="shared" si="74"/>
        <v>27397</v>
      </c>
      <c r="AE348" s="3" t="str">
        <f t="shared" ca="1" si="73"/>
        <v>51 Tahun 7 bulan 29 Hari</v>
      </c>
      <c r="AF348" s="38">
        <f t="shared" si="75"/>
        <v>49341</v>
      </c>
    </row>
    <row r="349" spans="1:32" s="7" customFormat="1" ht="32.15" customHeight="1" x14ac:dyDescent="0.35">
      <c r="A349" s="26">
        <f t="shared" si="77"/>
        <v>327</v>
      </c>
      <c r="B349" s="27" t="s">
        <v>1021</v>
      </c>
      <c r="C349" s="26"/>
      <c r="D349" s="50" t="s">
        <v>1064</v>
      </c>
      <c r="E349" s="24" t="s">
        <v>108</v>
      </c>
      <c r="F349" s="24"/>
      <c r="G349" s="4"/>
      <c r="H349" s="4"/>
      <c r="I349" s="33"/>
      <c r="J349" s="49"/>
      <c r="K349" s="3" t="str">
        <f t="shared" ca="1" si="70"/>
        <v/>
      </c>
      <c r="L349" s="30" t="s">
        <v>88</v>
      </c>
      <c r="M349" s="49"/>
      <c r="N349" s="3" t="str">
        <f t="shared" ca="1" si="71"/>
        <v/>
      </c>
      <c r="O349" s="4"/>
      <c r="P349" s="4"/>
      <c r="Q349" s="4" t="str">
        <f t="shared" si="72"/>
        <v/>
      </c>
      <c r="R349" s="4">
        <f t="shared" si="78"/>
        <v>1</v>
      </c>
      <c r="S349" s="4" t="str">
        <f t="shared" si="76"/>
        <v>0</v>
      </c>
      <c r="T349" s="4">
        <f t="shared" si="67"/>
        <v>1</v>
      </c>
      <c r="U349" s="29"/>
      <c r="V349" s="30"/>
      <c r="W349" s="30"/>
      <c r="X349" s="30"/>
      <c r="Y349" s="30"/>
      <c r="Z349" s="30"/>
      <c r="AA349" s="30"/>
      <c r="AB349" s="29"/>
      <c r="AC349" s="29"/>
      <c r="AD349" s="37" t="str">
        <f t="shared" si="74"/>
        <v/>
      </c>
      <c r="AE349" s="3" t="str">
        <f t="shared" ca="1" si="73"/>
        <v/>
      </c>
      <c r="AF349" s="38" t="str">
        <f t="shared" si="75"/>
        <v/>
      </c>
    </row>
    <row r="350" spans="1:32" s="7" customFormat="1" ht="32.15" customHeight="1" x14ac:dyDescent="0.35">
      <c r="A350" s="26">
        <f t="shared" si="77"/>
        <v>328</v>
      </c>
      <c r="B350" s="27" t="s">
        <v>1021</v>
      </c>
      <c r="C350" s="26"/>
      <c r="D350" s="50" t="s">
        <v>1068</v>
      </c>
      <c r="E350" s="24" t="s">
        <v>108</v>
      </c>
      <c r="F350" s="24"/>
      <c r="G350" s="4"/>
      <c r="H350" s="4"/>
      <c r="I350" s="41"/>
      <c r="J350" s="5"/>
      <c r="K350" s="3" t="str">
        <f t="shared" ca="1" si="70"/>
        <v/>
      </c>
      <c r="L350" s="30" t="s">
        <v>88</v>
      </c>
      <c r="M350" s="5"/>
      <c r="N350" s="3" t="str">
        <f t="shared" ca="1" si="71"/>
        <v/>
      </c>
      <c r="O350" s="4"/>
      <c r="P350" s="4"/>
      <c r="Q350" s="4" t="str">
        <f t="shared" si="72"/>
        <v/>
      </c>
      <c r="R350" s="4">
        <f t="shared" si="78"/>
        <v>1</v>
      </c>
      <c r="S350" s="4" t="str">
        <f t="shared" si="76"/>
        <v>0</v>
      </c>
      <c r="T350" s="4">
        <f t="shared" si="67"/>
        <v>1</v>
      </c>
      <c r="U350" s="29"/>
      <c r="V350" s="30" t="s">
        <v>50</v>
      </c>
      <c r="W350" s="30"/>
      <c r="X350" s="30"/>
      <c r="Y350" s="30"/>
      <c r="Z350" s="30"/>
      <c r="AA350" s="30"/>
      <c r="AB350" s="29"/>
      <c r="AC350" s="29"/>
      <c r="AD350" s="37" t="str">
        <f t="shared" si="74"/>
        <v/>
      </c>
      <c r="AE350" s="3" t="str">
        <f t="shared" ca="1" si="73"/>
        <v/>
      </c>
      <c r="AF350" s="38" t="str">
        <f t="shared" si="75"/>
        <v/>
      </c>
    </row>
    <row r="351" spans="1:32" s="7" customFormat="1" ht="32.15" customHeight="1" x14ac:dyDescent="0.35">
      <c r="A351" s="26">
        <f t="shared" si="77"/>
        <v>329</v>
      </c>
      <c r="B351" s="27" t="s">
        <v>1021</v>
      </c>
      <c r="C351" s="256" t="s">
        <v>1070</v>
      </c>
      <c r="D351" s="257"/>
      <c r="E351" s="39" t="s">
        <v>1071</v>
      </c>
      <c r="F351" s="24" t="s">
        <v>43</v>
      </c>
      <c r="G351" s="40" t="s">
        <v>1072</v>
      </c>
      <c r="H351" s="4" t="s">
        <v>1063</v>
      </c>
      <c r="I351" s="25" t="s">
        <v>1073</v>
      </c>
      <c r="J351" s="5" t="s">
        <v>369</v>
      </c>
      <c r="K351" s="3" t="str">
        <f t="shared" ca="1" si="70"/>
        <v xml:space="preserve">3 Tahun 11 bulan </v>
      </c>
      <c r="L351" s="30" t="s">
        <v>346</v>
      </c>
      <c r="M351" s="5" t="s">
        <v>369</v>
      </c>
      <c r="N351" s="3" t="str">
        <f t="shared" ca="1" si="71"/>
        <v xml:space="preserve">3 Tahun 11 bulan </v>
      </c>
      <c r="O351" s="4"/>
      <c r="P351" s="4" t="s">
        <v>35</v>
      </c>
      <c r="Q351" s="4" t="str">
        <f t="shared" si="72"/>
        <v>Laki-Laki</v>
      </c>
      <c r="R351" s="4">
        <f t="shared" si="78"/>
        <v>1</v>
      </c>
      <c r="S351" s="4" t="str">
        <f t="shared" si="76"/>
        <v>1</v>
      </c>
      <c r="T351" s="4">
        <f t="shared" si="67"/>
        <v>0</v>
      </c>
      <c r="U351" s="29"/>
      <c r="V351" s="30" t="s">
        <v>50</v>
      </c>
      <c r="W351" s="30"/>
      <c r="X351" s="30"/>
      <c r="Y351" s="30"/>
      <c r="Z351" s="30"/>
      <c r="AA351" s="30"/>
      <c r="AB351" s="29"/>
      <c r="AC351" s="29"/>
      <c r="AD351" s="37">
        <f t="shared" si="74"/>
        <v>28680</v>
      </c>
      <c r="AE351" s="3" t="str">
        <f t="shared" ca="1" si="73"/>
        <v>48 Tahun 1 bulan 23 Hari</v>
      </c>
      <c r="AF351" s="38">
        <f t="shared" si="75"/>
        <v>50618</v>
      </c>
    </row>
    <row r="352" spans="1:32" s="7" customFormat="1" ht="32.15" customHeight="1" x14ac:dyDescent="0.35">
      <c r="A352" s="26">
        <f t="shared" si="77"/>
        <v>330</v>
      </c>
      <c r="B352" s="27" t="s">
        <v>1021</v>
      </c>
      <c r="C352" s="26"/>
      <c r="D352" s="50" t="s">
        <v>1074</v>
      </c>
      <c r="E352" s="51" t="s">
        <v>1075</v>
      </c>
      <c r="F352" s="51" t="s">
        <v>43</v>
      </c>
      <c r="G352" s="52" t="s">
        <v>1076</v>
      </c>
      <c r="H352" s="4" t="s">
        <v>410</v>
      </c>
      <c r="I352" s="33" t="s">
        <v>251</v>
      </c>
      <c r="J352" s="5">
        <v>44561</v>
      </c>
      <c r="K352" s="3" t="str">
        <f t="shared" ca="1" si="70"/>
        <v xml:space="preserve">4 Tahun 8 bulan </v>
      </c>
      <c r="L352" s="30" t="s">
        <v>88</v>
      </c>
      <c r="M352" s="5">
        <v>44561</v>
      </c>
      <c r="N352" s="3" t="str">
        <f t="shared" ca="1" si="71"/>
        <v xml:space="preserve">4 Tahun 8 bulan </v>
      </c>
      <c r="O352" s="4"/>
      <c r="P352" s="4" t="s">
        <v>35</v>
      </c>
      <c r="Q352" s="4" t="str">
        <f t="shared" si="72"/>
        <v>Laki-Laki</v>
      </c>
      <c r="R352" s="4">
        <f t="shared" si="78"/>
        <v>1</v>
      </c>
      <c r="S352" s="4" t="str">
        <f t="shared" si="76"/>
        <v>1</v>
      </c>
      <c r="T352" s="4">
        <f t="shared" si="67"/>
        <v>0</v>
      </c>
      <c r="U352" s="29"/>
      <c r="V352" s="30" t="s">
        <v>50</v>
      </c>
      <c r="W352" s="30"/>
      <c r="X352" s="30"/>
      <c r="Y352" s="30"/>
      <c r="Z352" s="30"/>
      <c r="AA352" s="30"/>
      <c r="AB352" s="29"/>
      <c r="AC352" s="29"/>
      <c r="AD352" s="37">
        <f t="shared" si="74"/>
        <v>28212</v>
      </c>
      <c r="AE352" s="3" t="str">
        <f t="shared" ca="1" si="73"/>
        <v>49 Tahun 5 bulan 4 Hari</v>
      </c>
      <c r="AF352" s="38">
        <f t="shared" si="75"/>
        <v>50131</v>
      </c>
    </row>
    <row r="353" spans="1:32" s="7" customFormat="1" ht="32.15" customHeight="1" x14ac:dyDescent="0.35">
      <c r="A353" s="26">
        <f t="shared" si="77"/>
        <v>331</v>
      </c>
      <c r="B353" s="27" t="s">
        <v>1021</v>
      </c>
      <c r="C353" s="26"/>
      <c r="D353" s="50" t="s">
        <v>1077</v>
      </c>
      <c r="E353" s="24" t="s">
        <v>1078</v>
      </c>
      <c r="F353" s="51" t="s">
        <v>43</v>
      </c>
      <c r="G353" s="3" t="s">
        <v>1079</v>
      </c>
      <c r="H353" s="4" t="s">
        <v>574</v>
      </c>
      <c r="I353" s="4" t="s">
        <v>61</v>
      </c>
      <c r="J353" s="5">
        <v>44561</v>
      </c>
      <c r="K353" s="3" t="str">
        <f t="shared" ca="1" si="70"/>
        <v xml:space="preserve">4 Tahun 8 bulan </v>
      </c>
      <c r="L353" s="30" t="s">
        <v>88</v>
      </c>
      <c r="M353" s="5">
        <v>44561</v>
      </c>
      <c r="N353" s="3" t="str">
        <f t="shared" ca="1" si="71"/>
        <v xml:space="preserve">4 Tahun 8 bulan </v>
      </c>
      <c r="O353" s="4"/>
      <c r="P353" s="4" t="s">
        <v>35</v>
      </c>
      <c r="Q353" s="4" t="str">
        <f t="shared" si="72"/>
        <v>Perempuan</v>
      </c>
      <c r="R353" s="4">
        <f t="shared" si="78"/>
        <v>1</v>
      </c>
      <c r="S353" s="4" t="str">
        <f t="shared" si="76"/>
        <v>1</v>
      </c>
      <c r="T353" s="4">
        <f t="shared" ref="T353:T418" si="79">R353-S353</f>
        <v>0</v>
      </c>
      <c r="U353" s="29"/>
      <c r="V353" s="30"/>
      <c r="W353" s="30"/>
      <c r="X353" s="30"/>
      <c r="Y353" s="30"/>
      <c r="Z353" s="30"/>
      <c r="AA353" s="30"/>
      <c r="AB353" s="29"/>
      <c r="AC353" s="29"/>
      <c r="AD353" s="37">
        <f t="shared" si="74"/>
        <v>26664</v>
      </c>
      <c r="AE353" s="3" t="str">
        <f t="shared" ca="1" si="73"/>
        <v>53 Tahun 8 bulan 1 Hari</v>
      </c>
      <c r="AF353" s="38">
        <f t="shared" si="75"/>
        <v>48580</v>
      </c>
    </row>
    <row r="354" spans="1:32" s="7" customFormat="1" ht="32.15" customHeight="1" x14ac:dyDescent="0.35">
      <c r="A354" s="26">
        <f t="shared" si="77"/>
        <v>332</v>
      </c>
      <c r="B354" s="27" t="s">
        <v>1021</v>
      </c>
      <c r="C354" s="26"/>
      <c r="D354" s="50" t="s">
        <v>1080</v>
      </c>
      <c r="E354" s="45" t="s">
        <v>1081</v>
      </c>
      <c r="F354" s="51" t="s">
        <v>43</v>
      </c>
      <c r="G354" s="44" t="s">
        <v>1082</v>
      </c>
      <c r="H354" s="4" t="s">
        <v>574</v>
      </c>
      <c r="I354" s="48" t="s">
        <v>86</v>
      </c>
      <c r="J354" s="5">
        <v>44561</v>
      </c>
      <c r="K354" s="3" t="str">
        <f t="shared" ca="1" si="70"/>
        <v xml:space="preserve">4 Tahun 8 bulan </v>
      </c>
      <c r="L354" s="30" t="s">
        <v>88</v>
      </c>
      <c r="M354" s="5">
        <v>44561</v>
      </c>
      <c r="N354" s="3" t="str">
        <f t="shared" ca="1" si="71"/>
        <v xml:space="preserve">4 Tahun 8 bulan </v>
      </c>
      <c r="O354" s="35"/>
      <c r="P354" s="4" t="s">
        <v>35</v>
      </c>
      <c r="Q354" s="4" t="str">
        <f t="shared" si="72"/>
        <v>Perempuan</v>
      </c>
      <c r="R354" s="4">
        <f t="shared" si="78"/>
        <v>1</v>
      </c>
      <c r="S354" s="4" t="str">
        <f t="shared" si="76"/>
        <v>1</v>
      </c>
      <c r="T354" s="4">
        <f t="shared" si="79"/>
        <v>0</v>
      </c>
      <c r="U354" s="29"/>
      <c r="V354" s="30"/>
      <c r="W354" s="30"/>
      <c r="X354" s="30"/>
      <c r="Y354" s="30"/>
      <c r="Z354" s="30"/>
      <c r="AA354" s="30"/>
      <c r="AB354" s="29"/>
      <c r="AC354" s="29"/>
      <c r="AD354" s="37">
        <f t="shared" si="74"/>
        <v>28060</v>
      </c>
      <c r="AE354" s="3" t="str">
        <f t="shared" ca="1" si="73"/>
        <v>49 Tahun 10 bulan 5 Hari</v>
      </c>
      <c r="AF354" s="38">
        <f t="shared" si="75"/>
        <v>49980</v>
      </c>
    </row>
    <row r="355" spans="1:32" s="7" customFormat="1" ht="32.15" customHeight="1" x14ac:dyDescent="0.35">
      <c r="A355" s="26">
        <f t="shared" si="77"/>
        <v>333</v>
      </c>
      <c r="B355" s="27" t="s">
        <v>1021</v>
      </c>
      <c r="C355" s="256" t="s">
        <v>1083</v>
      </c>
      <c r="D355" s="257"/>
      <c r="E355" s="24" t="s">
        <v>1084</v>
      </c>
      <c r="F355" s="24" t="s">
        <v>43</v>
      </c>
      <c r="G355" s="4" t="s">
        <v>1085</v>
      </c>
      <c r="H355" s="4" t="s">
        <v>1015</v>
      </c>
      <c r="I355" s="33" t="s">
        <v>46</v>
      </c>
      <c r="J355" s="5" t="s">
        <v>1043</v>
      </c>
      <c r="K355" s="3" t="str">
        <f t="shared" ca="1" si="70"/>
        <v xml:space="preserve">5 Tahun 1 bulan </v>
      </c>
      <c r="L355" s="30" t="s">
        <v>346</v>
      </c>
      <c r="M355" s="5" t="s">
        <v>1043</v>
      </c>
      <c r="N355" s="3" t="str">
        <f t="shared" ca="1" si="71"/>
        <v xml:space="preserve">5 Tahun 1 bulan </v>
      </c>
      <c r="O355" s="4"/>
      <c r="P355" s="4" t="s">
        <v>35</v>
      </c>
      <c r="Q355" s="4" t="str">
        <f t="shared" si="72"/>
        <v>Perempuan</v>
      </c>
      <c r="R355" s="4">
        <f t="shared" si="78"/>
        <v>1</v>
      </c>
      <c r="S355" s="4" t="str">
        <f t="shared" si="76"/>
        <v>1</v>
      </c>
      <c r="T355" s="4">
        <f t="shared" si="79"/>
        <v>0</v>
      </c>
      <c r="U355" s="29"/>
      <c r="V355" s="30"/>
      <c r="W355" s="30"/>
      <c r="X355" s="30"/>
      <c r="Y355" s="30"/>
      <c r="Z355" s="30"/>
      <c r="AA355" s="30"/>
      <c r="AB355" s="29"/>
      <c r="AC355" s="29"/>
      <c r="AD355" s="37">
        <f t="shared" si="74"/>
        <v>27939</v>
      </c>
      <c r="AE355" s="3" t="str">
        <f t="shared" ca="1" si="73"/>
        <v>50 Tahun 2 bulan 4 Hari</v>
      </c>
      <c r="AF355" s="38">
        <f t="shared" si="75"/>
        <v>49857</v>
      </c>
    </row>
    <row r="356" spans="1:32" s="7" customFormat="1" ht="32.15" customHeight="1" x14ac:dyDescent="0.35">
      <c r="A356" s="26">
        <f t="shared" si="77"/>
        <v>334</v>
      </c>
      <c r="B356" s="27" t="s">
        <v>1021</v>
      </c>
      <c r="C356" s="26"/>
      <c r="D356" s="50" t="s">
        <v>1086</v>
      </c>
      <c r="E356" s="24" t="s">
        <v>1087</v>
      </c>
      <c r="F356" s="51" t="s">
        <v>43</v>
      </c>
      <c r="G356" s="4" t="s">
        <v>1088</v>
      </c>
      <c r="H356" s="4" t="s">
        <v>135</v>
      </c>
      <c r="I356" s="41" t="s">
        <v>86</v>
      </c>
      <c r="J356" s="5">
        <v>44561</v>
      </c>
      <c r="K356" s="3" t="str">
        <f t="shared" ca="1" si="70"/>
        <v xml:space="preserve">4 Tahun 8 bulan </v>
      </c>
      <c r="L356" s="30" t="s">
        <v>88</v>
      </c>
      <c r="M356" s="5">
        <v>44561</v>
      </c>
      <c r="N356" s="3" t="str">
        <f t="shared" ca="1" si="71"/>
        <v xml:space="preserve">4 Tahun 8 bulan </v>
      </c>
      <c r="O356" s="35"/>
      <c r="P356" s="4" t="s">
        <v>35</v>
      </c>
      <c r="Q356" s="4" t="str">
        <f t="shared" si="72"/>
        <v>Perempuan</v>
      </c>
      <c r="R356" s="4">
        <f t="shared" si="78"/>
        <v>1</v>
      </c>
      <c r="S356" s="4" t="str">
        <f t="shared" si="76"/>
        <v>1</v>
      </c>
      <c r="T356" s="4">
        <f t="shared" si="79"/>
        <v>0</v>
      </c>
      <c r="U356" s="29"/>
      <c r="V356" s="30"/>
      <c r="W356" s="30"/>
      <c r="X356" s="30"/>
      <c r="Y356" s="30"/>
      <c r="Z356" s="30"/>
      <c r="AA356" s="30"/>
      <c r="AB356" s="29"/>
      <c r="AC356" s="29"/>
      <c r="AD356" s="37">
        <f t="shared" si="74"/>
        <v>28512</v>
      </c>
      <c r="AE356" s="3" t="str">
        <f t="shared" ca="1" si="73"/>
        <v>48 Tahun 7 bulan 10 Hari</v>
      </c>
      <c r="AF356" s="38">
        <f t="shared" si="75"/>
        <v>50437</v>
      </c>
    </row>
    <row r="357" spans="1:32" s="7" customFormat="1" ht="32.15" customHeight="1" x14ac:dyDescent="0.35">
      <c r="A357" s="26">
        <f t="shared" si="77"/>
        <v>335</v>
      </c>
      <c r="B357" s="27" t="s">
        <v>1021</v>
      </c>
      <c r="C357" s="26"/>
      <c r="D357" s="50" t="s">
        <v>1089</v>
      </c>
      <c r="E357" s="24" t="s">
        <v>1090</v>
      </c>
      <c r="F357" s="51" t="s">
        <v>43</v>
      </c>
      <c r="G357" s="4" t="s">
        <v>1091</v>
      </c>
      <c r="H357" s="4" t="s">
        <v>1092</v>
      </c>
      <c r="I357" s="33" t="s">
        <v>86</v>
      </c>
      <c r="J357" s="5">
        <v>44561</v>
      </c>
      <c r="K357" s="3" t="str">
        <f t="shared" ca="1" si="70"/>
        <v xml:space="preserve">4 Tahun 8 bulan </v>
      </c>
      <c r="L357" s="30" t="s">
        <v>88</v>
      </c>
      <c r="M357" s="5">
        <v>44561</v>
      </c>
      <c r="N357" s="3" t="str">
        <f t="shared" ca="1" si="71"/>
        <v xml:space="preserve">4 Tahun 8 bulan </v>
      </c>
      <c r="O357" s="4"/>
      <c r="P357" s="4" t="s">
        <v>35</v>
      </c>
      <c r="Q357" s="4" t="str">
        <f t="shared" si="72"/>
        <v>Perempuan</v>
      </c>
      <c r="R357" s="4">
        <f t="shared" si="78"/>
        <v>1</v>
      </c>
      <c r="S357" s="4" t="str">
        <f t="shared" si="76"/>
        <v>1</v>
      </c>
      <c r="T357" s="4">
        <f t="shared" si="79"/>
        <v>0</v>
      </c>
      <c r="U357" s="29"/>
      <c r="V357" s="30"/>
      <c r="W357" s="30"/>
      <c r="X357" s="30"/>
      <c r="Y357" s="30"/>
      <c r="Z357" s="30"/>
      <c r="AA357" s="30"/>
      <c r="AB357" s="29"/>
      <c r="AC357" s="29"/>
      <c r="AD357" s="37">
        <f t="shared" si="74"/>
        <v>28059</v>
      </c>
      <c r="AE357" s="3" t="str">
        <f t="shared" ca="1" si="73"/>
        <v>49 Tahun 10 bulan 6 Hari</v>
      </c>
      <c r="AF357" s="38">
        <f t="shared" si="75"/>
        <v>49980</v>
      </c>
    </row>
    <row r="358" spans="1:32" s="7" customFormat="1" ht="32.15" customHeight="1" x14ac:dyDescent="0.35">
      <c r="A358" s="26">
        <f t="shared" si="77"/>
        <v>336</v>
      </c>
      <c r="B358" s="27" t="s">
        <v>1021</v>
      </c>
      <c r="C358" s="26"/>
      <c r="D358" s="50" t="s">
        <v>1093</v>
      </c>
      <c r="E358" s="24" t="s">
        <v>1094</v>
      </c>
      <c r="F358" s="51" t="s">
        <v>43</v>
      </c>
      <c r="G358" s="4" t="s">
        <v>1095</v>
      </c>
      <c r="H358" s="4" t="s">
        <v>213</v>
      </c>
      <c r="I358" s="33" t="s">
        <v>242</v>
      </c>
      <c r="J358" s="5">
        <v>44561</v>
      </c>
      <c r="K358" s="3" t="str">
        <f t="shared" ca="1" si="70"/>
        <v xml:space="preserve">4 Tahun 8 bulan </v>
      </c>
      <c r="L358" s="30" t="s">
        <v>88</v>
      </c>
      <c r="M358" s="5">
        <v>44561</v>
      </c>
      <c r="N358" s="3" t="str">
        <f t="shared" ca="1" si="71"/>
        <v xml:space="preserve">4 Tahun 8 bulan </v>
      </c>
      <c r="O358" s="4"/>
      <c r="P358" s="4" t="s">
        <v>35</v>
      </c>
      <c r="Q358" s="4" t="str">
        <f t="shared" si="72"/>
        <v>Laki-Laki</v>
      </c>
      <c r="R358" s="4">
        <f t="shared" si="78"/>
        <v>1</v>
      </c>
      <c r="S358" s="4" t="str">
        <f t="shared" si="76"/>
        <v>1</v>
      </c>
      <c r="T358" s="4">
        <f t="shared" si="79"/>
        <v>0</v>
      </c>
      <c r="U358" s="29"/>
      <c r="V358" s="30" t="s">
        <v>50</v>
      </c>
      <c r="W358" s="30"/>
      <c r="X358" s="30"/>
      <c r="Y358" s="30"/>
      <c r="Z358" s="30"/>
      <c r="AA358" s="30"/>
      <c r="AB358" s="29"/>
      <c r="AC358" s="29"/>
      <c r="AD358" s="37">
        <f t="shared" si="74"/>
        <v>30854</v>
      </c>
      <c r="AE358" s="3" t="str">
        <f t="shared" ca="1" si="73"/>
        <v>42 Tahun 2 bulan 11 Hari</v>
      </c>
      <c r="AF358" s="38">
        <f t="shared" si="75"/>
        <v>52779</v>
      </c>
    </row>
    <row r="359" spans="1:32" s="7" customFormat="1" ht="32.15" customHeight="1" x14ac:dyDescent="0.35">
      <c r="A359" s="26"/>
      <c r="B359" s="68" t="s">
        <v>1096</v>
      </c>
      <c r="C359" s="269" t="s">
        <v>1097</v>
      </c>
      <c r="D359" s="270"/>
      <c r="E359" s="24"/>
      <c r="F359" s="24"/>
      <c r="G359" s="4"/>
      <c r="H359" s="4"/>
      <c r="I359" s="33"/>
      <c r="J359" s="5"/>
      <c r="K359" s="3" t="str">
        <f t="shared" ca="1" si="70"/>
        <v/>
      </c>
      <c r="L359" s="30"/>
      <c r="M359" s="5"/>
      <c r="N359" s="3" t="str">
        <f t="shared" ca="1" si="71"/>
        <v/>
      </c>
      <c r="O359" s="4"/>
      <c r="P359" s="4"/>
      <c r="Q359" s="4"/>
      <c r="R359" s="4"/>
      <c r="S359" s="4"/>
      <c r="T359" s="4"/>
      <c r="U359" s="29"/>
      <c r="V359" s="30"/>
      <c r="W359" s="30"/>
      <c r="X359" s="30"/>
      <c r="Y359" s="30"/>
      <c r="Z359" s="29"/>
      <c r="AA359" s="29"/>
      <c r="AB359" s="29"/>
      <c r="AC359" s="29"/>
      <c r="AD359" s="37" t="str">
        <f t="shared" si="74"/>
        <v/>
      </c>
      <c r="AE359" s="3" t="str">
        <f t="shared" ca="1" si="73"/>
        <v/>
      </c>
      <c r="AF359" s="38" t="str">
        <f t="shared" si="75"/>
        <v/>
      </c>
    </row>
    <row r="360" spans="1:32" s="7" customFormat="1" ht="32.15" customHeight="1" x14ac:dyDescent="0.35">
      <c r="A360" s="26">
        <f>A358+1</f>
        <v>337</v>
      </c>
      <c r="B360" s="32" t="s">
        <v>1096</v>
      </c>
      <c r="C360" s="278" t="s">
        <v>1098</v>
      </c>
      <c r="D360" s="279"/>
      <c r="E360" s="24" t="s">
        <v>141</v>
      </c>
      <c r="F360" s="24" t="s">
        <v>43</v>
      </c>
      <c r="G360" s="3" t="s">
        <v>142</v>
      </c>
      <c r="H360" s="4" t="s">
        <v>143</v>
      </c>
      <c r="I360" s="33" t="s">
        <v>144</v>
      </c>
      <c r="J360" s="53">
        <v>46260</v>
      </c>
      <c r="K360" s="3" t="str">
        <f t="shared" ca="1" si="70"/>
        <v xml:space="preserve">0 Tahun 0 bulan </v>
      </c>
      <c r="L360" s="30" t="s">
        <v>56</v>
      </c>
      <c r="M360" s="47" t="s">
        <v>114</v>
      </c>
      <c r="N360" s="3" t="str">
        <f t="shared" ca="1" si="71"/>
        <v xml:space="preserve">6 Tahun 8 bulan </v>
      </c>
      <c r="O360" s="44" t="s">
        <v>81</v>
      </c>
      <c r="P360" s="4" t="s">
        <v>35</v>
      </c>
      <c r="Q360" s="4" t="str">
        <f t="shared" si="72"/>
        <v>Laki-Laki</v>
      </c>
      <c r="R360" s="4">
        <f>R358</f>
        <v>1</v>
      </c>
      <c r="S360" s="4" t="str">
        <f t="shared" ref="S360:S370" si="80">IF(E360="LOWONG","0","1")</f>
        <v>1</v>
      </c>
      <c r="T360" s="4">
        <f t="shared" si="79"/>
        <v>0</v>
      </c>
      <c r="U360" s="29"/>
      <c r="V360" s="30" t="s">
        <v>50</v>
      </c>
      <c r="W360" s="30"/>
      <c r="X360" s="30"/>
      <c r="Y360" s="30"/>
      <c r="Z360" s="30"/>
      <c r="AA360" s="30"/>
      <c r="AB360" s="29"/>
      <c r="AC360" s="29"/>
      <c r="AD360" s="37">
        <f t="shared" si="74"/>
        <v>26021</v>
      </c>
      <c r="AE360" s="3" t="str">
        <f t="shared" ca="1" si="73"/>
        <v>55 Tahun 5 bulan 3 Hari</v>
      </c>
      <c r="AF360" s="38">
        <f t="shared" si="75"/>
        <v>47939</v>
      </c>
    </row>
    <row r="361" spans="1:32" s="7" customFormat="1" ht="32.15" customHeight="1" x14ac:dyDescent="0.35">
      <c r="A361" s="26">
        <f t="shared" si="77"/>
        <v>338</v>
      </c>
      <c r="B361" s="32" t="s">
        <v>1096</v>
      </c>
      <c r="C361" s="256" t="s">
        <v>1101</v>
      </c>
      <c r="D361" s="257"/>
      <c r="E361" s="45" t="s">
        <v>1102</v>
      </c>
      <c r="F361" s="24" t="s">
        <v>43</v>
      </c>
      <c r="G361" s="44" t="s">
        <v>1103</v>
      </c>
      <c r="H361" s="4" t="s">
        <v>231</v>
      </c>
      <c r="I361" s="36" t="s">
        <v>1104</v>
      </c>
      <c r="J361" s="5" t="s">
        <v>369</v>
      </c>
      <c r="K361" s="3" t="str">
        <f t="shared" ca="1" si="70"/>
        <v xml:space="preserve">3 Tahun 11 bulan </v>
      </c>
      <c r="L361" s="30" t="s">
        <v>79</v>
      </c>
      <c r="M361" s="5" t="s">
        <v>369</v>
      </c>
      <c r="N361" s="3" t="str">
        <f t="shared" ca="1" si="71"/>
        <v xml:space="preserve">3 Tahun 11 bulan </v>
      </c>
      <c r="O361" s="4" t="s">
        <v>81</v>
      </c>
      <c r="P361" s="4" t="s">
        <v>35</v>
      </c>
      <c r="Q361" s="4" t="str">
        <f t="shared" si="72"/>
        <v>Laki-Laki</v>
      </c>
      <c r="R361" s="4">
        <f t="shared" si="78"/>
        <v>1</v>
      </c>
      <c r="S361" s="4" t="str">
        <f t="shared" si="80"/>
        <v>1</v>
      </c>
      <c r="T361" s="4">
        <f t="shared" si="79"/>
        <v>0</v>
      </c>
      <c r="U361" s="29"/>
      <c r="V361" s="30" t="s">
        <v>50</v>
      </c>
      <c r="W361" s="30"/>
      <c r="X361" s="30"/>
      <c r="Y361" s="30"/>
      <c r="Z361" s="30"/>
      <c r="AA361" s="30"/>
      <c r="AB361" s="29"/>
      <c r="AC361" s="29"/>
      <c r="AD361" s="37">
        <f t="shared" si="74"/>
        <v>29779</v>
      </c>
      <c r="AE361" s="3" t="str">
        <f t="shared" ca="1" si="73"/>
        <v>45 Tahun 1 bulan 20 Hari</v>
      </c>
      <c r="AF361" s="38">
        <f t="shared" si="75"/>
        <v>51714</v>
      </c>
    </row>
    <row r="362" spans="1:32" s="7" customFormat="1" ht="32.15" customHeight="1" x14ac:dyDescent="0.35">
      <c r="A362" s="26">
        <f t="shared" si="77"/>
        <v>339</v>
      </c>
      <c r="B362" s="32" t="s">
        <v>1096</v>
      </c>
      <c r="C362" s="26"/>
      <c r="D362" s="50" t="s">
        <v>1105</v>
      </c>
      <c r="E362" s="45" t="s">
        <v>1106</v>
      </c>
      <c r="F362" s="24" t="s">
        <v>43</v>
      </c>
      <c r="G362" s="44" t="s">
        <v>1107</v>
      </c>
      <c r="H362" s="4" t="s">
        <v>458</v>
      </c>
      <c r="I362" s="36" t="s">
        <v>1108</v>
      </c>
      <c r="J362" s="5" t="s">
        <v>1109</v>
      </c>
      <c r="K362" s="3" t="str">
        <f t="shared" ca="1" si="70"/>
        <v xml:space="preserve">6 Tahun 8 bulan </v>
      </c>
      <c r="L362" s="30" t="s">
        <v>200</v>
      </c>
      <c r="M362" s="5" t="s">
        <v>1109</v>
      </c>
      <c r="N362" s="3" t="str">
        <f t="shared" ca="1" si="71"/>
        <v xml:space="preserve">6 Tahun 8 bulan </v>
      </c>
      <c r="O362" s="4"/>
      <c r="P362" s="4" t="s">
        <v>35</v>
      </c>
      <c r="Q362" s="4" t="str">
        <f t="shared" si="72"/>
        <v>Perempuan</v>
      </c>
      <c r="R362" s="4">
        <f t="shared" si="78"/>
        <v>1</v>
      </c>
      <c r="S362" s="4" t="str">
        <f t="shared" si="80"/>
        <v>1</v>
      </c>
      <c r="T362" s="4">
        <f t="shared" si="79"/>
        <v>0</v>
      </c>
      <c r="U362" s="29"/>
      <c r="V362" s="30"/>
      <c r="W362" s="30"/>
      <c r="X362" s="30"/>
      <c r="Y362" s="30"/>
      <c r="Z362" s="30"/>
      <c r="AA362" s="30"/>
      <c r="AB362" s="29"/>
      <c r="AC362" s="29"/>
      <c r="AD362" s="37">
        <f t="shared" si="74"/>
        <v>27707</v>
      </c>
      <c r="AE362" s="3" t="str">
        <f t="shared" ca="1" si="73"/>
        <v>50 Tahun 9 bulan 23 Hari</v>
      </c>
      <c r="AF362" s="38">
        <f t="shared" si="75"/>
        <v>49644</v>
      </c>
    </row>
    <row r="363" spans="1:32" s="7" customFormat="1" ht="32.15" customHeight="1" x14ac:dyDescent="0.35">
      <c r="A363" s="26">
        <f t="shared" si="77"/>
        <v>340</v>
      </c>
      <c r="B363" s="32" t="s">
        <v>1096</v>
      </c>
      <c r="C363" s="26"/>
      <c r="D363" s="50" t="s">
        <v>1110</v>
      </c>
      <c r="E363" s="24" t="s">
        <v>108</v>
      </c>
      <c r="F363" s="24"/>
      <c r="G363" s="3"/>
      <c r="H363" s="4"/>
      <c r="I363" s="41"/>
      <c r="J363" s="49"/>
      <c r="K363" s="3" t="str">
        <f t="shared" ca="1" si="70"/>
        <v/>
      </c>
      <c r="L363" s="30" t="s">
        <v>88</v>
      </c>
      <c r="M363" s="49"/>
      <c r="N363" s="3" t="str">
        <f t="shared" ca="1" si="71"/>
        <v/>
      </c>
      <c r="O363" s="4"/>
      <c r="P363" s="4"/>
      <c r="Q363" s="4" t="str">
        <f t="shared" si="72"/>
        <v/>
      </c>
      <c r="R363" s="4">
        <f t="shared" si="78"/>
        <v>1</v>
      </c>
      <c r="S363" s="4" t="str">
        <f t="shared" si="80"/>
        <v>0</v>
      </c>
      <c r="T363" s="4">
        <f t="shared" si="79"/>
        <v>1</v>
      </c>
      <c r="U363" s="29"/>
      <c r="V363" s="30"/>
      <c r="W363" s="30"/>
      <c r="X363" s="30"/>
      <c r="Y363" s="30"/>
      <c r="Z363" s="30"/>
      <c r="AA363" s="30"/>
      <c r="AB363" s="29"/>
      <c r="AC363" s="29"/>
      <c r="AD363" s="37" t="str">
        <f t="shared" si="74"/>
        <v/>
      </c>
      <c r="AE363" s="3" t="str">
        <f t="shared" ca="1" si="73"/>
        <v/>
      </c>
      <c r="AF363" s="38" t="str">
        <f t="shared" si="75"/>
        <v/>
      </c>
    </row>
    <row r="364" spans="1:32" s="7" customFormat="1" ht="32.15" customHeight="1" x14ac:dyDescent="0.35">
      <c r="A364" s="26">
        <f t="shared" si="77"/>
        <v>341</v>
      </c>
      <c r="B364" s="32" t="s">
        <v>1096</v>
      </c>
      <c r="C364" s="256" t="s">
        <v>1111</v>
      </c>
      <c r="D364" s="257"/>
      <c r="E364" s="58" t="s">
        <v>108</v>
      </c>
      <c r="F364" s="58"/>
      <c r="G364" s="29"/>
      <c r="H364" s="29"/>
      <c r="I364" s="29"/>
      <c r="J364" s="49"/>
      <c r="K364" s="3" t="str">
        <f t="shared" ca="1" si="70"/>
        <v/>
      </c>
      <c r="L364" s="30" t="s">
        <v>88</v>
      </c>
      <c r="M364" s="49"/>
      <c r="N364" s="3" t="str">
        <f t="shared" ca="1" si="71"/>
        <v/>
      </c>
      <c r="O364" s="29"/>
      <c r="P364" s="29"/>
      <c r="Q364" s="4" t="str">
        <f t="shared" si="72"/>
        <v/>
      </c>
      <c r="R364" s="4">
        <f t="shared" si="78"/>
        <v>1</v>
      </c>
      <c r="S364" s="4" t="str">
        <f t="shared" si="80"/>
        <v>0</v>
      </c>
      <c r="T364" s="4">
        <f t="shared" si="79"/>
        <v>1</v>
      </c>
      <c r="U364" s="29"/>
      <c r="V364" s="30"/>
      <c r="W364" s="30"/>
      <c r="X364" s="30"/>
      <c r="Y364" s="30"/>
      <c r="Z364" s="30"/>
      <c r="AA364" s="30"/>
      <c r="AB364" s="29"/>
      <c r="AC364" s="29"/>
      <c r="AD364" s="37" t="str">
        <f t="shared" si="74"/>
        <v/>
      </c>
      <c r="AE364" s="3" t="str">
        <f t="shared" ca="1" si="73"/>
        <v/>
      </c>
      <c r="AF364" s="38" t="str">
        <f t="shared" si="75"/>
        <v/>
      </c>
    </row>
    <row r="365" spans="1:32" s="7" customFormat="1" ht="32.15" customHeight="1" x14ac:dyDescent="0.35">
      <c r="A365" s="26">
        <f t="shared" si="77"/>
        <v>342</v>
      </c>
      <c r="B365" s="32" t="s">
        <v>1096</v>
      </c>
      <c r="C365" s="26"/>
      <c r="D365" s="50" t="s">
        <v>1112</v>
      </c>
      <c r="E365" s="24" t="s">
        <v>1113</v>
      </c>
      <c r="F365" s="24" t="s">
        <v>43</v>
      </c>
      <c r="G365" s="4" t="s">
        <v>1114</v>
      </c>
      <c r="H365" s="4" t="s">
        <v>385</v>
      </c>
      <c r="I365" s="33" t="s">
        <v>86</v>
      </c>
      <c r="J365" s="5" t="s">
        <v>255</v>
      </c>
      <c r="K365" s="3" t="str">
        <f t="shared" ca="1" si="70"/>
        <v xml:space="preserve">3 Tahun 8 bulan </v>
      </c>
      <c r="L365" s="30" t="s">
        <v>88</v>
      </c>
      <c r="M365" s="5" t="s">
        <v>255</v>
      </c>
      <c r="N365" s="3" t="str">
        <f t="shared" ca="1" si="71"/>
        <v xml:space="preserve">3 Tahun 8 bulan </v>
      </c>
      <c r="O365" s="4"/>
      <c r="P365" s="4" t="s">
        <v>35</v>
      </c>
      <c r="Q365" s="4" t="str">
        <f t="shared" si="72"/>
        <v>Laki-Laki</v>
      </c>
      <c r="R365" s="4">
        <f t="shared" si="78"/>
        <v>1</v>
      </c>
      <c r="S365" s="4" t="str">
        <f t="shared" si="80"/>
        <v>1</v>
      </c>
      <c r="T365" s="4">
        <f t="shared" si="79"/>
        <v>0</v>
      </c>
      <c r="U365" s="29"/>
      <c r="V365" s="30" t="s">
        <v>50</v>
      </c>
      <c r="W365" s="30"/>
      <c r="X365" s="30"/>
      <c r="Y365" s="30"/>
      <c r="Z365" s="30"/>
      <c r="AA365" s="30"/>
      <c r="AB365" s="29"/>
      <c r="AC365" s="29"/>
      <c r="AD365" s="37">
        <f t="shared" si="74"/>
        <v>28317</v>
      </c>
      <c r="AE365" s="3" t="str">
        <f t="shared" ca="1" si="73"/>
        <v>49 Tahun 1 bulan 21 Hari</v>
      </c>
      <c r="AF365" s="38">
        <f t="shared" si="75"/>
        <v>50253</v>
      </c>
    </row>
    <row r="366" spans="1:32" s="7" customFormat="1" ht="32.15" customHeight="1" x14ac:dyDescent="0.35">
      <c r="A366" s="26">
        <f t="shared" si="77"/>
        <v>343</v>
      </c>
      <c r="B366" s="32" t="s">
        <v>1096</v>
      </c>
      <c r="C366" s="26"/>
      <c r="D366" s="50" t="s">
        <v>1115</v>
      </c>
      <c r="E366" s="24" t="s">
        <v>108</v>
      </c>
      <c r="F366" s="24"/>
      <c r="G366" s="4"/>
      <c r="H366" s="4"/>
      <c r="I366" s="33"/>
      <c r="J366" s="49"/>
      <c r="K366" s="3" t="str">
        <f t="shared" ca="1" si="70"/>
        <v/>
      </c>
      <c r="L366" s="30" t="s">
        <v>88</v>
      </c>
      <c r="M366" s="49"/>
      <c r="N366" s="3" t="str">
        <f t="shared" ca="1" si="71"/>
        <v/>
      </c>
      <c r="O366" s="4"/>
      <c r="P366" s="4"/>
      <c r="Q366" s="4" t="str">
        <f t="shared" si="72"/>
        <v/>
      </c>
      <c r="R366" s="4">
        <f t="shared" si="78"/>
        <v>1</v>
      </c>
      <c r="S366" s="4" t="str">
        <f t="shared" si="80"/>
        <v>0</v>
      </c>
      <c r="T366" s="4">
        <f t="shared" si="79"/>
        <v>1</v>
      </c>
      <c r="U366" s="29"/>
      <c r="V366" s="30"/>
      <c r="W366" s="30"/>
      <c r="X366" s="30"/>
      <c r="Y366" s="30"/>
      <c r="Z366" s="30"/>
      <c r="AA366" s="30"/>
      <c r="AB366" s="29"/>
      <c r="AC366" s="29"/>
      <c r="AD366" s="37" t="str">
        <f t="shared" si="74"/>
        <v/>
      </c>
      <c r="AE366" s="3" t="str">
        <f t="shared" ca="1" si="73"/>
        <v/>
      </c>
      <c r="AF366" s="38" t="str">
        <f t="shared" si="75"/>
        <v/>
      </c>
    </row>
    <row r="367" spans="1:32" s="7" customFormat="1" ht="32.15" customHeight="1" x14ac:dyDescent="0.35">
      <c r="A367" s="26">
        <f t="shared" si="77"/>
        <v>344</v>
      </c>
      <c r="B367" s="32" t="s">
        <v>1096</v>
      </c>
      <c r="C367" s="256" t="s">
        <v>1116</v>
      </c>
      <c r="D367" s="257"/>
      <c r="E367" s="24" t="s">
        <v>1117</v>
      </c>
      <c r="F367" s="24" t="s">
        <v>43</v>
      </c>
      <c r="G367" s="4" t="s">
        <v>1118</v>
      </c>
      <c r="H367" s="4" t="s">
        <v>458</v>
      </c>
      <c r="I367" s="33" t="s">
        <v>1119</v>
      </c>
      <c r="J367" s="5" t="s">
        <v>255</v>
      </c>
      <c r="K367" s="3" t="str">
        <f t="shared" ca="1" si="70"/>
        <v xml:space="preserve">3 Tahun 8 bulan </v>
      </c>
      <c r="L367" s="30" t="s">
        <v>88</v>
      </c>
      <c r="M367" s="5" t="s">
        <v>255</v>
      </c>
      <c r="N367" s="3" t="str">
        <f t="shared" ca="1" si="71"/>
        <v xml:space="preserve">3 Tahun 8 bulan </v>
      </c>
      <c r="O367" s="4"/>
      <c r="P367" s="4" t="s">
        <v>35</v>
      </c>
      <c r="Q367" s="4" t="str">
        <f t="shared" si="72"/>
        <v>Laki-Laki</v>
      </c>
      <c r="R367" s="4">
        <f>R365</f>
        <v>1</v>
      </c>
      <c r="S367" s="4" t="str">
        <f t="shared" si="80"/>
        <v>1</v>
      </c>
      <c r="T367" s="4">
        <f t="shared" si="79"/>
        <v>0</v>
      </c>
      <c r="U367" s="29"/>
      <c r="V367" s="30" t="s">
        <v>50</v>
      </c>
      <c r="W367" s="30"/>
      <c r="X367" s="30"/>
      <c r="Y367" s="30"/>
      <c r="Z367" s="30"/>
      <c r="AA367" s="30"/>
      <c r="AB367" s="29"/>
      <c r="AC367" s="29"/>
      <c r="AD367" s="37">
        <f t="shared" si="74"/>
        <v>30297</v>
      </c>
      <c r="AE367" s="3" t="str">
        <f t="shared" ca="1" si="73"/>
        <v>43 Tahun 8 bulan 20 Hari</v>
      </c>
      <c r="AF367" s="38">
        <f t="shared" si="75"/>
        <v>52232</v>
      </c>
    </row>
    <row r="368" spans="1:32" s="7" customFormat="1" ht="32.15" customHeight="1" x14ac:dyDescent="0.35">
      <c r="A368" s="26">
        <f t="shared" si="77"/>
        <v>345</v>
      </c>
      <c r="B368" s="32" t="s">
        <v>1096</v>
      </c>
      <c r="C368" s="26"/>
      <c r="D368" s="50" t="s">
        <v>1112</v>
      </c>
      <c r="E368" s="24" t="s">
        <v>1120</v>
      </c>
      <c r="F368" s="24" t="s">
        <v>43</v>
      </c>
      <c r="G368" s="3" t="s">
        <v>1121</v>
      </c>
      <c r="H368" s="4" t="s">
        <v>662</v>
      </c>
      <c r="I368" s="33" t="s">
        <v>46</v>
      </c>
      <c r="J368" s="5" t="s">
        <v>255</v>
      </c>
      <c r="K368" s="3" t="str">
        <f t="shared" ca="1" si="70"/>
        <v xml:space="preserve">3 Tahun 8 bulan </v>
      </c>
      <c r="L368" s="30" t="s">
        <v>88</v>
      </c>
      <c r="M368" s="5" t="s">
        <v>255</v>
      </c>
      <c r="N368" s="3" t="str">
        <f t="shared" ca="1" si="71"/>
        <v xml:space="preserve">3 Tahun 8 bulan </v>
      </c>
      <c r="O368" s="4"/>
      <c r="P368" s="4" t="s">
        <v>35</v>
      </c>
      <c r="Q368" s="4" t="str">
        <f t="shared" si="72"/>
        <v>Perempuan</v>
      </c>
      <c r="R368" s="4">
        <v>1</v>
      </c>
      <c r="S368" s="4" t="str">
        <f t="shared" si="80"/>
        <v>1</v>
      </c>
      <c r="T368" s="4">
        <f t="shared" si="79"/>
        <v>0</v>
      </c>
      <c r="U368" s="29"/>
      <c r="V368" s="30"/>
      <c r="W368" s="30"/>
      <c r="X368" s="30"/>
      <c r="Y368" s="30"/>
      <c r="Z368" s="30"/>
      <c r="AA368" s="30"/>
      <c r="AB368" s="29"/>
      <c r="AC368" s="29"/>
      <c r="AD368" s="37">
        <f t="shared" si="74"/>
        <v>28696</v>
      </c>
      <c r="AE368" s="3" t="str">
        <f t="shared" ca="1" si="73"/>
        <v>48 Tahun 1 bulan 7 Hari</v>
      </c>
      <c r="AF368" s="38">
        <f t="shared" si="75"/>
        <v>50618</v>
      </c>
    </row>
    <row r="369" spans="1:32" s="7" customFormat="1" ht="32.15" customHeight="1" x14ac:dyDescent="0.35">
      <c r="A369" s="26">
        <f t="shared" si="77"/>
        <v>346</v>
      </c>
      <c r="B369" s="32" t="s">
        <v>1096</v>
      </c>
      <c r="C369" s="26"/>
      <c r="D369" s="50" t="s">
        <v>1112</v>
      </c>
      <c r="E369" s="51" t="s">
        <v>1122</v>
      </c>
      <c r="F369" s="24" t="s">
        <v>43</v>
      </c>
      <c r="G369" s="59" t="s">
        <v>1123</v>
      </c>
      <c r="H369" s="4" t="s">
        <v>337</v>
      </c>
      <c r="I369" s="33" t="s">
        <v>184</v>
      </c>
      <c r="J369" s="5" t="s">
        <v>255</v>
      </c>
      <c r="K369" s="3" t="str">
        <f t="shared" ca="1" si="70"/>
        <v xml:space="preserve">3 Tahun 8 bulan </v>
      </c>
      <c r="L369" s="30" t="s">
        <v>88</v>
      </c>
      <c r="M369" s="5" t="s">
        <v>255</v>
      </c>
      <c r="N369" s="3" t="str">
        <f t="shared" ca="1" si="71"/>
        <v xml:space="preserve">3 Tahun 8 bulan </v>
      </c>
      <c r="O369" s="4"/>
      <c r="P369" s="4" t="s">
        <v>35</v>
      </c>
      <c r="Q369" s="4" t="str">
        <f t="shared" si="72"/>
        <v>Laki-Laki</v>
      </c>
      <c r="R369" s="4">
        <f t="shared" si="78"/>
        <v>1</v>
      </c>
      <c r="S369" s="4" t="str">
        <f t="shared" si="80"/>
        <v>1</v>
      </c>
      <c r="T369" s="4">
        <f t="shared" si="79"/>
        <v>0</v>
      </c>
      <c r="U369" s="29"/>
      <c r="V369" s="30" t="s">
        <v>50</v>
      </c>
      <c r="W369" s="30"/>
      <c r="X369" s="30"/>
      <c r="Y369" s="30"/>
      <c r="Z369" s="30"/>
      <c r="AA369" s="30"/>
      <c r="AB369" s="29"/>
      <c r="AC369" s="29"/>
      <c r="AD369" s="37">
        <f t="shared" si="74"/>
        <v>28818</v>
      </c>
      <c r="AE369" s="3" t="str">
        <f t="shared" ca="1" si="73"/>
        <v>47 Tahun 9 bulan 8 Hari</v>
      </c>
      <c r="AF369" s="38">
        <f t="shared" si="75"/>
        <v>50740</v>
      </c>
    </row>
    <row r="370" spans="1:32" s="7" customFormat="1" ht="32.15" customHeight="1" x14ac:dyDescent="0.35">
      <c r="A370" s="26">
        <f t="shared" si="77"/>
        <v>347</v>
      </c>
      <c r="B370" s="32" t="s">
        <v>1096</v>
      </c>
      <c r="C370" s="27"/>
      <c r="D370" s="50" t="s">
        <v>1124</v>
      </c>
      <c r="E370" s="24" t="s">
        <v>1125</v>
      </c>
      <c r="F370" s="24" t="s">
        <v>43</v>
      </c>
      <c r="G370" s="3" t="s">
        <v>1126</v>
      </c>
      <c r="H370" s="36" t="s">
        <v>188</v>
      </c>
      <c r="I370" s="41" t="s">
        <v>46</v>
      </c>
      <c r="J370" s="5" t="s">
        <v>1127</v>
      </c>
      <c r="K370" s="3" t="str">
        <f t="shared" ca="1" si="70"/>
        <v xml:space="preserve">2 Tahun 11 bulan </v>
      </c>
      <c r="L370" s="30" t="s">
        <v>88</v>
      </c>
      <c r="M370" s="5" t="s">
        <v>1127</v>
      </c>
      <c r="N370" s="3" t="str">
        <f t="shared" ca="1" si="71"/>
        <v xml:space="preserve">2 Tahun 11 bulan </v>
      </c>
      <c r="O370" s="4"/>
      <c r="P370" s="4" t="s">
        <v>35</v>
      </c>
      <c r="Q370" s="4" t="str">
        <f t="shared" si="72"/>
        <v>Laki-Laki</v>
      </c>
      <c r="R370" s="4">
        <f t="shared" si="78"/>
        <v>1</v>
      </c>
      <c r="S370" s="4" t="str">
        <f t="shared" si="80"/>
        <v>1</v>
      </c>
      <c r="T370" s="4">
        <f t="shared" si="79"/>
        <v>0</v>
      </c>
      <c r="U370" s="29"/>
      <c r="V370" s="30" t="s">
        <v>50</v>
      </c>
      <c r="W370" s="30"/>
      <c r="X370" s="30"/>
      <c r="Y370" s="30"/>
      <c r="Z370" s="30"/>
      <c r="AA370" s="30"/>
      <c r="AB370" s="29"/>
      <c r="AC370" s="29"/>
      <c r="AD370" s="37">
        <f t="shared" si="74"/>
        <v>26403</v>
      </c>
      <c r="AE370" s="3" t="str">
        <f t="shared" ca="1" si="73"/>
        <v>54 Tahun 4 bulan 18 Hari</v>
      </c>
      <c r="AF370" s="38">
        <f t="shared" si="75"/>
        <v>48335</v>
      </c>
    </row>
    <row r="371" spans="1:32" s="7" customFormat="1" ht="32.15" customHeight="1" x14ac:dyDescent="0.35">
      <c r="A371" s="26"/>
      <c r="B371" s="32" t="s">
        <v>1128</v>
      </c>
      <c r="C371" s="280" t="s">
        <v>1129</v>
      </c>
      <c r="D371" s="281"/>
      <c r="E371" s="24"/>
      <c r="F371" s="24"/>
      <c r="G371" s="4"/>
      <c r="H371" s="4"/>
      <c r="I371" s="33"/>
      <c r="J371" s="5"/>
      <c r="K371" s="3" t="str">
        <f t="shared" ca="1" si="70"/>
        <v/>
      </c>
      <c r="L371" s="30"/>
      <c r="M371" s="5"/>
      <c r="N371" s="3" t="str">
        <f t="shared" ca="1" si="71"/>
        <v/>
      </c>
      <c r="O371" s="4"/>
      <c r="P371" s="4"/>
      <c r="Q371" s="4"/>
      <c r="R371" s="4"/>
      <c r="S371" s="4"/>
      <c r="T371" s="4"/>
      <c r="U371" s="29"/>
      <c r="V371" s="30"/>
      <c r="W371" s="30"/>
      <c r="X371" s="30"/>
      <c r="Y371" s="30"/>
      <c r="Z371" s="29"/>
      <c r="AA371" s="29"/>
      <c r="AB371" s="29"/>
      <c r="AC371" s="29"/>
      <c r="AD371" s="37" t="str">
        <f t="shared" si="74"/>
        <v/>
      </c>
      <c r="AE371" s="3" t="str">
        <f t="shared" ca="1" si="73"/>
        <v/>
      </c>
      <c r="AF371" s="38" t="str">
        <f t="shared" si="75"/>
        <v/>
      </c>
    </row>
    <row r="372" spans="1:32" s="7" customFormat="1" ht="32.15" customHeight="1" x14ac:dyDescent="0.35">
      <c r="A372" s="26">
        <f>A370+1</f>
        <v>348</v>
      </c>
      <c r="B372" s="32" t="s">
        <v>1128</v>
      </c>
      <c r="C372" s="278" t="s">
        <v>1130</v>
      </c>
      <c r="D372" s="279"/>
      <c r="E372" s="24" t="s">
        <v>2879</v>
      </c>
      <c r="F372" s="24" t="s">
        <v>43</v>
      </c>
      <c r="G372" s="3" t="s">
        <v>2833</v>
      </c>
      <c r="H372" s="4" t="s">
        <v>231</v>
      </c>
      <c r="I372" s="4" t="s">
        <v>2834</v>
      </c>
      <c r="J372" s="53">
        <v>46087</v>
      </c>
      <c r="K372" s="3" t="str">
        <f t="shared" ca="1" si="70"/>
        <v xml:space="preserve">0 Tahun 5 bulan </v>
      </c>
      <c r="L372" s="30" t="s">
        <v>56</v>
      </c>
      <c r="M372" s="53">
        <v>46087</v>
      </c>
      <c r="N372" s="3" t="str">
        <f t="shared" ca="1" si="71"/>
        <v xml:space="preserve">0 Tahun 5 bulan </v>
      </c>
      <c r="O372" s="4"/>
      <c r="P372" s="4" t="s">
        <v>35</v>
      </c>
      <c r="Q372" s="4" t="str">
        <f t="shared" si="72"/>
        <v>Laki-Laki</v>
      </c>
      <c r="R372" s="4">
        <f>R369</f>
        <v>1</v>
      </c>
      <c r="S372" s="4" t="str">
        <f>IF(E372="LOWONG","0","1")</f>
        <v>1</v>
      </c>
      <c r="T372" s="4">
        <f t="shared" si="79"/>
        <v>0</v>
      </c>
      <c r="U372" s="29"/>
      <c r="V372" s="30" t="s">
        <v>50</v>
      </c>
      <c r="W372" s="30"/>
      <c r="X372" s="30"/>
      <c r="Y372" s="30"/>
      <c r="Z372" s="30"/>
      <c r="AA372" s="30"/>
      <c r="AB372" s="29"/>
      <c r="AC372" s="29"/>
      <c r="AD372" s="37">
        <f t="shared" si="74"/>
        <v>26833</v>
      </c>
      <c r="AE372" s="3" t="str">
        <f t="shared" ca="1" si="73"/>
        <v>53 Tahun 2 bulan 14 Hari</v>
      </c>
      <c r="AF372" s="38">
        <f t="shared" si="75"/>
        <v>48761</v>
      </c>
    </row>
    <row r="373" spans="1:32" s="7" customFormat="1" ht="32.15" customHeight="1" x14ac:dyDescent="0.35">
      <c r="A373" s="26">
        <f t="shared" si="77"/>
        <v>349</v>
      </c>
      <c r="B373" s="32" t="s">
        <v>1128</v>
      </c>
      <c r="C373" s="256" t="s">
        <v>1131</v>
      </c>
      <c r="D373" s="257"/>
      <c r="E373" s="24" t="s">
        <v>2997</v>
      </c>
      <c r="F373" s="24" t="s">
        <v>43</v>
      </c>
      <c r="G373" s="3" t="s">
        <v>1250</v>
      </c>
      <c r="H373" s="4" t="s">
        <v>188</v>
      </c>
      <c r="I373" s="4" t="s">
        <v>2998</v>
      </c>
      <c r="J373" s="5">
        <v>46198</v>
      </c>
      <c r="K373" s="3" t="str">
        <f t="shared" ca="1" si="70"/>
        <v xml:space="preserve">0 Tahun 2 bulan </v>
      </c>
      <c r="L373" s="30" t="s">
        <v>79</v>
      </c>
      <c r="M373" s="5">
        <v>44413</v>
      </c>
      <c r="N373" s="3" t="str">
        <f t="shared" ca="1" si="71"/>
        <v xml:space="preserve">5 Tahun 0 bulan </v>
      </c>
      <c r="O373" s="4"/>
      <c r="P373" s="4"/>
      <c r="Q373" s="4" t="str">
        <f t="shared" si="72"/>
        <v>Laki-Laki</v>
      </c>
      <c r="R373" s="4">
        <f t="shared" si="78"/>
        <v>1</v>
      </c>
      <c r="S373" s="4" t="str">
        <f>IF(E301="LOWONG","0","1")</f>
        <v>1</v>
      </c>
      <c r="T373" s="4">
        <f t="shared" si="79"/>
        <v>0</v>
      </c>
      <c r="U373" s="29"/>
      <c r="V373" s="30"/>
      <c r="W373" s="30"/>
      <c r="X373" s="30"/>
      <c r="Y373" s="30"/>
      <c r="Z373" s="30"/>
      <c r="AA373" s="30"/>
      <c r="AB373" s="29"/>
      <c r="AC373" s="29"/>
      <c r="AD373" s="37">
        <f t="shared" si="74"/>
        <v>28712</v>
      </c>
      <c r="AE373" s="3" t="str">
        <f t="shared" ca="1" si="73"/>
        <v>48 Tahun 0 bulan 22 Hari</v>
      </c>
      <c r="AF373" s="38">
        <f t="shared" si="75"/>
        <v>50649</v>
      </c>
    </row>
    <row r="374" spans="1:32" s="7" customFormat="1" ht="32.15" customHeight="1" x14ac:dyDescent="0.35">
      <c r="A374" s="26">
        <f t="shared" si="77"/>
        <v>350</v>
      </c>
      <c r="B374" s="32" t="s">
        <v>1128</v>
      </c>
      <c r="C374" s="26"/>
      <c r="D374" s="50" t="s">
        <v>1132</v>
      </c>
      <c r="E374" s="51" t="s">
        <v>108</v>
      </c>
      <c r="F374" s="51"/>
      <c r="G374" s="52"/>
      <c r="H374" s="4"/>
      <c r="I374" s="33"/>
      <c r="J374" s="5"/>
      <c r="K374" s="3" t="str">
        <f t="shared" ca="1" si="70"/>
        <v/>
      </c>
      <c r="L374" s="30" t="s">
        <v>88</v>
      </c>
      <c r="M374" s="5"/>
      <c r="N374" s="3" t="str">
        <f t="shared" ca="1" si="71"/>
        <v/>
      </c>
      <c r="O374" s="4"/>
      <c r="P374" s="4"/>
      <c r="Q374" s="4" t="str">
        <f t="shared" si="72"/>
        <v/>
      </c>
      <c r="R374" s="4">
        <f t="shared" si="78"/>
        <v>1</v>
      </c>
      <c r="S374" s="4" t="str">
        <f t="shared" ref="S374:S388" si="81">IF(E374="LOWONG","0","1")</f>
        <v>0</v>
      </c>
      <c r="T374" s="4">
        <f t="shared" si="79"/>
        <v>1</v>
      </c>
      <c r="U374" s="29"/>
      <c r="V374" s="30"/>
      <c r="W374" s="30"/>
      <c r="X374" s="30"/>
      <c r="Y374" s="30"/>
      <c r="Z374" s="30"/>
      <c r="AA374" s="30"/>
      <c r="AB374" s="29"/>
      <c r="AC374" s="29"/>
      <c r="AD374" s="37" t="str">
        <f t="shared" si="74"/>
        <v/>
      </c>
      <c r="AE374" s="3" t="str">
        <f t="shared" ca="1" si="73"/>
        <v/>
      </c>
      <c r="AF374" s="38" t="str">
        <f t="shared" si="75"/>
        <v/>
      </c>
    </row>
    <row r="375" spans="1:32" s="7" customFormat="1" ht="32.15" customHeight="1" x14ac:dyDescent="0.35">
      <c r="A375" s="26">
        <f t="shared" si="77"/>
        <v>351</v>
      </c>
      <c r="B375" s="32" t="s">
        <v>1128</v>
      </c>
      <c r="C375" s="26"/>
      <c r="D375" s="50" t="s">
        <v>1135</v>
      </c>
      <c r="E375" s="24" t="s">
        <v>1136</v>
      </c>
      <c r="F375" s="24" t="s">
        <v>43</v>
      </c>
      <c r="G375" s="4" t="s">
        <v>1137</v>
      </c>
      <c r="H375" s="4" t="s">
        <v>1138</v>
      </c>
      <c r="I375" s="33" t="s">
        <v>46</v>
      </c>
      <c r="J375" s="5">
        <v>45993</v>
      </c>
      <c r="K375" s="3" t="str">
        <f t="shared" ca="1" si="70"/>
        <v xml:space="preserve">0 Tahun 8 bulan </v>
      </c>
      <c r="L375" s="30" t="s">
        <v>200</v>
      </c>
      <c r="M375" s="5" t="s">
        <v>127</v>
      </c>
      <c r="N375" s="3" t="str">
        <f t="shared" ca="1" si="71"/>
        <v xml:space="preserve">5 Tahun 6 bulan </v>
      </c>
      <c r="O375" s="4"/>
      <c r="P375" s="4" t="s">
        <v>35</v>
      </c>
      <c r="Q375" s="4" t="str">
        <f t="shared" si="72"/>
        <v>Perempuan</v>
      </c>
      <c r="R375" s="4">
        <f t="shared" si="78"/>
        <v>1</v>
      </c>
      <c r="S375" s="4" t="str">
        <f t="shared" si="81"/>
        <v>1</v>
      </c>
      <c r="T375" s="4">
        <f t="shared" si="79"/>
        <v>0</v>
      </c>
      <c r="U375" s="29"/>
      <c r="V375" s="30"/>
      <c r="W375" s="30"/>
      <c r="X375" s="30"/>
      <c r="Y375" s="30"/>
      <c r="Z375" s="30"/>
      <c r="AA375" s="30"/>
      <c r="AB375" s="29"/>
      <c r="AC375" s="29"/>
      <c r="AD375" s="37">
        <f t="shared" si="74"/>
        <v>27926</v>
      </c>
      <c r="AE375" s="3" t="str">
        <f t="shared" ca="1" si="73"/>
        <v>50 Tahun 2 bulan 17 Hari</v>
      </c>
      <c r="AF375" s="38">
        <f t="shared" si="75"/>
        <v>49857</v>
      </c>
    </row>
    <row r="376" spans="1:32" s="7" customFormat="1" ht="32.15" customHeight="1" x14ac:dyDescent="0.35">
      <c r="A376" s="26">
        <f t="shared" si="77"/>
        <v>352</v>
      </c>
      <c r="B376" s="32" t="s">
        <v>1128</v>
      </c>
      <c r="C376" s="26"/>
      <c r="D376" s="50" t="s">
        <v>1139</v>
      </c>
      <c r="E376" s="24" t="s">
        <v>108</v>
      </c>
      <c r="F376" s="24"/>
      <c r="G376" s="4"/>
      <c r="H376" s="4"/>
      <c r="I376" s="33"/>
      <c r="J376" s="49"/>
      <c r="K376" s="3" t="str">
        <f t="shared" ca="1" si="70"/>
        <v/>
      </c>
      <c r="L376" s="30" t="s">
        <v>88</v>
      </c>
      <c r="M376" s="49"/>
      <c r="N376" s="3" t="str">
        <f t="shared" ca="1" si="71"/>
        <v/>
      </c>
      <c r="O376" s="4"/>
      <c r="P376" s="4"/>
      <c r="Q376" s="4" t="str">
        <f t="shared" si="72"/>
        <v/>
      </c>
      <c r="R376" s="4">
        <f t="shared" si="78"/>
        <v>1</v>
      </c>
      <c r="S376" s="4" t="str">
        <f t="shared" si="81"/>
        <v>0</v>
      </c>
      <c r="T376" s="4">
        <f t="shared" si="79"/>
        <v>1</v>
      </c>
      <c r="U376" s="29"/>
      <c r="V376" s="30"/>
      <c r="W376" s="30"/>
      <c r="X376" s="30"/>
      <c r="Y376" s="30"/>
      <c r="Z376" s="30"/>
      <c r="AA376" s="30"/>
      <c r="AB376" s="29"/>
      <c r="AC376" s="29"/>
      <c r="AD376" s="37" t="str">
        <f t="shared" si="74"/>
        <v/>
      </c>
      <c r="AE376" s="3" t="str">
        <f t="shared" ca="1" si="73"/>
        <v/>
      </c>
      <c r="AF376" s="38" t="str">
        <f t="shared" si="75"/>
        <v/>
      </c>
    </row>
    <row r="377" spans="1:32" s="7" customFormat="1" ht="32.15" customHeight="1" x14ac:dyDescent="0.35">
      <c r="A377" s="26">
        <f t="shared" si="77"/>
        <v>353</v>
      </c>
      <c r="B377" s="32" t="s">
        <v>1128</v>
      </c>
      <c r="C377" s="256" t="s">
        <v>1140</v>
      </c>
      <c r="D377" s="257"/>
      <c r="E377" s="45" t="s">
        <v>3050</v>
      </c>
      <c r="F377" s="24" t="s">
        <v>43</v>
      </c>
      <c r="G377" s="44" t="s">
        <v>1915</v>
      </c>
      <c r="H377" s="4" t="s">
        <v>1916</v>
      </c>
      <c r="I377" s="36" t="s">
        <v>1917</v>
      </c>
      <c r="J377" s="82">
        <v>46260</v>
      </c>
      <c r="K377" s="3" t="str">
        <f t="shared" ca="1" si="70"/>
        <v xml:space="preserve">0 Tahun 0 bulan </v>
      </c>
      <c r="L377" s="30" t="s">
        <v>346</v>
      </c>
      <c r="M377" s="5"/>
      <c r="N377" s="3" t="str">
        <f t="shared" ca="1" si="71"/>
        <v/>
      </c>
      <c r="O377" s="4"/>
      <c r="P377" s="4" t="s">
        <v>35</v>
      </c>
      <c r="Q377" s="4" t="str">
        <f t="shared" si="72"/>
        <v>Laki-Laki</v>
      </c>
      <c r="R377" s="4">
        <f t="shared" si="78"/>
        <v>1</v>
      </c>
      <c r="S377" s="4" t="str">
        <f t="shared" si="81"/>
        <v>1</v>
      </c>
      <c r="T377" s="4">
        <f t="shared" si="79"/>
        <v>0</v>
      </c>
      <c r="U377" s="29"/>
      <c r="V377" s="30"/>
      <c r="W377" s="30"/>
      <c r="X377" s="30"/>
      <c r="Y377" s="30"/>
      <c r="Z377" s="30"/>
      <c r="AA377" s="30"/>
      <c r="AB377" s="29"/>
      <c r="AC377" s="29"/>
      <c r="AD377" s="37">
        <f t="shared" si="74"/>
        <v>30130</v>
      </c>
      <c r="AE377" s="3" t="str">
        <f t="shared" ca="1" si="73"/>
        <v>44 Tahun 2 bulan 4 Hari</v>
      </c>
      <c r="AF377" s="38">
        <f t="shared" si="75"/>
        <v>52048</v>
      </c>
    </row>
    <row r="378" spans="1:32" s="7" customFormat="1" ht="32.15" customHeight="1" x14ac:dyDescent="0.35">
      <c r="A378" s="26">
        <f t="shared" si="77"/>
        <v>354</v>
      </c>
      <c r="B378" s="32" t="s">
        <v>1128</v>
      </c>
      <c r="C378" s="26"/>
      <c r="D378" s="50" t="s">
        <v>1142</v>
      </c>
      <c r="E378" s="24" t="s">
        <v>1143</v>
      </c>
      <c r="F378" s="24" t="s">
        <v>43</v>
      </c>
      <c r="G378" s="4" t="s">
        <v>1144</v>
      </c>
      <c r="H378" s="4" t="s">
        <v>159</v>
      </c>
      <c r="I378" s="4" t="s">
        <v>86</v>
      </c>
      <c r="J378" s="5" t="s">
        <v>87</v>
      </c>
      <c r="K378" s="3" t="str">
        <f t="shared" ca="1" si="70"/>
        <v xml:space="preserve">4 Tahun 8 bulan </v>
      </c>
      <c r="L378" s="30" t="s">
        <v>88</v>
      </c>
      <c r="M378" s="5">
        <v>44561</v>
      </c>
      <c r="N378" s="3" t="str">
        <f t="shared" ca="1" si="71"/>
        <v xml:space="preserve">4 Tahun 8 bulan </v>
      </c>
      <c r="O378" s="35"/>
      <c r="P378" s="4" t="s">
        <v>35</v>
      </c>
      <c r="Q378" s="4" t="str">
        <f t="shared" si="72"/>
        <v>Laki-Laki</v>
      </c>
      <c r="R378" s="4">
        <f t="shared" si="78"/>
        <v>1</v>
      </c>
      <c r="S378" s="4" t="str">
        <f t="shared" si="81"/>
        <v>1</v>
      </c>
      <c r="T378" s="4">
        <f t="shared" si="79"/>
        <v>0</v>
      </c>
      <c r="U378" s="29"/>
      <c r="V378" s="30" t="s">
        <v>50</v>
      </c>
      <c r="W378" s="30"/>
      <c r="X378" s="30"/>
      <c r="Y378" s="30"/>
      <c r="Z378" s="30"/>
      <c r="AA378" s="30"/>
      <c r="AB378" s="29"/>
      <c r="AC378" s="29"/>
      <c r="AD378" s="37">
        <f t="shared" si="74"/>
        <v>29207</v>
      </c>
      <c r="AE378" s="3" t="str">
        <f t="shared" ca="1" si="73"/>
        <v>46 Tahun 8 bulan 14 Hari</v>
      </c>
      <c r="AF378" s="38">
        <f t="shared" si="75"/>
        <v>51136</v>
      </c>
    </row>
    <row r="379" spans="1:32" s="7" customFormat="1" ht="32.15" customHeight="1" x14ac:dyDescent="0.35">
      <c r="A379" s="26">
        <f t="shared" si="77"/>
        <v>355</v>
      </c>
      <c r="B379" s="32" t="s">
        <v>1128</v>
      </c>
      <c r="C379" s="26"/>
      <c r="D379" s="50" t="s">
        <v>1142</v>
      </c>
      <c r="E379" s="24" t="s">
        <v>108</v>
      </c>
      <c r="F379" s="24"/>
      <c r="G379" s="4"/>
      <c r="H379" s="4"/>
      <c r="I379" s="33"/>
      <c r="J379" s="49"/>
      <c r="K379" s="3" t="str">
        <f t="shared" ca="1" si="70"/>
        <v/>
      </c>
      <c r="L379" s="30" t="s">
        <v>88</v>
      </c>
      <c r="M379" s="49"/>
      <c r="N379" s="3" t="str">
        <f t="shared" ca="1" si="71"/>
        <v/>
      </c>
      <c r="O379" s="4"/>
      <c r="P379" s="4"/>
      <c r="Q379" s="4" t="str">
        <f t="shared" si="72"/>
        <v/>
      </c>
      <c r="R379" s="4">
        <f t="shared" si="78"/>
        <v>1</v>
      </c>
      <c r="S379" s="4" t="str">
        <f t="shared" si="81"/>
        <v>0</v>
      </c>
      <c r="T379" s="4">
        <f t="shared" si="79"/>
        <v>1</v>
      </c>
      <c r="U379" s="29"/>
      <c r="V379" s="30"/>
      <c r="W379" s="30"/>
      <c r="X379" s="30"/>
      <c r="Y379" s="30"/>
      <c r="Z379" s="30"/>
      <c r="AA379" s="30"/>
      <c r="AB379" s="29"/>
      <c r="AC379" s="29"/>
      <c r="AD379" s="37" t="str">
        <f t="shared" si="74"/>
        <v/>
      </c>
      <c r="AE379" s="3" t="str">
        <f t="shared" ca="1" si="73"/>
        <v/>
      </c>
      <c r="AF379" s="38" t="str">
        <f t="shared" si="75"/>
        <v/>
      </c>
    </row>
    <row r="380" spans="1:32" s="7" customFormat="1" ht="32.15" customHeight="1" x14ac:dyDescent="0.35">
      <c r="A380" s="26">
        <f t="shared" si="77"/>
        <v>356</v>
      </c>
      <c r="B380" s="32" t="s">
        <v>1128</v>
      </c>
      <c r="C380" s="256" t="s">
        <v>1145</v>
      </c>
      <c r="D380" s="257"/>
      <c r="E380" s="58" t="s">
        <v>1146</v>
      </c>
      <c r="F380" s="24" t="s">
        <v>43</v>
      </c>
      <c r="G380" s="25" t="s">
        <v>2836</v>
      </c>
      <c r="H380" s="4" t="s">
        <v>132</v>
      </c>
      <c r="I380" s="33" t="s">
        <v>759</v>
      </c>
      <c r="J380" s="53" t="s">
        <v>898</v>
      </c>
      <c r="K380" s="3" t="str">
        <f t="shared" ca="1" si="70"/>
        <v xml:space="preserve">0 Tahun 8 bulan </v>
      </c>
      <c r="L380" s="30" t="s">
        <v>346</v>
      </c>
      <c r="M380" s="5"/>
      <c r="N380" s="3" t="str">
        <f t="shared" ca="1" si="71"/>
        <v/>
      </c>
      <c r="O380" s="4"/>
      <c r="P380" s="4" t="s">
        <v>35</v>
      </c>
      <c r="Q380" s="4" t="str">
        <f t="shared" si="72"/>
        <v>Perempuan</v>
      </c>
      <c r="R380" s="4">
        <f t="shared" si="78"/>
        <v>1</v>
      </c>
      <c r="S380" s="4" t="str">
        <f t="shared" si="81"/>
        <v>1</v>
      </c>
      <c r="T380" s="4">
        <f t="shared" si="79"/>
        <v>0</v>
      </c>
      <c r="U380" s="29"/>
      <c r="V380" s="30"/>
      <c r="W380" s="30"/>
      <c r="X380" s="30"/>
      <c r="Y380" s="30"/>
      <c r="Z380" s="30"/>
      <c r="AA380" s="30"/>
      <c r="AB380" s="29"/>
      <c r="AC380" s="29"/>
      <c r="AD380" s="37">
        <f t="shared" si="74"/>
        <v>25704</v>
      </c>
      <c r="AE380" s="3" t="str">
        <f t="shared" ca="1" si="73"/>
        <v>56 Tahun 3 bulan 16 Hari</v>
      </c>
      <c r="AF380" s="38">
        <f t="shared" si="75"/>
        <v>47635</v>
      </c>
    </row>
    <row r="381" spans="1:32" s="7" customFormat="1" ht="32.15" customHeight="1" x14ac:dyDescent="0.35">
      <c r="A381" s="26">
        <f t="shared" si="77"/>
        <v>357</v>
      </c>
      <c r="B381" s="32" t="s">
        <v>1128</v>
      </c>
      <c r="C381" s="26"/>
      <c r="D381" s="50" t="s">
        <v>1142</v>
      </c>
      <c r="E381" s="24" t="s">
        <v>108</v>
      </c>
      <c r="F381" s="24"/>
      <c r="G381" s="3"/>
      <c r="H381" s="4"/>
      <c r="I381" s="4"/>
      <c r="J381" s="49"/>
      <c r="K381" s="3" t="str">
        <f t="shared" ca="1" si="70"/>
        <v/>
      </c>
      <c r="L381" s="30" t="s">
        <v>88</v>
      </c>
      <c r="M381" s="49"/>
      <c r="N381" s="3" t="str">
        <f t="shared" ca="1" si="71"/>
        <v/>
      </c>
      <c r="O381" s="4"/>
      <c r="P381" s="4"/>
      <c r="Q381" s="4" t="str">
        <f t="shared" si="72"/>
        <v/>
      </c>
      <c r="R381" s="4">
        <f t="shared" si="78"/>
        <v>1</v>
      </c>
      <c r="S381" s="4" t="str">
        <f t="shared" si="81"/>
        <v>0</v>
      </c>
      <c r="T381" s="4">
        <f t="shared" si="79"/>
        <v>1</v>
      </c>
      <c r="U381" s="29"/>
      <c r="V381" s="30"/>
      <c r="W381" s="30"/>
      <c r="X381" s="30"/>
      <c r="Y381" s="30"/>
      <c r="Z381" s="30"/>
      <c r="AA381" s="30"/>
      <c r="AB381" s="29"/>
      <c r="AC381" s="29"/>
      <c r="AD381" s="37" t="str">
        <f t="shared" si="74"/>
        <v/>
      </c>
      <c r="AE381" s="3" t="str">
        <f t="shared" ca="1" si="73"/>
        <v/>
      </c>
      <c r="AF381" s="38" t="str">
        <f t="shared" si="75"/>
        <v/>
      </c>
    </row>
    <row r="382" spans="1:32" s="7" customFormat="1" ht="32.15" customHeight="1" x14ac:dyDescent="0.35">
      <c r="A382" s="26">
        <f t="shared" si="77"/>
        <v>358</v>
      </c>
      <c r="B382" s="32" t="s">
        <v>1128</v>
      </c>
      <c r="C382" s="26"/>
      <c r="D382" s="50" t="s">
        <v>1142</v>
      </c>
      <c r="E382" s="45" t="s">
        <v>1147</v>
      </c>
      <c r="F382" s="45" t="s">
        <v>43</v>
      </c>
      <c r="G382" s="44" t="s">
        <v>1148</v>
      </c>
      <c r="H382" s="4" t="s">
        <v>574</v>
      </c>
      <c r="I382" s="33" t="s">
        <v>86</v>
      </c>
      <c r="J382" s="5" t="s">
        <v>87</v>
      </c>
      <c r="K382" s="3" t="str">
        <f t="shared" ca="1" si="70"/>
        <v xml:space="preserve">4 Tahun 8 bulan </v>
      </c>
      <c r="L382" s="30" t="s">
        <v>88</v>
      </c>
      <c r="M382" s="5" t="s">
        <v>87</v>
      </c>
      <c r="N382" s="3" t="str">
        <f t="shared" ca="1" si="71"/>
        <v xml:space="preserve">4 Tahun 8 bulan </v>
      </c>
      <c r="O382" s="36"/>
      <c r="P382" s="4" t="s">
        <v>35</v>
      </c>
      <c r="Q382" s="4" t="str">
        <f t="shared" si="72"/>
        <v>Perempuan</v>
      </c>
      <c r="R382" s="4">
        <f t="shared" si="78"/>
        <v>1</v>
      </c>
      <c r="S382" s="4" t="str">
        <f t="shared" si="81"/>
        <v>1</v>
      </c>
      <c r="T382" s="4">
        <f t="shared" si="79"/>
        <v>0</v>
      </c>
      <c r="U382" s="29"/>
      <c r="V382" s="30"/>
      <c r="W382" s="30"/>
      <c r="X382" s="30"/>
      <c r="Y382" s="30"/>
      <c r="Z382" s="30"/>
      <c r="AA382" s="30"/>
      <c r="AB382" s="29"/>
      <c r="AC382" s="29"/>
      <c r="AD382" s="37">
        <f t="shared" si="74"/>
        <v>29569</v>
      </c>
      <c r="AE382" s="3" t="str">
        <f t="shared" ca="1" si="73"/>
        <v>45 Tahun 8 bulan 18 Hari</v>
      </c>
      <c r="AF382" s="38">
        <f t="shared" si="75"/>
        <v>51502</v>
      </c>
    </row>
    <row r="383" spans="1:32" s="7" customFormat="1" ht="32.15" customHeight="1" x14ac:dyDescent="0.35">
      <c r="A383" s="26">
        <f t="shared" si="77"/>
        <v>359</v>
      </c>
      <c r="B383" s="32" t="s">
        <v>1128</v>
      </c>
      <c r="C383" s="256" t="s">
        <v>1149</v>
      </c>
      <c r="D383" s="257"/>
      <c r="E383" s="24" t="s">
        <v>1150</v>
      </c>
      <c r="F383" s="24" t="s">
        <v>43</v>
      </c>
      <c r="G383" s="3" t="s">
        <v>503</v>
      </c>
      <c r="H383" s="4" t="s">
        <v>313</v>
      </c>
      <c r="I383" s="33" t="s">
        <v>46</v>
      </c>
      <c r="J383" s="5">
        <v>45916</v>
      </c>
      <c r="K383" s="3" t="str">
        <f t="shared" ca="1" si="70"/>
        <v xml:space="preserve">0 Tahun 11 bulan </v>
      </c>
      <c r="L383" s="30" t="s">
        <v>346</v>
      </c>
      <c r="M383" s="5">
        <v>45916</v>
      </c>
      <c r="N383" s="3" t="str">
        <f t="shared" ca="1" si="71"/>
        <v xml:space="preserve">0 Tahun 11 bulan </v>
      </c>
      <c r="O383" s="25"/>
      <c r="P383" s="4" t="s">
        <v>35</v>
      </c>
      <c r="Q383" s="4" t="str">
        <f t="shared" si="72"/>
        <v>Perempuan</v>
      </c>
      <c r="R383" s="4">
        <f t="shared" si="78"/>
        <v>1</v>
      </c>
      <c r="S383" s="4" t="str">
        <f t="shared" si="81"/>
        <v>1</v>
      </c>
      <c r="T383" s="4">
        <f t="shared" si="79"/>
        <v>0</v>
      </c>
      <c r="U383" s="29"/>
      <c r="V383" s="30" t="s">
        <v>50</v>
      </c>
      <c r="W383" s="30"/>
      <c r="X383" s="30"/>
      <c r="Y383" s="30"/>
      <c r="Z383" s="30"/>
      <c r="AA383" s="30"/>
      <c r="AB383" s="29"/>
      <c r="AC383" s="29"/>
      <c r="AD383" s="37">
        <f t="shared" si="74"/>
        <v>25450</v>
      </c>
      <c r="AE383" s="3" t="str">
        <f t="shared" ca="1" si="73"/>
        <v>56 Tahun 11 bulan 28 Hari</v>
      </c>
      <c r="AF383" s="38">
        <f t="shared" si="75"/>
        <v>47392</v>
      </c>
    </row>
    <row r="384" spans="1:32" s="7" customFormat="1" ht="32.15" customHeight="1" x14ac:dyDescent="0.35">
      <c r="A384" s="26">
        <f t="shared" si="77"/>
        <v>360</v>
      </c>
      <c r="B384" s="32" t="s">
        <v>1128</v>
      </c>
      <c r="C384" s="26"/>
      <c r="D384" s="50" t="s">
        <v>1151</v>
      </c>
      <c r="E384" s="51" t="s">
        <v>1152</v>
      </c>
      <c r="F384" s="24" t="s">
        <v>43</v>
      </c>
      <c r="G384" s="59" t="s">
        <v>1153</v>
      </c>
      <c r="H384" s="4" t="s">
        <v>1154</v>
      </c>
      <c r="I384" s="33" t="s">
        <v>86</v>
      </c>
      <c r="J384" s="5" t="s">
        <v>87</v>
      </c>
      <c r="K384" s="3" t="str">
        <f t="shared" ca="1" si="70"/>
        <v xml:space="preserve">4 Tahun 8 bulan </v>
      </c>
      <c r="L384" s="30" t="s">
        <v>88</v>
      </c>
      <c r="M384" s="5" t="s">
        <v>87</v>
      </c>
      <c r="N384" s="3" t="str">
        <f t="shared" ca="1" si="71"/>
        <v xml:space="preserve">4 Tahun 8 bulan </v>
      </c>
      <c r="O384" s="4"/>
      <c r="P384" s="4" t="s">
        <v>35</v>
      </c>
      <c r="Q384" s="4" t="str">
        <f t="shared" si="72"/>
        <v>Perempuan</v>
      </c>
      <c r="R384" s="4">
        <f t="shared" si="78"/>
        <v>1</v>
      </c>
      <c r="S384" s="4" t="str">
        <f t="shared" si="81"/>
        <v>1</v>
      </c>
      <c r="T384" s="4">
        <f t="shared" si="79"/>
        <v>0</v>
      </c>
      <c r="U384" s="29"/>
      <c r="V384" s="30"/>
      <c r="W384" s="30"/>
      <c r="X384" s="30"/>
      <c r="Y384" s="30"/>
      <c r="Z384" s="30"/>
      <c r="AA384" s="30"/>
      <c r="AB384" s="29"/>
      <c r="AC384" s="29"/>
      <c r="AD384" s="37">
        <f t="shared" si="74"/>
        <v>29738</v>
      </c>
      <c r="AE384" s="3" t="str">
        <f t="shared" ca="1" si="73"/>
        <v>45 Tahun 3 bulan 0 Hari</v>
      </c>
      <c r="AF384" s="38">
        <f t="shared" si="75"/>
        <v>51683</v>
      </c>
    </row>
    <row r="385" spans="1:32" s="7" customFormat="1" ht="32.15" customHeight="1" x14ac:dyDescent="0.35">
      <c r="A385" s="26">
        <f t="shared" si="77"/>
        <v>361</v>
      </c>
      <c r="B385" s="32" t="s">
        <v>1128</v>
      </c>
      <c r="C385" s="26"/>
      <c r="D385" s="50" t="s">
        <v>1151</v>
      </c>
      <c r="E385" s="58" t="s">
        <v>108</v>
      </c>
      <c r="F385" s="58"/>
      <c r="G385" s="29"/>
      <c r="H385" s="29"/>
      <c r="I385" s="29"/>
      <c r="J385" s="49"/>
      <c r="K385" s="3" t="str">
        <f t="shared" ca="1" si="70"/>
        <v/>
      </c>
      <c r="L385" s="30" t="s">
        <v>88</v>
      </c>
      <c r="M385" s="49"/>
      <c r="N385" s="3" t="str">
        <f t="shared" ca="1" si="71"/>
        <v/>
      </c>
      <c r="O385" s="29"/>
      <c r="P385" s="29"/>
      <c r="Q385" s="4" t="str">
        <f t="shared" si="72"/>
        <v/>
      </c>
      <c r="R385" s="4">
        <f t="shared" si="78"/>
        <v>1</v>
      </c>
      <c r="S385" s="4" t="str">
        <f t="shared" si="81"/>
        <v>0</v>
      </c>
      <c r="T385" s="4">
        <f t="shared" si="79"/>
        <v>1</v>
      </c>
      <c r="U385" s="29"/>
      <c r="V385" s="30"/>
      <c r="W385" s="30"/>
      <c r="X385" s="30"/>
      <c r="Y385" s="30"/>
      <c r="Z385" s="30"/>
      <c r="AA385" s="30"/>
      <c r="AB385" s="29"/>
      <c r="AC385" s="29"/>
      <c r="AD385" s="37" t="str">
        <f t="shared" si="74"/>
        <v/>
      </c>
      <c r="AE385" s="3" t="str">
        <f t="shared" ca="1" si="73"/>
        <v/>
      </c>
      <c r="AF385" s="38" t="str">
        <f t="shared" si="75"/>
        <v/>
      </c>
    </row>
    <row r="386" spans="1:32" s="7" customFormat="1" ht="32.15" customHeight="1" x14ac:dyDescent="0.35">
      <c r="A386" s="26">
        <f t="shared" si="77"/>
        <v>362</v>
      </c>
      <c r="B386" s="32" t="s">
        <v>1128</v>
      </c>
      <c r="C386" s="256" t="s">
        <v>1155</v>
      </c>
      <c r="D386" s="257"/>
      <c r="E386" s="45" t="s">
        <v>934</v>
      </c>
      <c r="F386" s="24" t="s">
        <v>43</v>
      </c>
      <c r="G386" s="36" t="s">
        <v>935</v>
      </c>
      <c r="H386" s="56" t="s">
        <v>94</v>
      </c>
      <c r="I386" s="33" t="s">
        <v>2837</v>
      </c>
      <c r="J386" s="5">
        <v>45993</v>
      </c>
      <c r="K386" s="3" t="str">
        <f t="shared" ca="1" si="70"/>
        <v xml:space="preserve">0 Tahun 8 bulan </v>
      </c>
      <c r="L386" s="30" t="s">
        <v>346</v>
      </c>
      <c r="M386" s="5"/>
      <c r="N386" s="3" t="str">
        <f t="shared" ca="1" si="71"/>
        <v/>
      </c>
      <c r="O386" s="4"/>
      <c r="P386" s="4" t="s">
        <v>35</v>
      </c>
      <c r="Q386" s="4" t="str">
        <f t="shared" si="72"/>
        <v>Perempuan</v>
      </c>
      <c r="R386" s="4">
        <f>R157</f>
        <v>1</v>
      </c>
      <c r="S386" s="4" t="str">
        <f t="shared" si="81"/>
        <v>1</v>
      </c>
      <c r="T386" s="4">
        <f t="shared" si="79"/>
        <v>0</v>
      </c>
      <c r="U386" s="29"/>
      <c r="V386" s="30"/>
      <c r="W386" s="30"/>
      <c r="X386" s="30"/>
      <c r="Y386" s="30"/>
      <c r="Z386" s="30"/>
      <c r="AA386" s="30"/>
      <c r="AB386" s="29"/>
      <c r="AC386" s="29"/>
      <c r="AD386" s="37">
        <f t="shared" si="74"/>
        <v>31133</v>
      </c>
      <c r="AE386" s="3" t="str">
        <f t="shared" ca="1" si="73"/>
        <v>41 Tahun 5 bulan 5 Hari</v>
      </c>
      <c r="AF386" s="38">
        <f t="shared" si="75"/>
        <v>53053</v>
      </c>
    </row>
    <row r="387" spans="1:32" s="7" customFormat="1" ht="32.15" customHeight="1" x14ac:dyDescent="0.35">
      <c r="A387" s="26">
        <f t="shared" si="77"/>
        <v>363</v>
      </c>
      <c r="B387" s="32" t="s">
        <v>1128</v>
      </c>
      <c r="C387" s="26"/>
      <c r="D387" s="50" t="s">
        <v>1156</v>
      </c>
      <c r="E387" s="45" t="s">
        <v>536</v>
      </c>
      <c r="F387" s="24" t="s">
        <v>43</v>
      </c>
      <c r="G387" s="44" t="s">
        <v>1157</v>
      </c>
      <c r="H387" s="4" t="s">
        <v>1158</v>
      </c>
      <c r="I387" s="36" t="s">
        <v>86</v>
      </c>
      <c r="J387" s="5" t="s">
        <v>87</v>
      </c>
      <c r="K387" s="3" t="str">
        <f t="shared" ca="1" si="70"/>
        <v xml:space="preserve">4 Tahun 8 bulan </v>
      </c>
      <c r="L387" s="30" t="s">
        <v>88</v>
      </c>
      <c r="M387" s="5">
        <v>44561</v>
      </c>
      <c r="N387" s="3" t="str">
        <f t="shared" ca="1" si="71"/>
        <v xml:space="preserve">4 Tahun 8 bulan </v>
      </c>
      <c r="O387" s="4"/>
      <c r="P387" s="4" t="s">
        <v>35</v>
      </c>
      <c r="Q387" s="4" t="str">
        <f t="shared" si="72"/>
        <v>Perempuan</v>
      </c>
      <c r="R387" s="4">
        <f t="shared" si="78"/>
        <v>1</v>
      </c>
      <c r="S387" s="4" t="str">
        <f t="shared" si="81"/>
        <v>1</v>
      </c>
      <c r="T387" s="4">
        <f t="shared" si="79"/>
        <v>0</v>
      </c>
      <c r="U387" s="29"/>
      <c r="V387" s="30" t="s">
        <v>50</v>
      </c>
      <c r="W387" s="30"/>
      <c r="X387" s="30"/>
      <c r="Y387" s="30"/>
      <c r="Z387" s="30"/>
      <c r="AA387" s="30"/>
      <c r="AB387" s="29"/>
      <c r="AC387" s="29"/>
      <c r="AD387" s="37">
        <f t="shared" si="74"/>
        <v>29552</v>
      </c>
      <c r="AE387" s="3" t="str">
        <f t="shared" ca="1" si="73"/>
        <v>45 Tahun 9 bulan 5 Hari</v>
      </c>
      <c r="AF387" s="38">
        <f t="shared" si="75"/>
        <v>51471</v>
      </c>
    </row>
    <row r="388" spans="1:32" s="7" customFormat="1" ht="32.15" customHeight="1" x14ac:dyDescent="0.35">
      <c r="A388" s="26">
        <f t="shared" si="77"/>
        <v>364</v>
      </c>
      <c r="B388" s="32" t="s">
        <v>1128</v>
      </c>
      <c r="C388" s="26"/>
      <c r="D388" s="50"/>
      <c r="E388" s="39" t="s">
        <v>171</v>
      </c>
      <c r="F388" s="24" t="s">
        <v>43</v>
      </c>
      <c r="G388" s="25"/>
      <c r="H388" s="4"/>
      <c r="I388" s="25"/>
      <c r="J388" s="5"/>
      <c r="K388" s="3" t="str">
        <f t="shared" ca="1" si="70"/>
        <v/>
      </c>
      <c r="L388" s="30" t="s">
        <v>32</v>
      </c>
      <c r="M388" s="5"/>
      <c r="N388" s="3" t="str">
        <f t="shared" ca="1" si="71"/>
        <v/>
      </c>
      <c r="O388" s="35"/>
      <c r="P388" s="4" t="s">
        <v>35</v>
      </c>
      <c r="Q388" s="4" t="str">
        <f t="shared" si="72"/>
        <v/>
      </c>
      <c r="R388" s="4">
        <f t="shared" si="78"/>
        <v>1</v>
      </c>
      <c r="S388" s="4" t="str">
        <f t="shared" si="81"/>
        <v>1</v>
      </c>
      <c r="T388" s="4">
        <f t="shared" si="79"/>
        <v>0</v>
      </c>
      <c r="U388" s="29"/>
      <c r="V388" s="30" t="s">
        <v>50</v>
      </c>
      <c r="W388" s="30"/>
      <c r="X388" s="30"/>
      <c r="Y388" s="30"/>
      <c r="Z388" s="30"/>
      <c r="AA388" s="30"/>
      <c r="AB388" s="29"/>
      <c r="AC388" s="29"/>
      <c r="AD388" s="37" t="str">
        <f t="shared" si="74"/>
        <v/>
      </c>
      <c r="AE388" s="3" t="str">
        <f t="shared" ca="1" si="73"/>
        <v/>
      </c>
      <c r="AF388" s="38" t="str">
        <f t="shared" si="75"/>
        <v/>
      </c>
    </row>
    <row r="389" spans="1:32" s="7" customFormat="1" ht="32.15" customHeight="1" x14ac:dyDescent="0.35">
      <c r="A389" s="26"/>
      <c r="B389" s="27" t="s">
        <v>1159</v>
      </c>
      <c r="C389" s="280" t="s">
        <v>1160</v>
      </c>
      <c r="D389" s="281"/>
      <c r="E389" s="271" t="str">
        <f ca="1">IF(J389="","",CONCATENATE(DATEDIF(J389,NOW(),"Y")," Tahun ",DATEDIF(J389,NOW(),"YM")," bulan "))</f>
        <v/>
      </c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3"/>
      <c r="W389" s="30"/>
      <c r="X389" s="30"/>
      <c r="Y389" s="30"/>
      <c r="Z389" s="29"/>
      <c r="AA389" s="29"/>
      <c r="AB389" s="29"/>
      <c r="AC389" s="29"/>
      <c r="AD389" s="37" t="str">
        <f t="shared" si="74"/>
        <v/>
      </c>
      <c r="AE389" s="3" t="str">
        <f t="shared" ca="1" si="73"/>
        <v/>
      </c>
      <c r="AF389" s="38" t="str">
        <f t="shared" si="75"/>
        <v/>
      </c>
    </row>
    <row r="390" spans="1:32" s="7" customFormat="1" ht="32.15" customHeight="1" x14ac:dyDescent="0.35">
      <c r="A390" s="26">
        <f>A388+1</f>
        <v>365</v>
      </c>
      <c r="B390" s="27" t="s">
        <v>1159</v>
      </c>
      <c r="C390" s="278" t="s">
        <v>1161</v>
      </c>
      <c r="D390" s="279"/>
      <c r="E390" s="24" t="s">
        <v>1162</v>
      </c>
      <c r="F390" s="24" t="s">
        <v>43</v>
      </c>
      <c r="G390" s="3" t="s">
        <v>1163</v>
      </c>
      <c r="H390" s="4" t="s">
        <v>1164</v>
      </c>
      <c r="I390" s="33" t="s">
        <v>1020</v>
      </c>
      <c r="J390" s="5" t="s">
        <v>62</v>
      </c>
      <c r="K390" s="3" t="str">
        <f t="shared" ca="1" si="70"/>
        <v xml:space="preserve">3 Tahun 2 bulan </v>
      </c>
      <c r="L390" s="30" t="s">
        <v>56</v>
      </c>
      <c r="M390" s="5" t="s">
        <v>62</v>
      </c>
      <c r="N390" s="3" t="str">
        <f t="shared" ca="1" si="71"/>
        <v xml:space="preserve">3 Tahun 2 bulan </v>
      </c>
      <c r="O390" s="4" t="s">
        <v>49</v>
      </c>
      <c r="P390" s="4" t="s">
        <v>35</v>
      </c>
      <c r="Q390" s="4" t="str">
        <f t="shared" si="72"/>
        <v>Laki-Laki</v>
      </c>
      <c r="R390" s="4">
        <f>R388</f>
        <v>1</v>
      </c>
      <c r="S390" s="4" t="str">
        <f t="shared" ref="S390:S405" si="82">IF(E390="LOWONG","0","1")</f>
        <v>1</v>
      </c>
      <c r="T390" s="4">
        <f t="shared" si="79"/>
        <v>0</v>
      </c>
      <c r="U390" s="29"/>
      <c r="V390" s="30" t="s">
        <v>50</v>
      </c>
      <c r="W390" s="30"/>
      <c r="X390" s="30"/>
      <c r="Y390" s="30"/>
      <c r="Z390" s="30"/>
      <c r="AA390" s="30"/>
      <c r="AB390" s="29"/>
      <c r="AC390" s="29"/>
      <c r="AD390" s="37">
        <f t="shared" si="74"/>
        <v>26454</v>
      </c>
      <c r="AE390" s="3" t="str">
        <f t="shared" ca="1" si="73"/>
        <v>54 Tahun 2 bulan 28 Hari</v>
      </c>
      <c r="AF390" s="38">
        <f t="shared" si="75"/>
        <v>48396</v>
      </c>
    </row>
    <row r="391" spans="1:32" s="7" customFormat="1" ht="32.15" customHeight="1" x14ac:dyDescent="0.35">
      <c r="A391" s="26">
        <f t="shared" si="77"/>
        <v>366</v>
      </c>
      <c r="B391" s="27" t="s">
        <v>1159</v>
      </c>
      <c r="C391" s="256" t="s">
        <v>1165</v>
      </c>
      <c r="D391" s="257"/>
      <c r="E391" s="24" t="s">
        <v>1190</v>
      </c>
      <c r="F391" s="24" t="s">
        <v>43</v>
      </c>
      <c r="G391" s="3" t="s">
        <v>1191</v>
      </c>
      <c r="H391" s="4" t="s">
        <v>329</v>
      </c>
      <c r="I391" s="41" t="s">
        <v>1192</v>
      </c>
      <c r="J391" s="5">
        <v>46260</v>
      </c>
      <c r="K391" s="3" t="str">
        <f t="shared" ref="K391:K454" ca="1" si="83">IF(J391="","",CONCATENATE(DATEDIF(J391,NOW(),"Y")," Tahun ",DATEDIF(J391,NOW(),"YM")," bulan "))</f>
        <v xml:space="preserve">0 Tahun 0 bulan </v>
      </c>
      <c r="L391" s="30" t="s">
        <v>79</v>
      </c>
      <c r="M391" s="5" t="s">
        <v>1193</v>
      </c>
      <c r="N391" s="3" t="str">
        <f t="shared" ref="N391:N454" ca="1" si="84">IF(M391="","",CONCATENATE(DATEDIF(M391,NOW(),"Y")," Tahun ",DATEDIF(M391,NOW(),"YM")," bulan "))</f>
        <v xml:space="preserve">2 Tahun 11 bulan </v>
      </c>
      <c r="O391" s="36"/>
      <c r="P391" s="4" t="s">
        <v>35</v>
      </c>
      <c r="Q391" s="4" t="str">
        <f t="shared" ref="Q391:Q454" si="85">CONCATENATE(IF(MID(G391,17,1)="1","Laki-Laki",IF(MID(G391,17,1)="2","Perempuan",)))</f>
        <v>Perempuan</v>
      </c>
      <c r="R391" s="4">
        <f t="shared" si="78"/>
        <v>1</v>
      </c>
      <c r="S391" s="4" t="str">
        <f t="shared" si="82"/>
        <v>1</v>
      </c>
      <c r="T391" s="4">
        <f t="shared" si="79"/>
        <v>0</v>
      </c>
      <c r="U391" s="29"/>
      <c r="V391" s="30" t="s">
        <v>50</v>
      </c>
      <c r="W391" s="30"/>
      <c r="X391" s="30"/>
      <c r="Y391" s="30"/>
      <c r="Z391" s="30"/>
      <c r="AA391" s="30"/>
      <c r="AB391" s="29"/>
      <c r="AC391" s="29"/>
      <c r="AD391" s="37">
        <f t="shared" si="74"/>
        <v>30174</v>
      </c>
      <c r="AE391" s="3" t="str">
        <f t="shared" ref="AE391:AE454" ca="1" si="86">IF(TRIM(AD391)="", "", CONCATENATE(DATEDIF(AD391,NOW(),"Y")," Tahun ",DATEDIF(AD391,NOW(),"YM")," bulan ",DATEDIF(AD391,NOW(),"MD")," Hari"))</f>
        <v>44 Tahun 0 bulan 21 Hari</v>
      </c>
      <c r="AF391" s="38">
        <f t="shared" si="75"/>
        <v>52110</v>
      </c>
    </row>
    <row r="392" spans="1:32" s="7" customFormat="1" ht="32.15" customHeight="1" x14ac:dyDescent="0.35">
      <c r="A392" s="26">
        <f t="shared" si="77"/>
        <v>367</v>
      </c>
      <c r="B392" s="27" t="s">
        <v>1159</v>
      </c>
      <c r="C392" s="26"/>
      <c r="D392" s="50" t="s">
        <v>1166</v>
      </c>
      <c r="E392" s="24" t="s">
        <v>1167</v>
      </c>
      <c r="F392" s="24" t="s">
        <v>43</v>
      </c>
      <c r="G392" s="52" t="s">
        <v>1168</v>
      </c>
      <c r="H392" s="4" t="s">
        <v>887</v>
      </c>
      <c r="I392" s="33" t="s">
        <v>46</v>
      </c>
      <c r="J392" s="5" t="s">
        <v>386</v>
      </c>
      <c r="K392" s="3" t="str">
        <f t="shared" ca="1" si="83"/>
        <v xml:space="preserve">5 Tahun 5 bulan </v>
      </c>
      <c r="L392" s="30" t="s">
        <v>200</v>
      </c>
      <c r="M392" s="5" t="s">
        <v>386</v>
      </c>
      <c r="N392" s="3" t="str">
        <f t="shared" ca="1" si="84"/>
        <v xml:space="preserve">5 Tahun 5 bulan </v>
      </c>
      <c r="O392" s="4"/>
      <c r="P392" s="4" t="s">
        <v>35</v>
      </c>
      <c r="Q392" s="4" t="str">
        <f t="shared" si="85"/>
        <v>Perempuan</v>
      </c>
      <c r="R392" s="4">
        <f t="shared" si="78"/>
        <v>1</v>
      </c>
      <c r="S392" s="4" t="str">
        <f t="shared" si="82"/>
        <v>1</v>
      </c>
      <c r="T392" s="4">
        <f t="shared" si="79"/>
        <v>0</v>
      </c>
      <c r="U392" s="29"/>
      <c r="V392" s="30"/>
      <c r="W392" s="30"/>
      <c r="X392" s="30"/>
      <c r="Y392" s="30"/>
      <c r="Z392" s="30"/>
      <c r="AA392" s="30"/>
      <c r="AB392" s="29"/>
      <c r="AC392" s="29"/>
      <c r="AD392" s="37">
        <f t="shared" ref="AD392:AD455" si="87">IF(TRIM(G392)="", "", DATE(LEFT(G392,4),MID(G392,5,2),MID(G392,7,2)))</f>
        <v>30113</v>
      </c>
      <c r="AE392" s="3" t="str">
        <f t="shared" ca="1" si="86"/>
        <v>44 Tahun 2 bulan 21 Hari</v>
      </c>
      <c r="AF392" s="38">
        <f t="shared" ref="AF392:AF455" si="88">IF(TRIM(AD392)="","",DATE(YEAR(AD392)+60,MONTH(AD392)+1,1))</f>
        <v>52048</v>
      </c>
    </row>
    <row r="393" spans="1:32" s="7" customFormat="1" ht="32.15" customHeight="1" x14ac:dyDescent="0.35">
      <c r="A393" s="26">
        <f t="shared" si="77"/>
        <v>368</v>
      </c>
      <c r="B393" s="27" t="s">
        <v>1159</v>
      </c>
      <c r="C393" s="26"/>
      <c r="D393" s="50" t="s">
        <v>1169</v>
      </c>
      <c r="E393" s="24" t="s">
        <v>1170</v>
      </c>
      <c r="F393" s="24" t="s">
        <v>43</v>
      </c>
      <c r="G393" s="3" t="s">
        <v>1171</v>
      </c>
      <c r="H393" s="4" t="s">
        <v>213</v>
      </c>
      <c r="I393" s="33" t="s">
        <v>86</v>
      </c>
      <c r="J393" s="5">
        <v>44561</v>
      </c>
      <c r="K393" s="3" t="str">
        <f t="shared" ca="1" si="83"/>
        <v xml:space="preserve">4 Tahun 8 bulan </v>
      </c>
      <c r="L393" s="30" t="s">
        <v>88</v>
      </c>
      <c r="M393" s="5">
        <v>44561</v>
      </c>
      <c r="N393" s="3" t="str">
        <f t="shared" ca="1" si="84"/>
        <v xml:space="preserve">4 Tahun 8 bulan </v>
      </c>
      <c r="O393" s="4"/>
      <c r="P393" s="4" t="s">
        <v>139</v>
      </c>
      <c r="Q393" s="4" t="str">
        <f t="shared" si="85"/>
        <v>Laki-Laki</v>
      </c>
      <c r="R393" s="4">
        <f t="shared" si="78"/>
        <v>1</v>
      </c>
      <c r="S393" s="4" t="str">
        <f t="shared" si="82"/>
        <v>1</v>
      </c>
      <c r="T393" s="4">
        <f t="shared" si="79"/>
        <v>0</v>
      </c>
      <c r="U393" s="29"/>
      <c r="V393" s="30" t="s">
        <v>50</v>
      </c>
      <c r="W393" s="30"/>
      <c r="X393" s="30"/>
      <c r="Y393" s="30"/>
      <c r="Z393" s="30"/>
      <c r="AA393" s="30"/>
      <c r="AB393" s="29"/>
      <c r="AC393" s="29"/>
      <c r="AD393" s="37">
        <f t="shared" si="87"/>
        <v>28704</v>
      </c>
      <c r="AE393" s="3" t="str">
        <f t="shared" ca="1" si="86"/>
        <v>48 Tahun 0 bulan 30 Hari</v>
      </c>
      <c r="AF393" s="38">
        <f t="shared" si="88"/>
        <v>50649</v>
      </c>
    </row>
    <row r="394" spans="1:32" s="7" customFormat="1" ht="32.15" customHeight="1" x14ac:dyDescent="0.35">
      <c r="A394" s="26">
        <f t="shared" si="77"/>
        <v>369</v>
      </c>
      <c r="B394" s="27" t="s">
        <v>1159</v>
      </c>
      <c r="C394" s="256" t="s">
        <v>1172</v>
      </c>
      <c r="D394" s="257"/>
      <c r="E394" s="24" t="s">
        <v>1173</v>
      </c>
      <c r="F394" s="24" t="s">
        <v>43</v>
      </c>
      <c r="G394" s="3" t="s">
        <v>2838</v>
      </c>
      <c r="H394" s="4" t="s">
        <v>66</v>
      </c>
      <c r="I394" s="4" t="s">
        <v>2826</v>
      </c>
      <c r="J394" s="5">
        <v>45993</v>
      </c>
      <c r="K394" s="3" t="str">
        <f t="shared" ca="1" si="83"/>
        <v xml:space="preserve">0 Tahun 8 bulan </v>
      </c>
      <c r="L394" s="30" t="s">
        <v>346</v>
      </c>
      <c r="M394" s="5"/>
      <c r="N394" s="3" t="str">
        <f t="shared" ca="1" si="84"/>
        <v/>
      </c>
      <c r="O394" s="36"/>
      <c r="P394" s="4" t="s">
        <v>35</v>
      </c>
      <c r="Q394" s="4" t="s">
        <v>591</v>
      </c>
      <c r="R394" s="4">
        <f t="shared" si="78"/>
        <v>1</v>
      </c>
      <c r="S394" s="4" t="str">
        <f t="shared" si="82"/>
        <v>1</v>
      </c>
      <c r="T394" s="4">
        <f t="shared" si="79"/>
        <v>0</v>
      </c>
      <c r="U394" s="29"/>
      <c r="V394" s="30" t="s">
        <v>50</v>
      </c>
      <c r="W394" s="30"/>
      <c r="X394" s="30"/>
      <c r="Y394" s="30"/>
      <c r="Z394" s="30"/>
      <c r="AA394" s="30"/>
      <c r="AB394" s="29"/>
      <c r="AC394" s="29"/>
      <c r="AD394" s="37">
        <f t="shared" si="87"/>
        <v>25946</v>
      </c>
      <c r="AE394" s="3" t="str">
        <f t="shared" ca="1" si="86"/>
        <v>55 Tahun 7 bulan 19 Hari</v>
      </c>
      <c r="AF394" s="38">
        <f t="shared" si="88"/>
        <v>47880</v>
      </c>
    </row>
    <row r="395" spans="1:32" s="7" customFormat="1" ht="32.15" customHeight="1" x14ac:dyDescent="0.35">
      <c r="A395" s="26">
        <f t="shared" si="77"/>
        <v>370</v>
      </c>
      <c r="B395" s="27" t="s">
        <v>1159</v>
      </c>
      <c r="C395" s="26"/>
      <c r="D395" s="50" t="s">
        <v>1174</v>
      </c>
      <c r="E395" s="39" t="s">
        <v>1175</v>
      </c>
      <c r="F395" s="24" t="s">
        <v>43</v>
      </c>
      <c r="G395" s="25" t="s">
        <v>1176</v>
      </c>
      <c r="H395" s="4" t="s">
        <v>410</v>
      </c>
      <c r="I395" s="33" t="s">
        <v>46</v>
      </c>
      <c r="J395" s="5" t="s">
        <v>87</v>
      </c>
      <c r="K395" s="3" t="str">
        <f t="shared" ca="1" si="83"/>
        <v xml:space="preserve">4 Tahun 8 bulan </v>
      </c>
      <c r="L395" s="30" t="s">
        <v>88</v>
      </c>
      <c r="M395" s="5">
        <v>44561</v>
      </c>
      <c r="N395" s="3" t="str">
        <f t="shared" ca="1" si="84"/>
        <v xml:space="preserve">4 Tahun 8 bulan </v>
      </c>
      <c r="O395" s="4"/>
      <c r="P395" s="4" t="s">
        <v>35</v>
      </c>
      <c r="Q395" s="4" t="str">
        <f t="shared" si="85"/>
        <v>Laki-Laki</v>
      </c>
      <c r="R395" s="4">
        <f t="shared" si="78"/>
        <v>1</v>
      </c>
      <c r="S395" s="4" t="str">
        <f t="shared" si="82"/>
        <v>1</v>
      </c>
      <c r="T395" s="4">
        <f t="shared" si="79"/>
        <v>0</v>
      </c>
      <c r="U395" s="29"/>
      <c r="V395" s="30" t="s">
        <v>50</v>
      </c>
      <c r="W395" s="30"/>
      <c r="X395" s="30"/>
      <c r="Y395" s="30"/>
      <c r="Z395" s="30"/>
      <c r="AA395" s="30"/>
      <c r="AB395" s="29"/>
      <c r="AC395" s="29"/>
      <c r="AD395" s="37">
        <f t="shared" si="87"/>
        <v>28102</v>
      </c>
      <c r="AE395" s="3" t="str">
        <f t="shared" ca="1" si="86"/>
        <v>49 Tahun 8 bulan 24 Hari</v>
      </c>
      <c r="AF395" s="38">
        <f t="shared" si="88"/>
        <v>50041</v>
      </c>
    </row>
    <row r="396" spans="1:32" s="7" customFormat="1" ht="32.15" customHeight="1" x14ac:dyDescent="0.35">
      <c r="A396" s="26">
        <f t="shared" si="77"/>
        <v>371</v>
      </c>
      <c r="B396" s="27" t="s">
        <v>1159</v>
      </c>
      <c r="C396" s="26"/>
      <c r="D396" s="50" t="s">
        <v>1174</v>
      </c>
      <c r="E396" s="24" t="s">
        <v>108</v>
      </c>
      <c r="F396" s="24"/>
      <c r="G396" s="3"/>
      <c r="H396" s="4"/>
      <c r="I396" s="33"/>
      <c r="J396" s="84"/>
      <c r="K396" s="3" t="str">
        <f t="shared" ca="1" si="83"/>
        <v/>
      </c>
      <c r="L396" s="30" t="s">
        <v>88</v>
      </c>
      <c r="M396" s="49"/>
      <c r="N396" s="3" t="str">
        <f t="shared" ca="1" si="84"/>
        <v/>
      </c>
      <c r="O396" s="4"/>
      <c r="P396" s="4"/>
      <c r="Q396" s="4" t="str">
        <f t="shared" si="85"/>
        <v/>
      </c>
      <c r="R396" s="4">
        <f t="shared" si="78"/>
        <v>1</v>
      </c>
      <c r="S396" s="4" t="str">
        <f t="shared" si="82"/>
        <v>0</v>
      </c>
      <c r="T396" s="4">
        <f t="shared" si="79"/>
        <v>1</v>
      </c>
      <c r="U396" s="29"/>
      <c r="V396" s="30" t="s">
        <v>50</v>
      </c>
      <c r="W396" s="30"/>
      <c r="X396" s="30"/>
      <c r="Y396" s="30"/>
      <c r="Z396" s="30"/>
      <c r="AA396" s="30"/>
      <c r="AB396" s="29"/>
      <c r="AC396" s="29"/>
      <c r="AD396" s="37" t="str">
        <f t="shared" si="87"/>
        <v/>
      </c>
      <c r="AE396" s="3" t="str">
        <f t="shared" ca="1" si="86"/>
        <v/>
      </c>
      <c r="AF396" s="38" t="str">
        <f t="shared" si="88"/>
        <v/>
      </c>
    </row>
    <row r="397" spans="1:32" s="7" customFormat="1" ht="32.15" customHeight="1" x14ac:dyDescent="0.35">
      <c r="A397" s="26">
        <f t="shared" si="77"/>
        <v>372</v>
      </c>
      <c r="B397" s="27" t="s">
        <v>1159</v>
      </c>
      <c r="C397" s="26"/>
      <c r="D397" s="50" t="s">
        <v>1174</v>
      </c>
      <c r="E397" s="39" t="s">
        <v>108</v>
      </c>
      <c r="F397" s="39"/>
      <c r="G397" s="25"/>
      <c r="H397" s="4"/>
      <c r="I397" s="25"/>
      <c r="J397" s="5"/>
      <c r="K397" s="3" t="str">
        <f t="shared" ca="1" si="83"/>
        <v/>
      </c>
      <c r="L397" s="30" t="s">
        <v>88</v>
      </c>
      <c r="M397" s="5"/>
      <c r="N397" s="3" t="str">
        <f t="shared" ca="1" si="84"/>
        <v/>
      </c>
      <c r="O397" s="35"/>
      <c r="P397" s="4"/>
      <c r="Q397" s="4" t="str">
        <f t="shared" si="85"/>
        <v/>
      </c>
      <c r="R397" s="4">
        <f t="shared" si="78"/>
        <v>1</v>
      </c>
      <c r="S397" s="4" t="str">
        <f t="shared" si="82"/>
        <v>0</v>
      </c>
      <c r="T397" s="4">
        <f t="shared" si="79"/>
        <v>1</v>
      </c>
      <c r="U397" s="29"/>
      <c r="V397" s="30" t="s">
        <v>50</v>
      </c>
      <c r="W397" s="30"/>
      <c r="X397" s="30"/>
      <c r="Y397" s="30"/>
      <c r="Z397" s="30"/>
      <c r="AA397" s="30"/>
      <c r="AB397" s="29"/>
      <c r="AC397" s="29"/>
      <c r="AD397" s="37" t="str">
        <f t="shared" si="87"/>
        <v/>
      </c>
      <c r="AE397" s="3" t="str">
        <f t="shared" ca="1" si="86"/>
        <v/>
      </c>
      <c r="AF397" s="38" t="str">
        <f t="shared" si="88"/>
        <v/>
      </c>
    </row>
    <row r="398" spans="1:32" s="7" customFormat="1" ht="32.15" customHeight="1" x14ac:dyDescent="0.35">
      <c r="A398" s="26">
        <f t="shared" si="77"/>
        <v>373</v>
      </c>
      <c r="B398" s="27" t="s">
        <v>1159</v>
      </c>
      <c r="C398" s="256" t="s">
        <v>1180</v>
      </c>
      <c r="D398" s="257"/>
      <c r="E398" s="45" t="s">
        <v>1181</v>
      </c>
      <c r="F398" s="24" t="s">
        <v>43</v>
      </c>
      <c r="G398" s="44" t="s">
        <v>1182</v>
      </c>
      <c r="H398" s="56" t="s">
        <v>188</v>
      </c>
      <c r="I398" s="36" t="s">
        <v>86</v>
      </c>
      <c r="J398" s="47" t="s">
        <v>338</v>
      </c>
      <c r="K398" s="3" t="str">
        <f t="shared" ca="1" si="83"/>
        <v xml:space="preserve">2 Tahun 11 bulan </v>
      </c>
      <c r="L398" s="30" t="s">
        <v>346</v>
      </c>
      <c r="M398" s="47" t="s">
        <v>338</v>
      </c>
      <c r="N398" s="3" t="str">
        <f t="shared" ca="1" si="84"/>
        <v xml:space="preserve">2 Tahun 11 bulan </v>
      </c>
      <c r="O398" s="36"/>
      <c r="P398" s="4" t="s">
        <v>35</v>
      </c>
      <c r="Q398" s="4" t="str">
        <f t="shared" si="85"/>
        <v>Laki-Laki</v>
      </c>
      <c r="R398" s="4">
        <f t="shared" si="78"/>
        <v>1</v>
      </c>
      <c r="S398" s="4" t="str">
        <f t="shared" si="82"/>
        <v>1</v>
      </c>
      <c r="T398" s="4">
        <f t="shared" si="79"/>
        <v>0</v>
      </c>
      <c r="U398" s="29"/>
      <c r="V398" s="30" t="s">
        <v>50</v>
      </c>
      <c r="W398" s="30"/>
      <c r="X398" s="30"/>
      <c r="Y398" s="30"/>
      <c r="Z398" s="30"/>
      <c r="AA398" s="30"/>
      <c r="AB398" s="29"/>
      <c r="AC398" s="29"/>
      <c r="AD398" s="37">
        <f t="shared" si="87"/>
        <v>28407</v>
      </c>
      <c r="AE398" s="3" t="str">
        <f t="shared" ca="1" si="86"/>
        <v>48 Tahun 10 bulan 23 Hari</v>
      </c>
      <c r="AF398" s="38">
        <f t="shared" si="88"/>
        <v>50345</v>
      </c>
    </row>
    <row r="399" spans="1:32" s="7" customFormat="1" ht="32.15" customHeight="1" x14ac:dyDescent="0.35">
      <c r="A399" s="26">
        <f t="shared" si="77"/>
        <v>374</v>
      </c>
      <c r="B399" s="27" t="s">
        <v>1159</v>
      </c>
      <c r="C399" s="26"/>
      <c r="D399" s="50" t="s">
        <v>1174</v>
      </c>
      <c r="E399" s="24" t="s">
        <v>1183</v>
      </c>
      <c r="F399" s="24" t="s">
        <v>43</v>
      </c>
      <c r="G399" s="4" t="s">
        <v>1184</v>
      </c>
      <c r="H399" s="4" t="s">
        <v>94</v>
      </c>
      <c r="I399" s="33" t="s">
        <v>107</v>
      </c>
      <c r="J399" s="5">
        <v>44561</v>
      </c>
      <c r="K399" s="3" t="str">
        <f t="shared" ca="1" si="83"/>
        <v xml:space="preserve">4 Tahun 8 bulan </v>
      </c>
      <c r="L399" s="30" t="s">
        <v>88</v>
      </c>
      <c r="M399" s="5">
        <v>44561</v>
      </c>
      <c r="N399" s="3" t="str">
        <f t="shared" ca="1" si="84"/>
        <v xml:space="preserve">4 Tahun 8 bulan </v>
      </c>
      <c r="O399" s="4"/>
      <c r="P399" s="4" t="s">
        <v>35</v>
      </c>
      <c r="Q399" s="4" t="str">
        <f t="shared" si="85"/>
        <v>Laki-Laki</v>
      </c>
      <c r="R399" s="4">
        <f t="shared" si="78"/>
        <v>1</v>
      </c>
      <c r="S399" s="4" t="str">
        <f t="shared" si="82"/>
        <v>1</v>
      </c>
      <c r="T399" s="4">
        <f t="shared" si="79"/>
        <v>0</v>
      </c>
      <c r="U399" s="29"/>
      <c r="V399" s="30" t="s">
        <v>50</v>
      </c>
      <c r="W399" s="30"/>
      <c r="X399" s="30"/>
      <c r="Y399" s="30"/>
      <c r="Z399" s="30"/>
      <c r="AA399" s="30"/>
      <c r="AB399" s="29"/>
      <c r="AC399" s="29"/>
      <c r="AD399" s="37">
        <f t="shared" si="87"/>
        <v>24803</v>
      </c>
      <c r="AE399" s="3" t="str">
        <f t="shared" ca="1" si="86"/>
        <v>58 Tahun 9 bulan 5 Hari</v>
      </c>
      <c r="AF399" s="38">
        <f t="shared" si="88"/>
        <v>46722</v>
      </c>
    </row>
    <row r="400" spans="1:32" s="7" customFormat="1" ht="32.15" customHeight="1" x14ac:dyDescent="0.35">
      <c r="A400" s="26">
        <f t="shared" si="77"/>
        <v>375</v>
      </c>
      <c r="B400" s="27" t="s">
        <v>1159</v>
      </c>
      <c r="C400" s="26"/>
      <c r="D400" s="50" t="s">
        <v>1174</v>
      </c>
      <c r="E400" s="93" t="s">
        <v>1185</v>
      </c>
      <c r="F400" s="24" t="s">
        <v>43</v>
      </c>
      <c r="G400" s="94" t="s">
        <v>1186</v>
      </c>
      <c r="H400" s="4" t="s">
        <v>94</v>
      </c>
      <c r="I400" s="25" t="s">
        <v>61</v>
      </c>
      <c r="J400" s="5">
        <v>44561</v>
      </c>
      <c r="K400" s="3" t="str">
        <f t="shared" ca="1" si="83"/>
        <v xml:space="preserve">4 Tahun 8 bulan </v>
      </c>
      <c r="L400" s="30" t="s">
        <v>88</v>
      </c>
      <c r="M400" s="5">
        <v>44561</v>
      </c>
      <c r="N400" s="3" t="str">
        <f t="shared" ca="1" si="84"/>
        <v xml:space="preserve">4 Tahun 8 bulan </v>
      </c>
      <c r="O400" s="56"/>
      <c r="P400" s="4" t="s">
        <v>35</v>
      </c>
      <c r="Q400" s="4" t="str">
        <f t="shared" si="85"/>
        <v>Perempuan</v>
      </c>
      <c r="R400" s="4">
        <f t="shared" si="78"/>
        <v>1</v>
      </c>
      <c r="S400" s="4" t="str">
        <f t="shared" si="82"/>
        <v>1</v>
      </c>
      <c r="T400" s="4">
        <f t="shared" si="79"/>
        <v>0</v>
      </c>
      <c r="U400" s="29"/>
      <c r="V400" s="30"/>
      <c r="W400" s="30"/>
      <c r="X400" s="30"/>
      <c r="Y400" s="30"/>
      <c r="Z400" s="30"/>
      <c r="AA400" s="30"/>
      <c r="AB400" s="29"/>
      <c r="AC400" s="29"/>
      <c r="AD400" s="37">
        <f t="shared" si="87"/>
        <v>29201</v>
      </c>
      <c r="AE400" s="3" t="str">
        <f t="shared" ca="1" si="86"/>
        <v>46 Tahun 8 bulan 20 Hari</v>
      </c>
      <c r="AF400" s="38">
        <f t="shared" si="88"/>
        <v>51136</v>
      </c>
    </row>
    <row r="401" spans="1:32" s="7" customFormat="1" ht="32.15" customHeight="1" x14ac:dyDescent="0.35">
      <c r="A401" s="26">
        <f t="shared" si="77"/>
        <v>376</v>
      </c>
      <c r="B401" s="27" t="s">
        <v>1159</v>
      </c>
      <c r="C401" s="26"/>
      <c r="D401" s="50" t="s">
        <v>1174</v>
      </c>
      <c r="E401" s="24" t="s">
        <v>1187</v>
      </c>
      <c r="F401" s="24" t="s">
        <v>43</v>
      </c>
      <c r="G401" s="3" t="s">
        <v>1188</v>
      </c>
      <c r="H401" s="56" t="s">
        <v>102</v>
      </c>
      <c r="I401" s="33" t="s">
        <v>184</v>
      </c>
      <c r="J401" s="5">
        <v>44561</v>
      </c>
      <c r="K401" s="3" t="str">
        <f t="shared" ca="1" si="83"/>
        <v xml:space="preserve">4 Tahun 8 bulan </v>
      </c>
      <c r="L401" s="30" t="s">
        <v>88</v>
      </c>
      <c r="M401" s="5">
        <v>44561</v>
      </c>
      <c r="N401" s="3" t="str">
        <f t="shared" ca="1" si="84"/>
        <v xml:space="preserve">4 Tahun 8 bulan </v>
      </c>
      <c r="O401" s="4"/>
      <c r="P401" s="4" t="s">
        <v>35</v>
      </c>
      <c r="Q401" s="4" t="str">
        <f t="shared" si="85"/>
        <v>Perempuan</v>
      </c>
      <c r="R401" s="4">
        <f t="shared" si="78"/>
        <v>1</v>
      </c>
      <c r="S401" s="4" t="str">
        <f t="shared" si="82"/>
        <v>1</v>
      </c>
      <c r="T401" s="4">
        <f t="shared" si="79"/>
        <v>0</v>
      </c>
      <c r="U401" s="29"/>
      <c r="V401" s="30"/>
      <c r="W401" s="30"/>
      <c r="X401" s="30"/>
      <c r="Y401" s="30"/>
      <c r="Z401" s="30"/>
      <c r="AA401" s="30"/>
      <c r="AB401" s="29"/>
      <c r="AC401" s="29"/>
      <c r="AD401" s="37">
        <f t="shared" si="87"/>
        <v>30104</v>
      </c>
      <c r="AE401" s="3" t="str">
        <f t="shared" ca="1" si="86"/>
        <v>44 Tahun 2 bulan 30 Hari</v>
      </c>
      <c r="AF401" s="38">
        <f t="shared" si="88"/>
        <v>52048</v>
      </c>
    </row>
    <row r="402" spans="1:32" s="7" customFormat="1" ht="36" customHeight="1" x14ac:dyDescent="0.35">
      <c r="A402" s="26">
        <f t="shared" ref="A402:A465" si="89">A401+1</f>
        <v>377</v>
      </c>
      <c r="B402" s="27" t="s">
        <v>1159</v>
      </c>
      <c r="C402" s="256" t="s">
        <v>1189</v>
      </c>
      <c r="D402" s="257"/>
      <c r="E402" s="24" t="s">
        <v>1419</v>
      </c>
      <c r="F402" s="24" t="s">
        <v>43</v>
      </c>
      <c r="G402" s="3" t="s">
        <v>1420</v>
      </c>
      <c r="H402" s="4" t="s">
        <v>112</v>
      </c>
      <c r="I402" s="33" t="s">
        <v>1421</v>
      </c>
      <c r="J402" s="5">
        <v>46260</v>
      </c>
      <c r="K402" s="3" t="str">
        <f t="shared" ca="1" si="83"/>
        <v xml:space="preserve">0 Tahun 0 bulan </v>
      </c>
      <c r="L402" s="30" t="s">
        <v>346</v>
      </c>
      <c r="M402" s="5">
        <v>45916</v>
      </c>
      <c r="N402" s="3" t="str">
        <f t="shared" ca="1" si="84"/>
        <v xml:space="preserve">0 Tahun 11 bulan </v>
      </c>
      <c r="O402" s="36"/>
      <c r="P402" s="4" t="s">
        <v>35</v>
      </c>
      <c r="Q402" s="4" t="str">
        <f t="shared" si="85"/>
        <v>Laki-Laki</v>
      </c>
      <c r="R402" s="4">
        <f t="shared" si="78"/>
        <v>1</v>
      </c>
      <c r="S402" s="4" t="str">
        <f t="shared" si="82"/>
        <v>1</v>
      </c>
      <c r="T402" s="4">
        <f t="shared" si="79"/>
        <v>0</v>
      </c>
      <c r="U402" s="29"/>
      <c r="V402" s="30"/>
      <c r="W402" s="30"/>
      <c r="X402" s="30"/>
      <c r="Y402" s="30"/>
      <c r="Z402" s="30"/>
      <c r="AA402" s="30"/>
      <c r="AB402" s="29"/>
      <c r="AC402" s="29"/>
      <c r="AD402" s="37">
        <f t="shared" si="87"/>
        <v>29832</v>
      </c>
      <c r="AE402" s="3" t="str">
        <f t="shared" ca="1" si="86"/>
        <v>44 Tahun 11 bulan 29 Hari</v>
      </c>
      <c r="AF402" s="38">
        <f t="shared" si="88"/>
        <v>51775</v>
      </c>
    </row>
    <row r="403" spans="1:32" s="7" customFormat="1" ht="32.15" customHeight="1" x14ac:dyDescent="0.35">
      <c r="A403" s="26">
        <f t="shared" si="89"/>
        <v>378</v>
      </c>
      <c r="B403" s="27" t="s">
        <v>1159</v>
      </c>
      <c r="C403" s="26"/>
      <c r="D403" s="50" t="s">
        <v>1174</v>
      </c>
      <c r="E403" s="39" t="s">
        <v>1194</v>
      </c>
      <c r="F403" s="24" t="s">
        <v>43</v>
      </c>
      <c r="G403" s="25" t="s">
        <v>1195</v>
      </c>
      <c r="H403" s="4" t="s">
        <v>94</v>
      </c>
      <c r="I403" s="25" t="s">
        <v>61</v>
      </c>
      <c r="J403" s="5">
        <v>44561</v>
      </c>
      <c r="K403" s="3" t="str">
        <f t="shared" ca="1" si="83"/>
        <v xml:space="preserve">4 Tahun 8 bulan </v>
      </c>
      <c r="L403" s="30" t="s">
        <v>88</v>
      </c>
      <c r="M403" s="5">
        <v>44561</v>
      </c>
      <c r="N403" s="3" t="str">
        <f t="shared" ca="1" si="84"/>
        <v xml:space="preserve">4 Tahun 8 bulan </v>
      </c>
      <c r="O403" s="35"/>
      <c r="P403" s="4" t="s">
        <v>35</v>
      </c>
      <c r="Q403" s="4" t="str">
        <f t="shared" si="85"/>
        <v/>
      </c>
      <c r="R403" s="4">
        <f t="shared" si="78"/>
        <v>1</v>
      </c>
      <c r="S403" s="4" t="str">
        <f t="shared" si="82"/>
        <v>1</v>
      </c>
      <c r="T403" s="4">
        <f t="shared" si="79"/>
        <v>0</v>
      </c>
      <c r="U403" s="29"/>
      <c r="V403" s="30"/>
      <c r="W403" s="30"/>
      <c r="X403" s="30"/>
      <c r="Y403" s="30"/>
      <c r="Z403" s="30"/>
      <c r="AA403" s="30"/>
      <c r="AB403" s="29"/>
      <c r="AC403" s="29"/>
      <c r="AD403" s="37">
        <f t="shared" si="87"/>
        <v>30343</v>
      </c>
      <c r="AE403" s="3" t="str">
        <f t="shared" ca="1" si="86"/>
        <v>43 Tahun 7 bulan 5 Hari</v>
      </c>
      <c r="AF403" s="38">
        <f t="shared" si="88"/>
        <v>52263</v>
      </c>
    </row>
    <row r="404" spans="1:32" s="7" customFormat="1" ht="32.15" customHeight="1" x14ac:dyDescent="0.35">
      <c r="A404" s="26">
        <f t="shared" si="89"/>
        <v>379</v>
      </c>
      <c r="B404" s="27" t="s">
        <v>1159</v>
      </c>
      <c r="C404" s="26"/>
      <c r="D404" s="50" t="s">
        <v>1174</v>
      </c>
      <c r="E404" s="51" t="s">
        <v>1196</v>
      </c>
      <c r="F404" s="24" t="s">
        <v>43</v>
      </c>
      <c r="G404" s="52" t="s">
        <v>1197</v>
      </c>
      <c r="H404" s="4" t="s">
        <v>662</v>
      </c>
      <c r="I404" s="33" t="s">
        <v>107</v>
      </c>
      <c r="J404" s="5">
        <v>44561</v>
      </c>
      <c r="K404" s="3" t="str">
        <f t="shared" ca="1" si="83"/>
        <v xml:space="preserve">4 Tahun 8 bulan </v>
      </c>
      <c r="L404" s="30" t="s">
        <v>88</v>
      </c>
      <c r="M404" s="5">
        <v>44561</v>
      </c>
      <c r="N404" s="3" t="str">
        <f t="shared" ca="1" si="84"/>
        <v xml:space="preserve">4 Tahun 8 bulan </v>
      </c>
      <c r="O404" s="4"/>
      <c r="P404" s="4" t="s">
        <v>35</v>
      </c>
      <c r="Q404" s="4" t="str">
        <f t="shared" si="85"/>
        <v>Laki-Laki</v>
      </c>
      <c r="R404" s="4">
        <f t="shared" si="78"/>
        <v>1</v>
      </c>
      <c r="S404" s="4" t="str">
        <f t="shared" si="82"/>
        <v>1</v>
      </c>
      <c r="T404" s="4">
        <f t="shared" si="79"/>
        <v>0</v>
      </c>
      <c r="U404" s="29"/>
      <c r="V404" s="30" t="s">
        <v>50</v>
      </c>
      <c r="W404" s="30"/>
      <c r="X404" s="30"/>
      <c r="Y404" s="30"/>
      <c r="Z404" s="30"/>
      <c r="AA404" s="30"/>
      <c r="AB404" s="29"/>
      <c r="AC404" s="29"/>
      <c r="AD404" s="37">
        <f t="shared" si="87"/>
        <v>27035</v>
      </c>
      <c r="AE404" s="3" t="str">
        <f t="shared" ca="1" si="86"/>
        <v>52 Tahun 7 bulan 26 Hari</v>
      </c>
      <c r="AF404" s="38">
        <f t="shared" si="88"/>
        <v>48976</v>
      </c>
    </row>
    <row r="405" spans="1:32" s="7" customFormat="1" ht="32.15" customHeight="1" x14ac:dyDescent="0.35">
      <c r="A405" s="26">
        <f t="shared" si="89"/>
        <v>380</v>
      </c>
      <c r="B405" s="27" t="s">
        <v>1159</v>
      </c>
      <c r="C405" s="26"/>
      <c r="D405" s="50" t="s">
        <v>1174</v>
      </c>
      <c r="E405" s="24" t="s">
        <v>108</v>
      </c>
      <c r="F405" s="24"/>
      <c r="G405" s="4"/>
      <c r="H405" s="4"/>
      <c r="I405" s="33"/>
      <c r="J405" s="49"/>
      <c r="K405" s="3" t="str">
        <f t="shared" ca="1" si="83"/>
        <v/>
      </c>
      <c r="L405" s="30" t="s">
        <v>88</v>
      </c>
      <c r="M405" s="49"/>
      <c r="N405" s="3" t="str">
        <f t="shared" ca="1" si="84"/>
        <v/>
      </c>
      <c r="O405" s="4"/>
      <c r="P405" s="4"/>
      <c r="Q405" s="4" t="str">
        <f t="shared" si="85"/>
        <v/>
      </c>
      <c r="R405" s="4">
        <f t="shared" si="78"/>
        <v>1</v>
      </c>
      <c r="S405" s="4" t="str">
        <f t="shared" si="82"/>
        <v>0</v>
      </c>
      <c r="T405" s="4">
        <f t="shared" si="79"/>
        <v>1</v>
      </c>
      <c r="U405" s="29"/>
      <c r="V405" s="30"/>
      <c r="W405" s="30"/>
      <c r="X405" s="30"/>
      <c r="Y405" s="30"/>
      <c r="Z405" s="30"/>
      <c r="AA405" s="30"/>
      <c r="AB405" s="29"/>
      <c r="AC405" s="29"/>
      <c r="AD405" s="37" t="str">
        <f t="shared" si="87"/>
        <v/>
      </c>
      <c r="AE405" s="3" t="str">
        <f t="shared" ca="1" si="86"/>
        <v/>
      </c>
      <c r="AF405" s="38" t="str">
        <f t="shared" si="88"/>
        <v/>
      </c>
    </row>
    <row r="406" spans="1:32" s="7" customFormat="1" ht="32.15" customHeight="1" x14ac:dyDescent="0.35">
      <c r="A406" s="26"/>
      <c r="B406" s="27" t="s">
        <v>1198</v>
      </c>
      <c r="C406" s="269" t="s">
        <v>1199</v>
      </c>
      <c r="D406" s="270"/>
      <c r="E406" s="24"/>
      <c r="F406" s="24"/>
      <c r="G406" s="4"/>
      <c r="H406" s="4"/>
      <c r="I406" s="33"/>
      <c r="J406" s="5"/>
      <c r="K406" s="3" t="str">
        <f t="shared" ca="1" si="83"/>
        <v/>
      </c>
      <c r="L406" s="30"/>
      <c r="M406" s="5"/>
      <c r="N406" s="3" t="str">
        <f t="shared" ca="1" si="84"/>
        <v/>
      </c>
      <c r="O406" s="4"/>
      <c r="P406" s="4"/>
      <c r="Q406" s="4"/>
      <c r="R406" s="4"/>
      <c r="S406" s="4"/>
      <c r="T406" s="4"/>
      <c r="U406" s="29"/>
      <c r="V406" s="30"/>
      <c r="W406" s="30"/>
      <c r="X406" s="30"/>
      <c r="Y406" s="30"/>
      <c r="Z406" s="29"/>
      <c r="AA406" s="29"/>
      <c r="AB406" s="29"/>
      <c r="AC406" s="29"/>
      <c r="AD406" s="37" t="str">
        <f t="shared" si="87"/>
        <v/>
      </c>
      <c r="AE406" s="3" t="str">
        <f t="shared" ca="1" si="86"/>
        <v/>
      </c>
      <c r="AF406" s="38" t="str">
        <f t="shared" si="88"/>
        <v/>
      </c>
    </row>
    <row r="407" spans="1:32" s="7" customFormat="1" ht="37.5" customHeight="1" x14ac:dyDescent="0.35">
      <c r="A407" s="26">
        <f>A405+1</f>
        <v>381</v>
      </c>
      <c r="B407" s="27" t="s">
        <v>1198</v>
      </c>
      <c r="C407" s="278" t="s">
        <v>1200</v>
      </c>
      <c r="D407" s="279"/>
      <c r="E407" s="24" t="s">
        <v>1201</v>
      </c>
      <c r="F407" s="24" t="s">
        <v>43</v>
      </c>
      <c r="G407" s="3" t="s">
        <v>1202</v>
      </c>
      <c r="H407" s="4" t="s">
        <v>2880</v>
      </c>
      <c r="I407" s="33" t="s">
        <v>1108</v>
      </c>
      <c r="J407" s="5">
        <v>45974</v>
      </c>
      <c r="K407" s="3" t="str">
        <f t="shared" ca="1" si="83"/>
        <v xml:space="preserve">0 Tahun 9 bulan </v>
      </c>
      <c r="L407" s="30" t="s">
        <v>56</v>
      </c>
      <c r="M407" s="5" t="s">
        <v>69</v>
      </c>
      <c r="N407" s="3" t="str">
        <f t="shared" ca="1" si="84"/>
        <v xml:space="preserve">5 Tahun 7 bulan </v>
      </c>
      <c r="O407" s="36" t="s">
        <v>81</v>
      </c>
      <c r="P407" s="4" t="s">
        <v>35</v>
      </c>
      <c r="Q407" s="4" t="str">
        <f t="shared" si="85"/>
        <v>Laki-Laki</v>
      </c>
      <c r="R407" s="4">
        <f>R405</f>
        <v>1</v>
      </c>
      <c r="S407" s="4" t="str">
        <f t="shared" ref="S407:S430" si="90">IF(E407="LOWONG","0","1")</f>
        <v>1</v>
      </c>
      <c r="T407" s="4">
        <f t="shared" si="79"/>
        <v>0</v>
      </c>
      <c r="U407" s="29"/>
      <c r="V407" s="30" t="s">
        <v>50</v>
      </c>
      <c r="W407" s="30"/>
      <c r="X407" s="30"/>
      <c r="Y407" s="30"/>
      <c r="Z407" s="30"/>
      <c r="AA407" s="30"/>
      <c r="AB407" s="29"/>
      <c r="AC407" s="29"/>
      <c r="AD407" s="37">
        <f t="shared" si="87"/>
        <v>26894</v>
      </c>
      <c r="AE407" s="3" t="str">
        <f t="shared" ca="1" si="86"/>
        <v>53 Tahun 0 bulan 14 Hari</v>
      </c>
      <c r="AF407" s="38">
        <f t="shared" si="88"/>
        <v>48823</v>
      </c>
    </row>
    <row r="408" spans="1:32" s="7" customFormat="1" ht="32.15" customHeight="1" x14ac:dyDescent="0.35">
      <c r="A408" s="26">
        <f t="shared" si="89"/>
        <v>382</v>
      </c>
      <c r="B408" s="27" t="s">
        <v>1198</v>
      </c>
      <c r="C408" s="256" t="s">
        <v>1203</v>
      </c>
      <c r="D408" s="257"/>
      <c r="E408" s="51" t="s">
        <v>1204</v>
      </c>
      <c r="F408" s="24" t="s">
        <v>43</v>
      </c>
      <c r="G408" s="4" t="s">
        <v>1205</v>
      </c>
      <c r="H408" s="4" t="s">
        <v>385</v>
      </c>
      <c r="I408" s="4" t="s">
        <v>1206</v>
      </c>
      <c r="J408" s="5">
        <v>45916</v>
      </c>
      <c r="K408" s="3" t="str">
        <f t="shared" ca="1" si="83"/>
        <v xml:space="preserve">0 Tahun 11 bulan </v>
      </c>
      <c r="L408" s="30" t="s">
        <v>79</v>
      </c>
      <c r="M408" s="96">
        <v>45916</v>
      </c>
      <c r="N408" s="3" t="str">
        <f t="shared" ca="1" si="84"/>
        <v xml:space="preserve">0 Tahun 11 bulan </v>
      </c>
      <c r="O408" s="4"/>
      <c r="P408" s="4" t="str">
        <f t="shared" ref="P408" si="91">P423</f>
        <v>Islam</v>
      </c>
      <c r="Q408" s="4" t="str">
        <f t="shared" si="85"/>
        <v>Laki-Laki</v>
      </c>
      <c r="R408" s="4">
        <f t="shared" si="78"/>
        <v>1</v>
      </c>
      <c r="S408" s="4" t="str">
        <f t="shared" si="90"/>
        <v>1</v>
      </c>
      <c r="T408" s="4">
        <f t="shared" si="79"/>
        <v>0</v>
      </c>
      <c r="U408" s="29"/>
      <c r="V408" s="30" t="s">
        <v>50</v>
      </c>
      <c r="W408" s="30"/>
      <c r="X408" s="30"/>
      <c r="Y408" s="30"/>
      <c r="Z408" s="30"/>
      <c r="AA408" s="30"/>
      <c r="AB408" s="29"/>
      <c r="AC408" s="29"/>
      <c r="AD408" s="37">
        <f t="shared" si="87"/>
        <v>27192</v>
      </c>
      <c r="AE408" s="3" t="str">
        <f t="shared" ca="1" si="86"/>
        <v>52 Tahun 2 bulan 20 Hari</v>
      </c>
      <c r="AF408" s="38">
        <f t="shared" si="88"/>
        <v>49126</v>
      </c>
    </row>
    <row r="409" spans="1:32" s="7" customFormat="1" ht="32.15" customHeight="1" x14ac:dyDescent="0.35">
      <c r="A409" s="26">
        <f t="shared" si="89"/>
        <v>383</v>
      </c>
      <c r="B409" s="27" t="s">
        <v>1198</v>
      </c>
      <c r="C409" s="26"/>
      <c r="D409" s="50" t="s">
        <v>1207</v>
      </c>
      <c r="E409" s="51" t="s">
        <v>1208</v>
      </c>
      <c r="F409" s="24" t="s">
        <v>43</v>
      </c>
      <c r="G409" s="52" t="s">
        <v>1209</v>
      </c>
      <c r="H409" s="4" t="s">
        <v>545</v>
      </c>
      <c r="I409" s="33" t="s">
        <v>441</v>
      </c>
      <c r="J409" s="5">
        <v>44561</v>
      </c>
      <c r="K409" s="3" t="str">
        <f t="shared" ca="1" si="83"/>
        <v xml:space="preserve">4 Tahun 8 bulan </v>
      </c>
      <c r="L409" s="30" t="s">
        <v>88</v>
      </c>
      <c r="M409" s="5">
        <v>44561</v>
      </c>
      <c r="N409" s="3" t="str">
        <f t="shared" ca="1" si="84"/>
        <v xml:space="preserve">4 Tahun 8 bulan </v>
      </c>
      <c r="O409" s="4" t="s">
        <v>1210</v>
      </c>
      <c r="P409" s="4" t="s">
        <v>35</v>
      </c>
      <c r="Q409" s="4" t="str">
        <f t="shared" si="85"/>
        <v>Laki-Laki</v>
      </c>
      <c r="R409" s="4">
        <f t="shared" si="78"/>
        <v>1</v>
      </c>
      <c r="S409" s="4" t="str">
        <f t="shared" si="90"/>
        <v>1</v>
      </c>
      <c r="T409" s="4">
        <f t="shared" si="79"/>
        <v>0</v>
      </c>
      <c r="U409" s="29"/>
      <c r="V409" s="30" t="s">
        <v>50</v>
      </c>
      <c r="W409" s="30"/>
      <c r="X409" s="30"/>
      <c r="Y409" s="30"/>
      <c r="Z409" s="30"/>
      <c r="AA409" s="30"/>
      <c r="AB409" s="29"/>
      <c r="AC409" s="29"/>
      <c r="AD409" s="37">
        <f t="shared" si="87"/>
        <v>25884</v>
      </c>
      <c r="AE409" s="3" t="str">
        <f t="shared" ca="1" si="86"/>
        <v>55 Tahun 9 bulan 20 Hari</v>
      </c>
      <c r="AF409" s="38">
        <f t="shared" si="88"/>
        <v>47818</v>
      </c>
    </row>
    <row r="410" spans="1:32" s="7" customFormat="1" ht="32.15" customHeight="1" x14ac:dyDescent="0.35">
      <c r="A410" s="26">
        <f t="shared" si="89"/>
        <v>384</v>
      </c>
      <c r="B410" s="27" t="s">
        <v>1198</v>
      </c>
      <c r="C410" s="26"/>
      <c r="D410" s="50" t="s">
        <v>1211</v>
      </c>
      <c r="E410" s="24" t="s">
        <v>1212</v>
      </c>
      <c r="F410" s="24" t="s">
        <v>43</v>
      </c>
      <c r="G410" s="3" t="s">
        <v>1213</v>
      </c>
      <c r="H410" s="56" t="s">
        <v>1214</v>
      </c>
      <c r="I410" s="33" t="s">
        <v>1215</v>
      </c>
      <c r="J410" s="5">
        <v>46087</v>
      </c>
      <c r="K410" s="90">
        <v>46087</v>
      </c>
      <c r="L410" s="30" t="s">
        <v>200</v>
      </c>
      <c r="M410" s="5">
        <v>46087</v>
      </c>
      <c r="N410" s="3" t="str">
        <f t="shared" ca="1" si="84"/>
        <v xml:space="preserve">0 Tahun 5 bulan </v>
      </c>
      <c r="O410" s="4"/>
      <c r="P410" s="4" t="s">
        <v>35</v>
      </c>
      <c r="Q410" s="4" t="str">
        <f t="shared" si="85"/>
        <v>Perempuan</v>
      </c>
      <c r="R410" s="4">
        <f t="shared" si="78"/>
        <v>1</v>
      </c>
      <c r="S410" s="4" t="str">
        <f t="shared" si="90"/>
        <v>1</v>
      </c>
      <c r="T410" s="4">
        <f t="shared" si="79"/>
        <v>0</v>
      </c>
      <c r="U410" s="29"/>
      <c r="V410" s="30" t="s">
        <v>50</v>
      </c>
      <c r="W410" s="30"/>
      <c r="X410" s="30"/>
      <c r="Y410" s="30"/>
      <c r="Z410" s="30"/>
      <c r="AA410" s="30"/>
      <c r="AB410" s="29"/>
      <c r="AC410" s="29"/>
      <c r="AD410" s="37">
        <f t="shared" si="87"/>
        <v>31582</v>
      </c>
      <c r="AE410" s="3" t="str">
        <f t="shared" ca="1" si="86"/>
        <v>40 Tahun 2 bulan 13 Hari</v>
      </c>
      <c r="AF410" s="38">
        <f t="shared" si="88"/>
        <v>53509</v>
      </c>
    </row>
    <row r="411" spans="1:32" s="7" customFormat="1" ht="32.15" customHeight="1" x14ac:dyDescent="0.35">
      <c r="A411" s="26">
        <f t="shared" si="89"/>
        <v>385</v>
      </c>
      <c r="B411" s="27" t="s">
        <v>1198</v>
      </c>
      <c r="C411" s="26"/>
      <c r="D411" s="50" t="s">
        <v>1216</v>
      </c>
      <c r="E411" s="24" t="s">
        <v>1217</v>
      </c>
      <c r="F411" s="24" t="s">
        <v>43</v>
      </c>
      <c r="G411" s="3" t="s">
        <v>1218</v>
      </c>
      <c r="H411" s="56" t="s">
        <v>159</v>
      </c>
      <c r="I411" s="33" t="s">
        <v>107</v>
      </c>
      <c r="J411" s="5">
        <v>44561</v>
      </c>
      <c r="K411" s="3" t="str">
        <f t="shared" ca="1" si="83"/>
        <v xml:space="preserve">4 Tahun 8 bulan </v>
      </c>
      <c r="L411" s="30" t="s">
        <v>88</v>
      </c>
      <c r="M411" s="5">
        <v>44561</v>
      </c>
      <c r="N411" s="3" t="str">
        <f t="shared" ca="1" si="84"/>
        <v xml:space="preserve">4 Tahun 8 bulan </v>
      </c>
      <c r="O411" s="4"/>
      <c r="P411" s="4" t="s">
        <v>35</v>
      </c>
      <c r="Q411" s="4" t="str">
        <f t="shared" si="85"/>
        <v>Perempuan</v>
      </c>
      <c r="R411" s="4">
        <f t="shared" si="78"/>
        <v>1</v>
      </c>
      <c r="S411" s="4" t="str">
        <f t="shared" si="90"/>
        <v>1</v>
      </c>
      <c r="T411" s="4">
        <f t="shared" si="79"/>
        <v>0</v>
      </c>
      <c r="U411" s="29"/>
      <c r="V411" s="30"/>
      <c r="W411" s="30"/>
      <c r="X411" s="30"/>
      <c r="Y411" s="30"/>
      <c r="Z411" s="30"/>
      <c r="AA411" s="30"/>
      <c r="AB411" s="29"/>
      <c r="AC411" s="29"/>
      <c r="AD411" s="37">
        <f t="shared" si="87"/>
        <v>29107</v>
      </c>
      <c r="AE411" s="3" t="str">
        <f t="shared" ca="1" si="86"/>
        <v>46 Tahun 11 bulan 23 Hari</v>
      </c>
      <c r="AF411" s="38">
        <f t="shared" si="88"/>
        <v>51044</v>
      </c>
    </row>
    <row r="412" spans="1:32" s="7" customFormat="1" ht="32.15" customHeight="1" x14ac:dyDescent="0.35">
      <c r="A412" s="26">
        <f t="shared" si="89"/>
        <v>386</v>
      </c>
      <c r="B412" s="27" t="s">
        <v>1198</v>
      </c>
      <c r="C412" s="256" t="s">
        <v>1219</v>
      </c>
      <c r="D412" s="257"/>
      <c r="E412" s="51" t="s">
        <v>1220</v>
      </c>
      <c r="F412" s="24" t="s">
        <v>43</v>
      </c>
      <c r="G412" s="52" t="s">
        <v>1221</v>
      </c>
      <c r="H412" s="4" t="s">
        <v>1222</v>
      </c>
      <c r="I412" s="33" t="s">
        <v>1223</v>
      </c>
      <c r="J412" s="5" t="s">
        <v>98</v>
      </c>
      <c r="K412" s="3" t="str">
        <f t="shared" ca="1" si="83"/>
        <v xml:space="preserve">3 Tahun 0 bulan </v>
      </c>
      <c r="L412" s="30" t="s">
        <v>346</v>
      </c>
      <c r="M412" s="5" t="s">
        <v>98</v>
      </c>
      <c r="N412" s="3" t="str">
        <f t="shared" ca="1" si="84"/>
        <v xml:space="preserve">3 Tahun 0 bulan </v>
      </c>
      <c r="O412" s="56"/>
      <c r="P412" s="4" t="s">
        <v>35</v>
      </c>
      <c r="Q412" s="4" t="str">
        <f t="shared" si="85"/>
        <v>Laki-Laki</v>
      </c>
      <c r="R412" s="4">
        <f t="shared" ref="R412:R471" si="92">R411</f>
        <v>1</v>
      </c>
      <c r="S412" s="4" t="str">
        <f t="shared" si="90"/>
        <v>1</v>
      </c>
      <c r="T412" s="4">
        <f t="shared" si="79"/>
        <v>0</v>
      </c>
      <c r="U412" s="29"/>
      <c r="V412" s="30" t="s">
        <v>50</v>
      </c>
      <c r="W412" s="30"/>
      <c r="X412" s="30"/>
      <c r="Y412" s="30"/>
      <c r="Z412" s="30"/>
      <c r="AA412" s="30"/>
      <c r="AB412" s="29"/>
      <c r="AC412" s="29"/>
      <c r="AD412" s="37">
        <f t="shared" si="87"/>
        <v>28198</v>
      </c>
      <c r="AE412" s="3" t="str">
        <f t="shared" ca="1" si="86"/>
        <v>49 Tahun 5 bulan 18 Hari</v>
      </c>
      <c r="AF412" s="38">
        <f t="shared" si="88"/>
        <v>50131</v>
      </c>
    </row>
    <row r="413" spans="1:32" s="7" customFormat="1" ht="32.15" customHeight="1" x14ac:dyDescent="0.35">
      <c r="A413" s="26">
        <f t="shared" si="89"/>
        <v>387</v>
      </c>
      <c r="B413" s="27" t="s">
        <v>1198</v>
      </c>
      <c r="C413" s="26"/>
      <c r="D413" s="50" t="s">
        <v>1224</v>
      </c>
      <c r="E413" s="39" t="s">
        <v>1225</v>
      </c>
      <c r="F413" s="24" t="s">
        <v>43</v>
      </c>
      <c r="G413" s="25" t="s">
        <v>1226</v>
      </c>
      <c r="H413" s="4" t="s">
        <v>1227</v>
      </c>
      <c r="I413" s="25" t="s">
        <v>1228</v>
      </c>
      <c r="J413" s="5">
        <v>44561</v>
      </c>
      <c r="K413" s="3" t="str">
        <f t="shared" ca="1" si="83"/>
        <v xml:space="preserve">4 Tahun 8 bulan </v>
      </c>
      <c r="L413" s="30" t="s">
        <v>88</v>
      </c>
      <c r="M413" s="5">
        <v>44561</v>
      </c>
      <c r="N413" s="3" t="str">
        <f t="shared" ca="1" si="84"/>
        <v xml:space="preserve">4 Tahun 8 bulan </v>
      </c>
      <c r="O413" s="35"/>
      <c r="P413" s="4" t="s">
        <v>35</v>
      </c>
      <c r="Q413" s="4" t="str">
        <f t="shared" si="85"/>
        <v>Perempuan</v>
      </c>
      <c r="R413" s="4">
        <f t="shared" si="92"/>
        <v>1</v>
      </c>
      <c r="S413" s="4" t="str">
        <f t="shared" si="90"/>
        <v>1</v>
      </c>
      <c r="T413" s="4">
        <f t="shared" si="79"/>
        <v>0</v>
      </c>
      <c r="U413" s="29"/>
      <c r="V413" s="30"/>
      <c r="W413" s="30"/>
      <c r="X413" s="30"/>
      <c r="Y413" s="30"/>
      <c r="Z413" s="30"/>
      <c r="AA413" s="30"/>
      <c r="AB413" s="29"/>
      <c r="AC413" s="29"/>
      <c r="AD413" s="37">
        <f t="shared" si="87"/>
        <v>30630</v>
      </c>
      <c r="AE413" s="3" t="str">
        <f t="shared" ca="1" si="86"/>
        <v>42 Tahun 9 bulan 22 Hari</v>
      </c>
      <c r="AF413" s="38">
        <f t="shared" si="88"/>
        <v>52566</v>
      </c>
    </row>
    <row r="414" spans="1:32" s="7" customFormat="1" ht="32.15" customHeight="1" x14ac:dyDescent="0.35">
      <c r="A414" s="26">
        <f t="shared" si="89"/>
        <v>388</v>
      </c>
      <c r="B414" s="27" t="s">
        <v>1198</v>
      </c>
      <c r="C414" s="26"/>
      <c r="D414" s="50" t="s">
        <v>1229</v>
      </c>
      <c r="E414" s="97" t="s">
        <v>1230</v>
      </c>
      <c r="F414" s="24" t="s">
        <v>43</v>
      </c>
      <c r="G414" s="86" t="s">
        <v>1231</v>
      </c>
      <c r="H414" s="98" t="s">
        <v>188</v>
      </c>
      <c r="I414" s="33" t="s">
        <v>859</v>
      </c>
      <c r="J414" s="5">
        <v>44561</v>
      </c>
      <c r="K414" s="3" t="str">
        <f t="shared" ca="1" si="83"/>
        <v xml:space="preserve">4 Tahun 8 bulan </v>
      </c>
      <c r="L414" s="30" t="s">
        <v>88</v>
      </c>
      <c r="M414" s="5">
        <v>44561</v>
      </c>
      <c r="N414" s="3" t="str">
        <f t="shared" ca="1" si="84"/>
        <v xml:space="preserve">4 Tahun 8 bulan </v>
      </c>
      <c r="O414" s="56"/>
      <c r="P414" s="4" t="s">
        <v>35</v>
      </c>
      <c r="Q414" s="4" t="str">
        <f t="shared" si="85"/>
        <v>Laki-Laki</v>
      </c>
      <c r="R414" s="4">
        <f t="shared" si="92"/>
        <v>1</v>
      </c>
      <c r="S414" s="4" t="str">
        <f t="shared" si="90"/>
        <v>1</v>
      </c>
      <c r="T414" s="4">
        <f t="shared" si="79"/>
        <v>0</v>
      </c>
      <c r="U414" s="29"/>
      <c r="V414" s="30" t="s">
        <v>50</v>
      </c>
      <c r="W414" s="30"/>
      <c r="X414" s="30"/>
      <c r="Y414" s="30"/>
      <c r="Z414" s="30"/>
      <c r="AA414" s="30"/>
      <c r="AB414" s="29"/>
      <c r="AC414" s="29"/>
      <c r="AD414" s="37">
        <f t="shared" si="87"/>
        <v>28670</v>
      </c>
      <c r="AE414" s="3" t="str">
        <f t="shared" ca="1" si="86"/>
        <v>48 Tahun 2 bulan 3 Hari</v>
      </c>
      <c r="AF414" s="38">
        <f t="shared" si="88"/>
        <v>50587</v>
      </c>
    </row>
    <row r="415" spans="1:32" s="7" customFormat="1" ht="32.15" customHeight="1" x14ac:dyDescent="0.35">
      <c r="A415" s="26">
        <f t="shared" si="89"/>
        <v>389</v>
      </c>
      <c r="B415" s="27" t="s">
        <v>1198</v>
      </c>
      <c r="C415" s="256" t="s">
        <v>1232</v>
      </c>
      <c r="D415" s="257"/>
      <c r="E415" s="39" t="s">
        <v>1245</v>
      </c>
      <c r="F415" s="24" t="s">
        <v>43</v>
      </c>
      <c r="G415" s="25" t="s">
        <v>1246</v>
      </c>
      <c r="H415" s="4" t="s">
        <v>1247</v>
      </c>
      <c r="I415" s="25" t="s">
        <v>441</v>
      </c>
      <c r="J415" s="5">
        <v>46198</v>
      </c>
      <c r="K415" s="3" t="str">
        <f t="shared" ca="1" si="83"/>
        <v xml:space="preserve">0 Tahun 2 bulan </v>
      </c>
      <c r="L415" s="30" t="s">
        <v>346</v>
      </c>
      <c r="M415" s="5">
        <v>46198</v>
      </c>
      <c r="N415" s="3" t="str">
        <f t="shared" ca="1" si="84"/>
        <v xml:space="preserve">0 Tahun 2 bulan </v>
      </c>
      <c r="O415" s="4"/>
      <c r="P415" s="4" t="s">
        <v>35</v>
      </c>
      <c r="Q415" s="4" t="str">
        <f t="shared" si="85"/>
        <v>Laki-Laki</v>
      </c>
      <c r="R415" s="4">
        <f t="shared" si="92"/>
        <v>1</v>
      </c>
      <c r="S415" s="4" t="str">
        <f t="shared" si="90"/>
        <v>1</v>
      </c>
      <c r="T415" s="4">
        <f t="shared" si="79"/>
        <v>0</v>
      </c>
      <c r="U415" s="29"/>
      <c r="V415" s="30" t="s">
        <v>50</v>
      </c>
      <c r="W415" s="30"/>
      <c r="X415" s="30"/>
      <c r="Y415" s="30"/>
      <c r="Z415" s="30"/>
      <c r="AA415" s="30"/>
      <c r="AB415" s="29"/>
      <c r="AC415" s="29"/>
      <c r="AD415" s="37">
        <f t="shared" si="87"/>
        <v>29811</v>
      </c>
      <c r="AE415" s="3" t="str">
        <f t="shared" ca="1" si="86"/>
        <v>45 Tahun 0 bulan 19 Hari</v>
      </c>
      <c r="AF415" s="38">
        <f t="shared" si="88"/>
        <v>51745</v>
      </c>
    </row>
    <row r="416" spans="1:32" s="7" customFormat="1" ht="32.15" customHeight="1" x14ac:dyDescent="0.35">
      <c r="A416" s="26">
        <f t="shared" si="89"/>
        <v>390</v>
      </c>
      <c r="B416" s="27" t="s">
        <v>1198</v>
      </c>
      <c r="C416" s="26"/>
      <c r="D416" s="50" t="s">
        <v>1224</v>
      </c>
      <c r="E416" s="24" t="s">
        <v>1234</v>
      </c>
      <c r="F416" s="24" t="s">
        <v>43</v>
      </c>
      <c r="G416" s="4" t="s">
        <v>1235</v>
      </c>
      <c r="H416" s="4" t="s">
        <v>662</v>
      </c>
      <c r="I416" s="33" t="s">
        <v>441</v>
      </c>
      <c r="J416" s="5">
        <v>44561</v>
      </c>
      <c r="K416" s="3" t="str">
        <f t="shared" ca="1" si="83"/>
        <v xml:space="preserve">4 Tahun 8 bulan </v>
      </c>
      <c r="L416" s="30" t="s">
        <v>88</v>
      </c>
      <c r="M416" s="5">
        <v>44561</v>
      </c>
      <c r="N416" s="3" t="str">
        <f t="shared" ca="1" si="84"/>
        <v xml:space="preserve">4 Tahun 8 bulan </v>
      </c>
      <c r="O416" s="4"/>
      <c r="P416" s="4" t="s">
        <v>35</v>
      </c>
      <c r="Q416" s="4" t="str">
        <f t="shared" si="85"/>
        <v>Laki-Laki</v>
      </c>
      <c r="R416" s="4">
        <f t="shared" si="92"/>
        <v>1</v>
      </c>
      <c r="S416" s="4" t="str">
        <f t="shared" si="90"/>
        <v>1</v>
      </c>
      <c r="T416" s="4">
        <f t="shared" si="79"/>
        <v>0</v>
      </c>
      <c r="U416" s="29"/>
      <c r="V416" s="30" t="s">
        <v>50</v>
      </c>
      <c r="W416" s="30"/>
      <c r="X416" s="30"/>
      <c r="Y416" s="30"/>
      <c r="Z416" s="30"/>
      <c r="AA416" s="30"/>
      <c r="AB416" s="29"/>
      <c r="AC416" s="29"/>
      <c r="AD416" s="37">
        <f t="shared" si="87"/>
        <v>28137</v>
      </c>
      <c r="AE416" s="3" t="str">
        <f t="shared" ca="1" si="86"/>
        <v>49 Tahun 7 bulan 20 Hari</v>
      </c>
      <c r="AF416" s="38">
        <f t="shared" si="88"/>
        <v>50072</v>
      </c>
    </row>
    <row r="417" spans="1:32" s="7" customFormat="1" ht="32.15" customHeight="1" x14ac:dyDescent="0.35">
      <c r="A417" s="26">
        <f t="shared" si="89"/>
        <v>391</v>
      </c>
      <c r="B417" s="27" t="s">
        <v>1198</v>
      </c>
      <c r="C417" s="26"/>
      <c r="D417" s="50" t="s">
        <v>1224</v>
      </c>
      <c r="E417" s="93" t="s">
        <v>1236</v>
      </c>
      <c r="F417" s="24" t="s">
        <v>43</v>
      </c>
      <c r="G417" s="94" t="s">
        <v>1237</v>
      </c>
      <c r="H417" s="98" t="s">
        <v>1238</v>
      </c>
      <c r="I417" s="25" t="s">
        <v>1239</v>
      </c>
      <c r="J417" s="5">
        <v>44561</v>
      </c>
      <c r="K417" s="3" t="str">
        <f t="shared" ca="1" si="83"/>
        <v xml:space="preserve">4 Tahun 8 bulan </v>
      </c>
      <c r="L417" s="30" t="s">
        <v>88</v>
      </c>
      <c r="M417" s="5">
        <v>44561</v>
      </c>
      <c r="N417" s="3" t="str">
        <f t="shared" ca="1" si="84"/>
        <v xml:space="preserve">4 Tahun 8 bulan </v>
      </c>
      <c r="O417" s="56"/>
      <c r="P417" s="4" t="s">
        <v>35</v>
      </c>
      <c r="Q417" s="4" t="str">
        <f t="shared" si="85"/>
        <v>Perempuan</v>
      </c>
      <c r="R417" s="4">
        <f t="shared" si="92"/>
        <v>1</v>
      </c>
      <c r="S417" s="4" t="str">
        <f t="shared" si="90"/>
        <v>1</v>
      </c>
      <c r="T417" s="4">
        <f t="shared" si="79"/>
        <v>0</v>
      </c>
      <c r="U417" s="29"/>
      <c r="V417" s="30"/>
      <c r="W417" s="30"/>
      <c r="X417" s="30"/>
      <c r="Y417" s="30"/>
      <c r="Z417" s="30"/>
      <c r="AA417" s="30"/>
      <c r="AB417" s="29"/>
      <c r="AC417" s="29"/>
      <c r="AD417" s="37">
        <f t="shared" si="87"/>
        <v>27247</v>
      </c>
      <c r="AE417" s="3" t="str">
        <f t="shared" ca="1" si="86"/>
        <v>52 Tahun 0 bulan 26 Hari</v>
      </c>
      <c r="AF417" s="38">
        <f t="shared" si="88"/>
        <v>49188</v>
      </c>
    </row>
    <row r="418" spans="1:32" s="7" customFormat="1" ht="32.15" customHeight="1" x14ac:dyDescent="0.35">
      <c r="A418" s="26">
        <f t="shared" si="89"/>
        <v>392</v>
      </c>
      <c r="B418" s="27" t="s">
        <v>1198</v>
      </c>
      <c r="C418" s="26"/>
      <c r="D418" s="50" t="s">
        <v>1229</v>
      </c>
      <c r="E418" s="93" t="s">
        <v>108</v>
      </c>
      <c r="F418" s="93"/>
      <c r="G418" s="94"/>
      <c r="H418" s="98"/>
      <c r="I418" s="25"/>
      <c r="J418" s="49"/>
      <c r="K418" s="3" t="str">
        <f t="shared" ca="1" si="83"/>
        <v/>
      </c>
      <c r="L418" s="30" t="s">
        <v>88</v>
      </c>
      <c r="M418" s="49"/>
      <c r="N418" s="3" t="str">
        <f t="shared" ca="1" si="84"/>
        <v/>
      </c>
      <c r="O418" s="56"/>
      <c r="P418" s="4"/>
      <c r="Q418" s="4" t="str">
        <f t="shared" si="85"/>
        <v/>
      </c>
      <c r="R418" s="4">
        <f t="shared" si="92"/>
        <v>1</v>
      </c>
      <c r="S418" s="4" t="str">
        <f t="shared" si="90"/>
        <v>0</v>
      </c>
      <c r="T418" s="4">
        <f t="shared" si="79"/>
        <v>1</v>
      </c>
      <c r="U418" s="29"/>
      <c r="V418" s="30"/>
      <c r="W418" s="30"/>
      <c r="X418" s="30"/>
      <c r="Y418" s="30"/>
      <c r="Z418" s="30"/>
      <c r="AA418" s="30"/>
      <c r="AB418" s="29"/>
      <c r="AC418" s="29"/>
      <c r="AD418" s="37" t="str">
        <f t="shared" si="87"/>
        <v/>
      </c>
      <c r="AE418" s="3" t="str">
        <f t="shared" ca="1" si="86"/>
        <v/>
      </c>
      <c r="AF418" s="38" t="str">
        <f t="shared" si="88"/>
        <v/>
      </c>
    </row>
    <row r="419" spans="1:32" s="7" customFormat="1" ht="32.15" customHeight="1" x14ac:dyDescent="0.35">
      <c r="A419" s="26">
        <f t="shared" si="89"/>
        <v>393</v>
      </c>
      <c r="B419" s="27" t="s">
        <v>1198</v>
      </c>
      <c r="C419" s="256" t="s">
        <v>1240</v>
      </c>
      <c r="D419" s="257"/>
      <c r="E419" s="24" t="s">
        <v>2253</v>
      </c>
      <c r="F419" s="24" t="s">
        <v>43</v>
      </c>
      <c r="G419" s="4" t="s">
        <v>2254</v>
      </c>
      <c r="H419" s="4" t="s">
        <v>231</v>
      </c>
      <c r="I419" s="33" t="s">
        <v>251</v>
      </c>
      <c r="J419" s="5">
        <v>46260</v>
      </c>
      <c r="K419" s="3" t="str">
        <f t="shared" ca="1" si="83"/>
        <v xml:space="preserve">0 Tahun 0 bulan </v>
      </c>
      <c r="L419" s="30" t="s">
        <v>346</v>
      </c>
      <c r="M419" s="5"/>
      <c r="N419" s="3" t="str">
        <f t="shared" ca="1" si="84"/>
        <v/>
      </c>
      <c r="O419" s="4"/>
      <c r="P419" s="4" t="s">
        <v>35</v>
      </c>
      <c r="Q419" s="4" t="s">
        <v>591</v>
      </c>
      <c r="R419" s="4">
        <f t="shared" si="92"/>
        <v>1</v>
      </c>
      <c r="S419" s="4" t="str">
        <f t="shared" si="90"/>
        <v>1</v>
      </c>
      <c r="T419" s="4">
        <f t="shared" ref="T419:T490" si="93">R419-S419</f>
        <v>0</v>
      </c>
      <c r="U419" s="29"/>
      <c r="V419" s="30" t="s">
        <v>50</v>
      </c>
      <c r="W419" s="30"/>
      <c r="X419" s="30"/>
      <c r="Y419" s="30"/>
      <c r="Z419" s="30"/>
      <c r="AA419" s="30"/>
      <c r="AB419" s="29"/>
      <c r="AC419" s="29"/>
      <c r="AD419" s="37">
        <f t="shared" si="87"/>
        <v>25746</v>
      </c>
      <c r="AE419" s="3" t="str">
        <f t="shared" ca="1" si="86"/>
        <v>56 Tahun 2 bulan 5 Hari</v>
      </c>
      <c r="AF419" s="38">
        <f t="shared" si="88"/>
        <v>47665</v>
      </c>
    </row>
    <row r="420" spans="1:32" s="7" customFormat="1" ht="32.15" customHeight="1" x14ac:dyDescent="0.35">
      <c r="A420" s="26">
        <f t="shared" si="89"/>
        <v>394</v>
      </c>
      <c r="B420" s="27" t="s">
        <v>1198</v>
      </c>
      <c r="C420" s="26"/>
      <c r="D420" s="50" t="s">
        <v>1244</v>
      </c>
      <c r="E420" s="97" t="s">
        <v>108</v>
      </c>
      <c r="F420" s="24"/>
      <c r="G420" s="86"/>
      <c r="H420" s="98"/>
      <c r="I420" s="25"/>
      <c r="J420" s="5"/>
      <c r="K420" s="3" t="str">
        <f t="shared" ca="1" si="83"/>
        <v/>
      </c>
      <c r="L420" s="30" t="s">
        <v>88</v>
      </c>
      <c r="M420" s="5"/>
      <c r="N420" s="3" t="str">
        <f t="shared" ca="1" si="84"/>
        <v/>
      </c>
      <c r="O420" s="56"/>
      <c r="P420" s="4"/>
      <c r="Q420" s="4" t="str">
        <f t="shared" si="85"/>
        <v/>
      </c>
      <c r="R420" s="4">
        <f t="shared" si="92"/>
        <v>1</v>
      </c>
      <c r="S420" s="4" t="str">
        <f t="shared" si="90"/>
        <v>0</v>
      </c>
      <c r="T420" s="4">
        <f t="shared" si="93"/>
        <v>1</v>
      </c>
      <c r="U420" s="29"/>
      <c r="V420" s="30" t="s">
        <v>50</v>
      </c>
      <c r="W420" s="30"/>
      <c r="X420" s="30"/>
      <c r="Y420" s="30"/>
      <c r="Z420" s="30"/>
      <c r="AA420" s="30"/>
      <c r="AB420" s="29"/>
      <c r="AC420" s="29"/>
      <c r="AD420" s="37" t="str">
        <f t="shared" si="87"/>
        <v/>
      </c>
      <c r="AE420" s="3" t="str">
        <f t="shared" ca="1" si="86"/>
        <v/>
      </c>
      <c r="AF420" s="38" t="str">
        <f t="shared" si="88"/>
        <v/>
      </c>
    </row>
    <row r="421" spans="1:32" s="7" customFormat="1" ht="32.15" customHeight="1" x14ac:dyDescent="0.35">
      <c r="A421" s="26">
        <f t="shared" si="89"/>
        <v>395</v>
      </c>
      <c r="B421" s="27" t="s">
        <v>1198</v>
      </c>
      <c r="C421" s="26"/>
      <c r="D421" s="50" t="s">
        <v>1244</v>
      </c>
      <c r="E421" s="97" t="s">
        <v>108</v>
      </c>
      <c r="F421" s="97"/>
      <c r="G421" s="86"/>
      <c r="H421" s="4"/>
      <c r="I421" s="36"/>
      <c r="J421" s="49"/>
      <c r="K421" s="3" t="str">
        <f t="shared" ca="1" si="83"/>
        <v/>
      </c>
      <c r="L421" s="30" t="s">
        <v>88</v>
      </c>
      <c r="M421" s="49"/>
      <c r="N421" s="3" t="str">
        <f t="shared" ca="1" si="84"/>
        <v/>
      </c>
      <c r="O421" s="56"/>
      <c r="P421" s="4"/>
      <c r="Q421" s="4" t="str">
        <f t="shared" si="85"/>
        <v/>
      </c>
      <c r="R421" s="4">
        <f t="shared" si="92"/>
        <v>1</v>
      </c>
      <c r="S421" s="4" t="str">
        <f t="shared" si="90"/>
        <v>0</v>
      </c>
      <c r="T421" s="4">
        <f t="shared" si="93"/>
        <v>1</v>
      </c>
      <c r="U421" s="29"/>
      <c r="V421" s="30"/>
      <c r="W421" s="30"/>
      <c r="X421" s="30"/>
      <c r="Y421" s="30"/>
      <c r="Z421" s="30"/>
      <c r="AA421" s="30"/>
      <c r="AB421" s="29"/>
      <c r="AC421" s="29"/>
      <c r="AD421" s="37" t="str">
        <f t="shared" si="87"/>
        <v/>
      </c>
      <c r="AE421" s="3" t="str">
        <f t="shared" ca="1" si="86"/>
        <v/>
      </c>
      <c r="AF421" s="38" t="str">
        <f t="shared" si="88"/>
        <v/>
      </c>
    </row>
    <row r="422" spans="1:32" s="7" customFormat="1" ht="32.15" customHeight="1" x14ac:dyDescent="0.35">
      <c r="A422" s="26">
        <f t="shared" si="89"/>
        <v>396</v>
      </c>
      <c r="B422" s="27" t="s">
        <v>1198</v>
      </c>
      <c r="C422" s="26"/>
      <c r="D422" s="50" t="s">
        <v>1248</v>
      </c>
      <c r="E422" s="24" t="s">
        <v>108</v>
      </c>
      <c r="F422" s="24"/>
      <c r="G422" s="4"/>
      <c r="H422" s="4"/>
      <c r="I422" s="33"/>
      <c r="J422" s="49"/>
      <c r="K422" s="3" t="str">
        <f t="shared" ca="1" si="83"/>
        <v/>
      </c>
      <c r="L422" s="30" t="s">
        <v>88</v>
      </c>
      <c r="M422" s="95"/>
      <c r="N422" s="3" t="str">
        <f t="shared" ca="1" si="84"/>
        <v/>
      </c>
      <c r="O422" s="4"/>
      <c r="P422" s="4"/>
      <c r="Q422" s="4" t="str">
        <f t="shared" si="85"/>
        <v/>
      </c>
      <c r="R422" s="4">
        <f t="shared" si="92"/>
        <v>1</v>
      </c>
      <c r="S422" s="4" t="str">
        <f t="shared" si="90"/>
        <v>0</v>
      </c>
      <c r="T422" s="4">
        <f t="shared" si="93"/>
        <v>1</v>
      </c>
      <c r="U422" s="29"/>
      <c r="V422" s="30" t="s">
        <v>50</v>
      </c>
      <c r="W422" s="30"/>
      <c r="X422" s="30"/>
      <c r="Y422" s="30"/>
      <c r="Z422" s="30"/>
      <c r="AA422" s="30"/>
      <c r="AB422" s="29"/>
      <c r="AC422" s="29"/>
      <c r="AD422" s="37" t="str">
        <f t="shared" si="87"/>
        <v/>
      </c>
      <c r="AE422" s="3" t="str">
        <f t="shared" ca="1" si="86"/>
        <v/>
      </c>
      <c r="AF422" s="38" t="str">
        <f t="shared" si="88"/>
        <v/>
      </c>
    </row>
    <row r="423" spans="1:32" s="7" customFormat="1" ht="32.15" customHeight="1" x14ac:dyDescent="0.35">
      <c r="A423" s="26">
        <f t="shared" si="89"/>
        <v>397</v>
      </c>
      <c r="B423" s="27" t="s">
        <v>1198</v>
      </c>
      <c r="C423" s="256" t="s">
        <v>1249</v>
      </c>
      <c r="D423" s="257"/>
      <c r="E423" s="51" t="s">
        <v>64</v>
      </c>
      <c r="F423" s="24" t="s">
        <v>43</v>
      </c>
      <c r="G423" s="59" t="s">
        <v>65</v>
      </c>
      <c r="H423" s="4" t="s">
        <v>2985</v>
      </c>
      <c r="I423" s="33" t="s">
        <v>242</v>
      </c>
      <c r="J423" s="5">
        <v>46260</v>
      </c>
      <c r="K423" s="3" t="str">
        <f t="shared" ca="1" si="83"/>
        <v xml:space="preserve">0 Tahun 0 bulan </v>
      </c>
      <c r="L423" s="30" t="s">
        <v>346</v>
      </c>
      <c r="M423" s="5" t="s">
        <v>2986</v>
      </c>
      <c r="N423" s="3" t="str">
        <f t="shared" ca="1" si="84"/>
        <v xml:space="preserve">5 Tahun 8 bulan </v>
      </c>
      <c r="O423" s="4"/>
      <c r="P423" s="4" t="s">
        <v>35</v>
      </c>
      <c r="Q423" s="4" t="str">
        <f t="shared" si="85"/>
        <v>Laki-Laki</v>
      </c>
      <c r="R423" s="4">
        <f t="shared" si="92"/>
        <v>1</v>
      </c>
      <c r="S423" s="4" t="str">
        <f t="shared" si="90"/>
        <v>1</v>
      </c>
      <c r="T423" s="4">
        <f t="shared" si="93"/>
        <v>0</v>
      </c>
      <c r="U423" s="29"/>
      <c r="V423" s="30" t="s">
        <v>50</v>
      </c>
      <c r="W423" s="30"/>
      <c r="X423" s="30"/>
      <c r="Y423" s="30"/>
      <c r="Z423" s="30"/>
      <c r="AA423" s="30"/>
      <c r="AB423" s="29"/>
      <c r="AC423" s="29"/>
      <c r="AD423" s="37">
        <f t="shared" si="87"/>
        <v>27633</v>
      </c>
      <c r="AE423" s="3" t="str">
        <f t="shared" ca="1" si="86"/>
        <v>51 Tahun 0 bulan 5 Hari</v>
      </c>
      <c r="AF423" s="38">
        <f t="shared" si="88"/>
        <v>49553</v>
      </c>
    </row>
    <row r="424" spans="1:32" s="7" customFormat="1" ht="32.15" customHeight="1" x14ac:dyDescent="0.35">
      <c r="A424" s="26">
        <f t="shared" si="89"/>
        <v>398</v>
      </c>
      <c r="B424" s="27" t="s">
        <v>1198</v>
      </c>
      <c r="C424" s="26"/>
      <c r="D424" s="50" t="s">
        <v>1251</v>
      </c>
      <c r="E424" s="51" t="s">
        <v>1252</v>
      </c>
      <c r="F424" s="24" t="s">
        <v>43</v>
      </c>
      <c r="G424" s="59" t="s">
        <v>1253</v>
      </c>
      <c r="H424" s="4" t="s">
        <v>1254</v>
      </c>
      <c r="I424" s="33" t="s">
        <v>441</v>
      </c>
      <c r="J424" s="5" t="s">
        <v>87</v>
      </c>
      <c r="K424" s="3" t="str">
        <f t="shared" ca="1" si="83"/>
        <v xml:space="preserve">4 Tahun 8 bulan </v>
      </c>
      <c r="L424" s="30" t="s">
        <v>88</v>
      </c>
      <c r="M424" s="5">
        <v>44561</v>
      </c>
      <c r="N424" s="3" t="str">
        <f t="shared" ca="1" si="84"/>
        <v xml:space="preserve">4 Tahun 8 bulan </v>
      </c>
      <c r="O424" s="4"/>
      <c r="P424" s="4" t="s">
        <v>35</v>
      </c>
      <c r="Q424" s="4" t="str">
        <f t="shared" si="85"/>
        <v>Perempuan</v>
      </c>
      <c r="R424" s="4">
        <f t="shared" si="92"/>
        <v>1</v>
      </c>
      <c r="S424" s="4" t="str">
        <f t="shared" si="90"/>
        <v>1</v>
      </c>
      <c r="T424" s="4">
        <f t="shared" si="93"/>
        <v>0</v>
      </c>
      <c r="U424" s="29"/>
      <c r="V424" s="30"/>
      <c r="W424" s="30"/>
      <c r="X424" s="30"/>
      <c r="Y424" s="30"/>
      <c r="Z424" s="30"/>
      <c r="AA424" s="30"/>
      <c r="AB424" s="29"/>
      <c r="AC424" s="29"/>
      <c r="AD424" s="37">
        <f t="shared" si="87"/>
        <v>27505</v>
      </c>
      <c r="AE424" s="3" t="str">
        <f t="shared" ca="1" si="86"/>
        <v>51 Tahun 4 bulan 11 Hari</v>
      </c>
      <c r="AF424" s="38">
        <f t="shared" si="88"/>
        <v>49430</v>
      </c>
    </row>
    <row r="425" spans="1:32" s="7" customFormat="1" ht="35.25" customHeight="1" x14ac:dyDescent="0.35">
      <c r="A425" s="26">
        <f t="shared" si="89"/>
        <v>399</v>
      </c>
      <c r="B425" s="27" t="s">
        <v>1198</v>
      </c>
      <c r="C425" s="26"/>
      <c r="D425" s="50" t="s">
        <v>1251</v>
      </c>
      <c r="E425" s="24" t="s">
        <v>1255</v>
      </c>
      <c r="F425" s="24" t="s">
        <v>43</v>
      </c>
      <c r="G425" s="4" t="s">
        <v>1256</v>
      </c>
      <c r="H425" s="4" t="s">
        <v>1257</v>
      </c>
      <c r="I425" s="33" t="s">
        <v>1258</v>
      </c>
      <c r="J425" s="5" t="s">
        <v>87</v>
      </c>
      <c r="K425" s="3" t="str">
        <f t="shared" ca="1" si="83"/>
        <v xml:space="preserve">4 Tahun 8 bulan </v>
      </c>
      <c r="L425" s="30" t="s">
        <v>88</v>
      </c>
      <c r="M425" s="5">
        <v>44561</v>
      </c>
      <c r="N425" s="3" t="str">
        <f t="shared" ca="1" si="84"/>
        <v xml:space="preserve">4 Tahun 8 bulan </v>
      </c>
      <c r="O425" s="4"/>
      <c r="P425" s="4" t="s">
        <v>35</v>
      </c>
      <c r="Q425" s="4" t="str">
        <f t="shared" si="85"/>
        <v>Laki-Laki</v>
      </c>
      <c r="R425" s="4">
        <f t="shared" si="92"/>
        <v>1</v>
      </c>
      <c r="S425" s="4" t="str">
        <f t="shared" si="90"/>
        <v>1</v>
      </c>
      <c r="T425" s="4">
        <f t="shared" si="93"/>
        <v>0</v>
      </c>
      <c r="U425" s="29"/>
      <c r="V425" s="30" t="s">
        <v>50</v>
      </c>
      <c r="W425" s="30"/>
      <c r="X425" s="30"/>
      <c r="Y425" s="30"/>
      <c r="Z425" s="30"/>
      <c r="AA425" s="30"/>
      <c r="AB425" s="29"/>
      <c r="AC425" s="29"/>
      <c r="AD425" s="37">
        <f t="shared" si="87"/>
        <v>28752</v>
      </c>
      <c r="AE425" s="3" t="str">
        <f t="shared" ca="1" si="86"/>
        <v>47 Tahun 11 bulan 13 Hari</v>
      </c>
      <c r="AF425" s="38">
        <f t="shared" si="88"/>
        <v>50679</v>
      </c>
    </row>
    <row r="426" spans="1:32" s="7" customFormat="1" ht="32.15" customHeight="1" x14ac:dyDescent="0.35">
      <c r="A426" s="26">
        <f t="shared" si="89"/>
        <v>400</v>
      </c>
      <c r="B426" s="27" t="s">
        <v>1198</v>
      </c>
      <c r="C426" s="26"/>
      <c r="D426" s="50" t="s">
        <v>1251</v>
      </c>
      <c r="E426" s="39" t="s">
        <v>108</v>
      </c>
      <c r="F426" s="39"/>
      <c r="G426" s="25"/>
      <c r="H426" s="4"/>
      <c r="I426" s="33"/>
      <c r="J426" s="49"/>
      <c r="K426" s="3" t="str">
        <f t="shared" ca="1" si="83"/>
        <v/>
      </c>
      <c r="L426" s="30" t="s">
        <v>88</v>
      </c>
      <c r="M426" s="49"/>
      <c r="N426" s="3" t="str">
        <f t="shared" ca="1" si="84"/>
        <v/>
      </c>
      <c r="O426" s="35"/>
      <c r="P426" s="4"/>
      <c r="Q426" s="4" t="str">
        <f t="shared" si="85"/>
        <v/>
      </c>
      <c r="R426" s="4">
        <f t="shared" si="92"/>
        <v>1</v>
      </c>
      <c r="S426" s="4" t="str">
        <f t="shared" si="90"/>
        <v>0</v>
      </c>
      <c r="T426" s="4">
        <f t="shared" si="93"/>
        <v>1</v>
      </c>
      <c r="U426" s="29"/>
      <c r="V426" s="30"/>
      <c r="W426" s="30"/>
      <c r="X426" s="30"/>
      <c r="Y426" s="30"/>
      <c r="Z426" s="30"/>
      <c r="AA426" s="30"/>
      <c r="AB426" s="29"/>
      <c r="AC426" s="29"/>
      <c r="AD426" s="37" t="str">
        <f t="shared" si="87"/>
        <v/>
      </c>
      <c r="AE426" s="3" t="str">
        <f t="shared" ca="1" si="86"/>
        <v/>
      </c>
      <c r="AF426" s="38" t="str">
        <f t="shared" si="88"/>
        <v/>
      </c>
    </row>
    <row r="427" spans="1:32" s="7" customFormat="1" ht="32.15" customHeight="1" x14ac:dyDescent="0.35">
      <c r="A427" s="26">
        <f t="shared" si="89"/>
        <v>401</v>
      </c>
      <c r="B427" s="27" t="s">
        <v>1198</v>
      </c>
      <c r="C427" s="256" t="s">
        <v>1259</v>
      </c>
      <c r="D427" s="257"/>
      <c r="E427" s="97" t="s">
        <v>640</v>
      </c>
      <c r="F427" s="24" t="s">
        <v>43</v>
      </c>
      <c r="G427" s="99" t="s">
        <v>641</v>
      </c>
      <c r="H427" s="4" t="s">
        <v>419</v>
      </c>
      <c r="I427" s="36" t="s">
        <v>1961</v>
      </c>
      <c r="J427" s="5">
        <v>46087</v>
      </c>
      <c r="K427" s="3" t="str">
        <f t="shared" ca="1" si="83"/>
        <v xml:space="preserve">0 Tahun 5 bulan </v>
      </c>
      <c r="L427" s="30" t="s">
        <v>346</v>
      </c>
      <c r="M427" s="5">
        <v>46087</v>
      </c>
      <c r="N427" s="3" t="str">
        <f t="shared" ca="1" si="84"/>
        <v xml:space="preserve">0 Tahun 5 bulan </v>
      </c>
      <c r="O427" s="56"/>
      <c r="P427" s="4" t="s">
        <v>35</v>
      </c>
      <c r="Q427" s="4" t="str">
        <f t="shared" si="85"/>
        <v>Laki-Laki</v>
      </c>
      <c r="R427" s="4">
        <f t="shared" si="92"/>
        <v>1</v>
      </c>
      <c r="S427" s="4" t="str">
        <f t="shared" si="90"/>
        <v>1</v>
      </c>
      <c r="T427" s="4">
        <f t="shared" si="93"/>
        <v>0</v>
      </c>
      <c r="U427" s="29"/>
      <c r="V427" s="30" t="s">
        <v>50</v>
      </c>
      <c r="W427" s="30"/>
      <c r="X427" s="30"/>
      <c r="Y427" s="30"/>
      <c r="Z427" s="30"/>
      <c r="AA427" s="30"/>
      <c r="AB427" s="29"/>
      <c r="AC427" s="29"/>
      <c r="AD427" s="37">
        <f t="shared" si="87"/>
        <v>30022</v>
      </c>
      <c r="AE427" s="3" t="str">
        <f t="shared" ca="1" si="86"/>
        <v>44 Tahun 5 bulan 20 Hari</v>
      </c>
      <c r="AF427" s="38">
        <f t="shared" si="88"/>
        <v>51957</v>
      </c>
    </row>
    <row r="428" spans="1:32" s="7" customFormat="1" ht="32.15" customHeight="1" x14ac:dyDescent="0.35">
      <c r="A428" s="26">
        <f t="shared" si="89"/>
        <v>402</v>
      </c>
      <c r="B428" s="27" t="s">
        <v>1198</v>
      </c>
      <c r="C428" s="26"/>
      <c r="D428" s="50" t="s">
        <v>1261</v>
      </c>
      <c r="E428" s="24" t="s">
        <v>1262</v>
      </c>
      <c r="F428" s="24" t="s">
        <v>43</v>
      </c>
      <c r="G428" s="3" t="s">
        <v>1260</v>
      </c>
      <c r="H428" s="4" t="s">
        <v>1263</v>
      </c>
      <c r="I428" s="33" t="s">
        <v>1264</v>
      </c>
      <c r="J428" s="5" t="s">
        <v>87</v>
      </c>
      <c r="K428" s="3" t="str">
        <f t="shared" ca="1" si="83"/>
        <v xml:space="preserve">4 Tahun 8 bulan </v>
      </c>
      <c r="L428" s="30" t="s">
        <v>88</v>
      </c>
      <c r="M428" s="5" t="s">
        <v>87</v>
      </c>
      <c r="N428" s="3" t="str">
        <f t="shared" ca="1" si="84"/>
        <v xml:space="preserve">4 Tahun 8 bulan </v>
      </c>
      <c r="O428" s="4"/>
      <c r="P428" s="4" t="s">
        <v>35</v>
      </c>
      <c r="Q428" s="4" t="str">
        <f t="shared" si="85"/>
        <v>Laki-Laki</v>
      </c>
      <c r="R428" s="4">
        <f t="shared" si="92"/>
        <v>1</v>
      </c>
      <c r="S428" s="4" t="str">
        <f t="shared" si="90"/>
        <v>1</v>
      </c>
      <c r="T428" s="4">
        <f t="shared" si="93"/>
        <v>0</v>
      </c>
      <c r="U428" s="29"/>
      <c r="V428" s="30" t="s">
        <v>50</v>
      </c>
      <c r="W428" s="30"/>
      <c r="X428" s="30"/>
      <c r="Y428" s="30"/>
      <c r="Z428" s="30"/>
      <c r="AA428" s="30"/>
      <c r="AB428" s="29"/>
      <c r="AC428" s="29"/>
      <c r="AD428" s="37">
        <f t="shared" si="87"/>
        <v>26486</v>
      </c>
      <c r="AE428" s="3" t="str">
        <f t="shared" ca="1" si="86"/>
        <v>54 Tahun 1 bulan 26 Hari</v>
      </c>
      <c r="AF428" s="38">
        <f t="shared" si="88"/>
        <v>48427</v>
      </c>
    </row>
    <row r="429" spans="1:32" s="7" customFormat="1" ht="32.15" customHeight="1" x14ac:dyDescent="0.35">
      <c r="A429" s="26">
        <f t="shared" si="89"/>
        <v>403</v>
      </c>
      <c r="B429" s="27" t="s">
        <v>1198</v>
      </c>
      <c r="C429" s="26"/>
      <c r="D429" s="50" t="s">
        <v>1265</v>
      </c>
      <c r="E429" s="24" t="s">
        <v>1266</v>
      </c>
      <c r="F429" s="24" t="s">
        <v>43</v>
      </c>
      <c r="G429" s="3" t="s">
        <v>1267</v>
      </c>
      <c r="H429" s="4" t="s">
        <v>1268</v>
      </c>
      <c r="I429" s="33" t="s">
        <v>1269</v>
      </c>
      <c r="J429" s="5" t="s">
        <v>87</v>
      </c>
      <c r="K429" s="3" t="str">
        <f t="shared" ca="1" si="83"/>
        <v xml:space="preserve">4 Tahun 8 bulan </v>
      </c>
      <c r="L429" s="30" t="s">
        <v>88</v>
      </c>
      <c r="M429" s="5" t="s">
        <v>87</v>
      </c>
      <c r="N429" s="3" t="str">
        <f t="shared" ca="1" si="84"/>
        <v xml:space="preserve">4 Tahun 8 bulan </v>
      </c>
      <c r="O429" s="4"/>
      <c r="P429" s="4" t="s">
        <v>35</v>
      </c>
      <c r="Q429" s="4" t="str">
        <f t="shared" si="85"/>
        <v/>
      </c>
      <c r="R429" s="4">
        <f t="shared" si="92"/>
        <v>1</v>
      </c>
      <c r="S429" s="4" t="str">
        <f t="shared" si="90"/>
        <v>1</v>
      </c>
      <c r="T429" s="4">
        <f t="shared" si="93"/>
        <v>0</v>
      </c>
      <c r="U429" s="29"/>
      <c r="V429" s="30" t="s">
        <v>50</v>
      </c>
      <c r="W429" s="30"/>
      <c r="X429" s="30"/>
      <c r="Y429" s="30"/>
      <c r="Z429" s="30"/>
      <c r="AA429" s="30"/>
      <c r="AB429" s="29"/>
      <c r="AC429" s="29"/>
      <c r="AD429" s="37">
        <f t="shared" si="87"/>
        <v>29270</v>
      </c>
      <c r="AE429" s="3" t="str">
        <f t="shared" ca="1" si="86"/>
        <v>46 Tahun 6 bulan 13 Hari</v>
      </c>
      <c r="AF429" s="38">
        <f t="shared" si="88"/>
        <v>51196</v>
      </c>
    </row>
    <row r="430" spans="1:32" s="7" customFormat="1" ht="32.15" customHeight="1" x14ac:dyDescent="0.35">
      <c r="A430" s="26">
        <f t="shared" si="89"/>
        <v>404</v>
      </c>
      <c r="B430" s="27" t="s">
        <v>1198</v>
      </c>
      <c r="C430" s="26"/>
      <c r="D430" s="50" t="s">
        <v>1261</v>
      </c>
      <c r="E430" s="51" t="s">
        <v>108</v>
      </c>
      <c r="F430" s="51"/>
      <c r="G430" s="59"/>
      <c r="H430" s="4"/>
      <c r="I430" s="33"/>
      <c r="J430" s="49"/>
      <c r="K430" s="3" t="str">
        <f t="shared" ca="1" si="83"/>
        <v/>
      </c>
      <c r="L430" s="30" t="s">
        <v>88</v>
      </c>
      <c r="M430" s="49"/>
      <c r="N430" s="3" t="str">
        <f t="shared" ca="1" si="84"/>
        <v/>
      </c>
      <c r="O430" s="4"/>
      <c r="P430" s="4"/>
      <c r="Q430" s="4" t="str">
        <f t="shared" si="85"/>
        <v/>
      </c>
      <c r="R430" s="4">
        <f t="shared" si="92"/>
        <v>1</v>
      </c>
      <c r="S430" s="4" t="str">
        <f t="shared" si="90"/>
        <v>0</v>
      </c>
      <c r="T430" s="4">
        <f t="shared" si="93"/>
        <v>1</v>
      </c>
      <c r="U430" s="29"/>
      <c r="V430" s="30"/>
      <c r="W430" s="30"/>
      <c r="X430" s="30"/>
      <c r="Y430" s="30"/>
      <c r="Z430" s="30"/>
      <c r="AA430" s="30"/>
      <c r="AB430" s="29"/>
      <c r="AC430" s="29"/>
      <c r="AD430" s="37" t="str">
        <f t="shared" si="87"/>
        <v/>
      </c>
      <c r="AE430" s="3" t="str">
        <f t="shared" ca="1" si="86"/>
        <v/>
      </c>
      <c r="AF430" s="38" t="str">
        <f t="shared" si="88"/>
        <v/>
      </c>
    </row>
    <row r="431" spans="1:32" s="7" customFormat="1" ht="32.15" customHeight="1" x14ac:dyDescent="0.35">
      <c r="A431" s="26"/>
      <c r="B431" s="27" t="s">
        <v>1270</v>
      </c>
      <c r="C431" s="280" t="s">
        <v>1271</v>
      </c>
      <c r="D431" s="281"/>
      <c r="E431" s="24"/>
      <c r="F431" s="24"/>
      <c r="G431" s="4"/>
      <c r="H431" s="4"/>
      <c r="I431" s="33"/>
      <c r="J431" s="5"/>
      <c r="K431" s="3" t="str">
        <f t="shared" ca="1" si="83"/>
        <v/>
      </c>
      <c r="L431" s="30"/>
      <c r="M431" s="5"/>
      <c r="N431" s="3" t="str">
        <f t="shared" ca="1" si="84"/>
        <v/>
      </c>
      <c r="O431" s="4"/>
      <c r="P431" s="4"/>
      <c r="Q431" s="4" t="str">
        <f t="shared" si="85"/>
        <v/>
      </c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37" t="str">
        <f t="shared" si="87"/>
        <v/>
      </c>
      <c r="AE431" s="3" t="str">
        <f t="shared" ca="1" si="86"/>
        <v/>
      </c>
      <c r="AF431" s="38" t="str">
        <f t="shared" si="88"/>
        <v/>
      </c>
    </row>
    <row r="432" spans="1:32" s="7" customFormat="1" ht="32.15" customHeight="1" x14ac:dyDescent="0.35">
      <c r="A432" s="26">
        <f>A430+1</f>
        <v>405</v>
      </c>
      <c r="B432" s="27" t="s">
        <v>1270</v>
      </c>
      <c r="C432" s="278" t="s">
        <v>1272</v>
      </c>
      <c r="D432" s="279"/>
      <c r="E432" s="24" t="s">
        <v>1277</v>
      </c>
      <c r="F432" s="24" t="s">
        <v>71</v>
      </c>
      <c r="G432" s="3" t="s">
        <v>1278</v>
      </c>
      <c r="H432" s="4" t="s">
        <v>112</v>
      </c>
      <c r="I432" s="33" t="s">
        <v>1279</v>
      </c>
      <c r="J432" s="5">
        <v>46260</v>
      </c>
      <c r="K432" s="3" t="str">
        <f t="shared" ca="1" si="83"/>
        <v xml:space="preserve">0 Tahun 0 bulan </v>
      </c>
      <c r="L432" s="30" t="s">
        <v>56</v>
      </c>
      <c r="M432" s="5">
        <v>46260</v>
      </c>
      <c r="N432" s="3" t="str">
        <f t="shared" ca="1" si="84"/>
        <v xml:space="preserve">0 Tahun 0 bulan </v>
      </c>
      <c r="O432" s="4" t="s">
        <v>155</v>
      </c>
      <c r="P432" s="4" t="s">
        <v>35</v>
      </c>
      <c r="Q432" s="4" t="str">
        <f t="shared" si="85"/>
        <v>Laki-Laki</v>
      </c>
      <c r="R432" s="4">
        <f>R430</f>
        <v>1</v>
      </c>
      <c r="S432" s="4" t="str">
        <f t="shared" ref="S432:S452" si="94">IF(E432="LOWONG","0","1")</f>
        <v>1</v>
      </c>
      <c r="T432" s="4">
        <f t="shared" si="93"/>
        <v>0</v>
      </c>
      <c r="U432" s="29"/>
      <c r="V432" s="30" t="s">
        <v>50</v>
      </c>
      <c r="W432" s="30"/>
      <c r="X432" s="30"/>
      <c r="Y432" s="30"/>
      <c r="Z432" s="30"/>
      <c r="AA432" s="30"/>
      <c r="AB432" s="29"/>
      <c r="AC432" s="29"/>
      <c r="AD432" s="37">
        <f t="shared" si="87"/>
        <v>27922</v>
      </c>
      <c r="AE432" s="3" t="str">
        <f t="shared" ca="1" si="86"/>
        <v>50 Tahun 2 bulan 21 Hari</v>
      </c>
      <c r="AF432" s="38">
        <f t="shared" si="88"/>
        <v>49857</v>
      </c>
    </row>
    <row r="433" spans="1:32" s="7" customFormat="1" ht="32.15" customHeight="1" x14ac:dyDescent="0.35">
      <c r="A433" s="26">
        <f t="shared" si="89"/>
        <v>406</v>
      </c>
      <c r="B433" s="27" t="s">
        <v>1270</v>
      </c>
      <c r="C433" s="256" t="s">
        <v>1276</v>
      </c>
      <c r="D433" s="257"/>
      <c r="E433" s="24" t="s">
        <v>1277</v>
      </c>
      <c r="F433" s="24" t="s">
        <v>43</v>
      </c>
      <c r="G433" s="3" t="s">
        <v>1278</v>
      </c>
      <c r="H433" s="4" t="s">
        <v>112</v>
      </c>
      <c r="I433" s="33" t="s">
        <v>1279</v>
      </c>
      <c r="J433" s="5" t="s">
        <v>369</v>
      </c>
      <c r="K433" s="3" t="str">
        <f t="shared" ca="1" si="83"/>
        <v xml:space="preserve">3 Tahun 11 bulan </v>
      </c>
      <c r="L433" s="30" t="s">
        <v>79</v>
      </c>
      <c r="M433" s="5" t="s">
        <v>369</v>
      </c>
      <c r="N433" s="3" t="str">
        <f t="shared" ca="1" si="84"/>
        <v xml:space="preserve">3 Tahun 11 bulan </v>
      </c>
      <c r="O433" s="4" t="s">
        <v>155</v>
      </c>
      <c r="P433" s="4" t="s">
        <v>35</v>
      </c>
      <c r="Q433" s="4" t="str">
        <f t="shared" si="85"/>
        <v>Laki-Laki</v>
      </c>
      <c r="R433" s="4">
        <f t="shared" si="92"/>
        <v>1</v>
      </c>
      <c r="S433" s="4" t="str">
        <f t="shared" si="94"/>
        <v>1</v>
      </c>
      <c r="T433" s="4">
        <f t="shared" si="93"/>
        <v>0</v>
      </c>
      <c r="U433" s="29"/>
      <c r="V433" s="30" t="s">
        <v>50</v>
      </c>
      <c r="W433" s="30"/>
      <c r="X433" s="30"/>
      <c r="Y433" s="30"/>
      <c r="Z433" s="30"/>
      <c r="AA433" s="30"/>
      <c r="AB433" s="29"/>
      <c r="AC433" s="29"/>
      <c r="AD433" s="37">
        <f t="shared" si="87"/>
        <v>27922</v>
      </c>
      <c r="AE433" s="3" t="str">
        <f t="shared" ca="1" si="86"/>
        <v>50 Tahun 2 bulan 21 Hari</v>
      </c>
      <c r="AF433" s="38">
        <f t="shared" si="88"/>
        <v>49857</v>
      </c>
    </row>
    <row r="434" spans="1:32" s="7" customFormat="1" ht="32.15" customHeight="1" x14ac:dyDescent="0.35">
      <c r="A434" s="26">
        <f t="shared" si="89"/>
        <v>407</v>
      </c>
      <c r="B434" s="27" t="s">
        <v>1270</v>
      </c>
      <c r="C434" s="26"/>
      <c r="D434" s="50" t="s">
        <v>1280</v>
      </c>
      <c r="E434" s="100" t="s">
        <v>108</v>
      </c>
      <c r="F434" s="24"/>
      <c r="G434" s="4"/>
      <c r="H434" s="4"/>
      <c r="I434" s="4"/>
      <c r="J434" s="5"/>
      <c r="K434" s="3" t="str">
        <f t="shared" ca="1" si="83"/>
        <v/>
      </c>
      <c r="L434" s="30" t="s">
        <v>88</v>
      </c>
      <c r="M434" s="5"/>
      <c r="N434" s="3" t="str">
        <f t="shared" ca="1" si="84"/>
        <v/>
      </c>
      <c r="O434" s="4"/>
      <c r="P434" s="4" t="s">
        <v>35</v>
      </c>
      <c r="Q434" s="4" t="str">
        <f t="shared" si="85"/>
        <v/>
      </c>
      <c r="R434" s="4">
        <f t="shared" si="92"/>
        <v>1</v>
      </c>
      <c r="S434" s="4" t="str">
        <f t="shared" si="94"/>
        <v>0</v>
      </c>
      <c r="T434" s="4">
        <f t="shared" si="93"/>
        <v>1</v>
      </c>
      <c r="U434" s="29"/>
      <c r="V434" s="30" t="s">
        <v>50</v>
      </c>
      <c r="W434" s="30"/>
      <c r="X434" s="30"/>
      <c r="Y434" s="30"/>
      <c r="Z434" s="30"/>
      <c r="AA434" s="30"/>
      <c r="AB434" s="29"/>
      <c r="AC434" s="29"/>
      <c r="AD434" s="37" t="str">
        <f t="shared" si="87"/>
        <v/>
      </c>
      <c r="AE434" s="3" t="str">
        <f t="shared" ca="1" si="86"/>
        <v/>
      </c>
      <c r="AF434" s="38" t="str">
        <f t="shared" si="88"/>
        <v/>
      </c>
    </row>
    <row r="435" spans="1:32" s="7" customFormat="1" ht="32.15" customHeight="1" x14ac:dyDescent="0.35">
      <c r="A435" s="26">
        <f t="shared" si="89"/>
        <v>408</v>
      </c>
      <c r="B435" s="27" t="s">
        <v>1270</v>
      </c>
      <c r="C435" s="26"/>
      <c r="D435" s="50" t="s">
        <v>1284</v>
      </c>
      <c r="E435" s="24" t="s">
        <v>1285</v>
      </c>
      <c r="F435" s="24" t="s">
        <v>43</v>
      </c>
      <c r="G435" s="4" t="s">
        <v>2970</v>
      </c>
      <c r="H435" s="4" t="s">
        <v>2971</v>
      </c>
      <c r="I435" s="36" t="s">
        <v>46</v>
      </c>
      <c r="J435" s="5">
        <v>45993</v>
      </c>
      <c r="K435" s="3" t="str">
        <f t="shared" ca="1" si="83"/>
        <v xml:space="preserve">0 Tahun 8 bulan </v>
      </c>
      <c r="L435" s="30" t="s">
        <v>200</v>
      </c>
      <c r="M435" s="5">
        <v>45993</v>
      </c>
      <c r="N435" s="3" t="str">
        <f t="shared" ca="1" si="84"/>
        <v xml:space="preserve">0 Tahun 8 bulan </v>
      </c>
      <c r="O435" s="4"/>
      <c r="P435" s="4" t="s">
        <v>35</v>
      </c>
      <c r="Q435" s="4" t="str">
        <f t="shared" si="85"/>
        <v>Perempuan</v>
      </c>
      <c r="R435" s="4">
        <f t="shared" si="92"/>
        <v>1</v>
      </c>
      <c r="S435" s="4" t="str">
        <f t="shared" si="94"/>
        <v>1</v>
      </c>
      <c r="T435" s="4">
        <f t="shared" si="93"/>
        <v>0</v>
      </c>
      <c r="U435" s="29"/>
      <c r="V435" s="30" t="s">
        <v>50</v>
      </c>
      <c r="W435" s="30"/>
      <c r="X435" s="30"/>
      <c r="Y435" s="30"/>
      <c r="Z435" s="30"/>
      <c r="AA435" s="30"/>
      <c r="AB435" s="29"/>
      <c r="AC435" s="29"/>
      <c r="AD435" s="37">
        <f t="shared" si="87"/>
        <v>30115</v>
      </c>
      <c r="AE435" s="3" t="str">
        <f t="shared" ca="1" si="86"/>
        <v>44 Tahun 2 bulan 19 Hari</v>
      </c>
      <c r="AF435" s="38">
        <f t="shared" si="88"/>
        <v>52048</v>
      </c>
    </row>
    <row r="436" spans="1:32" s="7" customFormat="1" ht="32.15" customHeight="1" x14ac:dyDescent="0.35">
      <c r="A436" s="26">
        <f t="shared" si="89"/>
        <v>409</v>
      </c>
      <c r="B436" s="27" t="s">
        <v>1270</v>
      </c>
      <c r="C436" s="26"/>
      <c r="D436" s="50" t="s">
        <v>1286</v>
      </c>
      <c r="E436" s="24" t="s">
        <v>1287</v>
      </c>
      <c r="F436" s="24" t="s">
        <v>43</v>
      </c>
      <c r="G436" s="3" t="s">
        <v>1288</v>
      </c>
      <c r="H436" s="56" t="s">
        <v>891</v>
      </c>
      <c r="I436" s="33" t="s">
        <v>368</v>
      </c>
      <c r="J436" s="5">
        <v>44561</v>
      </c>
      <c r="K436" s="3" t="str">
        <f t="shared" ca="1" si="83"/>
        <v xml:space="preserve">4 Tahun 8 bulan </v>
      </c>
      <c r="L436" s="30" t="s">
        <v>88</v>
      </c>
      <c r="M436" s="5">
        <v>44561</v>
      </c>
      <c r="N436" s="3" t="str">
        <f t="shared" ca="1" si="84"/>
        <v xml:space="preserve">4 Tahun 8 bulan </v>
      </c>
      <c r="O436" s="4"/>
      <c r="P436" s="4" t="s">
        <v>35</v>
      </c>
      <c r="Q436" s="4" t="str">
        <f t="shared" si="85"/>
        <v>Perempuan</v>
      </c>
      <c r="R436" s="4">
        <f t="shared" si="92"/>
        <v>1</v>
      </c>
      <c r="S436" s="4" t="str">
        <f t="shared" si="94"/>
        <v>1</v>
      </c>
      <c r="T436" s="4">
        <f t="shared" si="93"/>
        <v>0</v>
      </c>
      <c r="U436" s="29"/>
      <c r="V436" s="30"/>
      <c r="W436" s="30"/>
      <c r="X436" s="30"/>
      <c r="Y436" s="30"/>
      <c r="Z436" s="30"/>
      <c r="AA436" s="30"/>
      <c r="AB436" s="29"/>
      <c r="AC436" s="29"/>
      <c r="AD436" s="37">
        <f t="shared" si="87"/>
        <v>29951</v>
      </c>
      <c r="AE436" s="3" t="str">
        <f t="shared" ca="1" si="86"/>
        <v>44 Tahun 8 bulan 1 Hari</v>
      </c>
      <c r="AF436" s="38">
        <f t="shared" si="88"/>
        <v>51867</v>
      </c>
    </row>
    <row r="437" spans="1:32" s="7" customFormat="1" ht="32.15" customHeight="1" x14ac:dyDescent="0.35">
      <c r="A437" s="26">
        <f t="shared" si="89"/>
        <v>410</v>
      </c>
      <c r="B437" s="27" t="s">
        <v>1270</v>
      </c>
      <c r="C437" s="256" t="s">
        <v>1289</v>
      </c>
      <c r="D437" s="257"/>
      <c r="E437" s="39" t="s">
        <v>1290</v>
      </c>
      <c r="F437" s="24" t="s">
        <v>43</v>
      </c>
      <c r="G437" s="40" t="s">
        <v>1291</v>
      </c>
      <c r="H437" s="4" t="s">
        <v>1275</v>
      </c>
      <c r="I437" s="25" t="s">
        <v>1292</v>
      </c>
      <c r="J437" s="5" t="s">
        <v>98</v>
      </c>
      <c r="K437" s="3" t="str">
        <f t="shared" ca="1" si="83"/>
        <v xml:space="preserve">3 Tahun 0 bulan </v>
      </c>
      <c r="L437" s="30" t="s">
        <v>346</v>
      </c>
      <c r="M437" s="5" t="s">
        <v>98</v>
      </c>
      <c r="N437" s="3" t="str">
        <f t="shared" ca="1" si="84"/>
        <v xml:space="preserve">3 Tahun 0 bulan </v>
      </c>
      <c r="O437" s="56"/>
      <c r="P437" s="4"/>
      <c r="Q437" s="4" t="str">
        <f t="shared" si="85"/>
        <v>Laki-Laki</v>
      </c>
      <c r="R437" s="4">
        <f t="shared" si="92"/>
        <v>1</v>
      </c>
      <c r="S437" s="4" t="str">
        <f t="shared" si="94"/>
        <v>1</v>
      </c>
      <c r="T437" s="4">
        <f t="shared" si="93"/>
        <v>0</v>
      </c>
      <c r="U437" s="29"/>
      <c r="V437" s="30"/>
      <c r="W437" s="30"/>
      <c r="X437" s="30"/>
      <c r="Y437" s="30"/>
      <c r="Z437" s="30"/>
      <c r="AA437" s="30"/>
      <c r="AB437" s="29"/>
      <c r="AC437" s="29"/>
      <c r="AD437" s="37">
        <f t="shared" si="87"/>
        <v>28335</v>
      </c>
      <c r="AE437" s="3" t="str">
        <f t="shared" ca="1" si="86"/>
        <v>49 Tahun 1 bulan 3 Hari</v>
      </c>
      <c r="AF437" s="38">
        <f t="shared" si="88"/>
        <v>50253</v>
      </c>
    </row>
    <row r="438" spans="1:32" s="7" customFormat="1" ht="32.15" customHeight="1" x14ac:dyDescent="0.35">
      <c r="A438" s="26">
        <f t="shared" si="89"/>
        <v>411</v>
      </c>
      <c r="B438" s="27" t="s">
        <v>1270</v>
      </c>
      <c r="C438" s="26"/>
      <c r="D438" s="50" t="s">
        <v>1293</v>
      </c>
      <c r="E438" s="24" t="s">
        <v>108</v>
      </c>
      <c r="F438" s="24"/>
      <c r="G438" s="3"/>
      <c r="H438" s="4"/>
      <c r="I438" s="33"/>
      <c r="J438" s="49"/>
      <c r="K438" s="3" t="str">
        <f t="shared" ca="1" si="83"/>
        <v/>
      </c>
      <c r="L438" s="30" t="s">
        <v>88</v>
      </c>
      <c r="M438" s="49"/>
      <c r="N438" s="3" t="str">
        <f t="shared" ca="1" si="84"/>
        <v/>
      </c>
      <c r="O438" s="4"/>
      <c r="P438" s="4"/>
      <c r="Q438" s="4" t="str">
        <f t="shared" si="85"/>
        <v/>
      </c>
      <c r="R438" s="4">
        <f t="shared" si="92"/>
        <v>1</v>
      </c>
      <c r="S438" s="4" t="str">
        <f t="shared" si="94"/>
        <v>0</v>
      </c>
      <c r="T438" s="4">
        <f t="shared" si="93"/>
        <v>1</v>
      </c>
      <c r="U438" s="29"/>
      <c r="V438" s="30"/>
      <c r="W438" s="30"/>
      <c r="X438" s="30"/>
      <c r="Y438" s="30"/>
      <c r="Z438" s="30"/>
      <c r="AA438" s="30"/>
      <c r="AB438" s="29"/>
      <c r="AC438" s="29"/>
      <c r="AD438" s="37" t="str">
        <f t="shared" si="87"/>
        <v/>
      </c>
      <c r="AE438" s="3" t="str">
        <f t="shared" ca="1" si="86"/>
        <v/>
      </c>
      <c r="AF438" s="38" t="str">
        <f t="shared" si="88"/>
        <v/>
      </c>
    </row>
    <row r="439" spans="1:32" s="7" customFormat="1" ht="32.15" customHeight="1" x14ac:dyDescent="0.35">
      <c r="A439" s="26">
        <f t="shared" si="89"/>
        <v>412</v>
      </c>
      <c r="B439" s="27" t="s">
        <v>1270</v>
      </c>
      <c r="C439" s="26"/>
      <c r="D439" s="50" t="s">
        <v>1293</v>
      </c>
      <c r="E439" s="39" t="s">
        <v>1294</v>
      </c>
      <c r="F439" s="24" t="s">
        <v>43</v>
      </c>
      <c r="G439" s="25" t="s">
        <v>1295</v>
      </c>
      <c r="H439" s="4" t="s">
        <v>1296</v>
      </c>
      <c r="I439" s="25" t="s">
        <v>1297</v>
      </c>
      <c r="J439" s="5" t="s">
        <v>87</v>
      </c>
      <c r="K439" s="3" t="str">
        <f t="shared" ca="1" si="83"/>
        <v xml:space="preserve">4 Tahun 8 bulan </v>
      </c>
      <c r="L439" s="30" t="s">
        <v>88</v>
      </c>
      <c r="M439" s="5">
        <v>44561</v>
      </c>
      <c r="N439" s="3" t="str">
        <f t="shared" ca="1" si="84"/>
        <v xml:space="preserve">4 Tahun 8 bulan </v>
      </c>
      <c r="O439" s="35"/>
      <c r="P439" s="4" t="s">
        <v>35</v>
      </c>
      <c r="Q439" s="4" t="str">
        <f t="shared" si="85"/>
        <v>Perempuan</v>
      </c>
      <c r="R439" s="4">
        <f t="shared" si="92"/>
        <v>1</v>
      </c>
      <c r="S439" s="4" t="str">
        <f t="shared" si="94"/>
        <v>1</v>
      </c>
      <c r="T439" s="4">
        <f t="shared" si="93"/>
        <v>0</v>
      </c>
      <c r="U439" s="29"/>
      <c r="V439" s="30"/>
      <c r="W439" s="30"/>
      <c r="X439" s="30"/>
      <c r="Y439" s="30"/>
      <c r="Z439" s="30"/>
      <c r="AA439" s="30"/>
      <c r="AB439" s="29"/>
      <c r="AC439" s="29"/>
      <c r="AD439" s="37">
        <f t="shared" si="87"/>
        <v>28789</v>
      </c>
      <c r="AE439" s="3" t="str">
        <f t="shared" ca="1" si="86"/>
        <v>47 Tahun 10 bulan 6 Hari</v>
      </c>
      <c r="AF439" s="38">
        <f t="shared" si="88"/>
        <v>50710</v>
      </c>
    </row>
    <row r="440" spans="1:32" s="7" customFormat="1" ht="32.15" customHeight="1" x14ac:dyDescent="0.35">
      <c r="A440" s="26">
        <f t="shared" si="89"/>
        <v>413</v>
      </c>
      <c r="B440" s="27" t="s">
        <v>1270</v>
      </c>
      <c r="C440" s="26"/>
      <c r="D440" s="50" t="s">
        <v>1298</v>
      </c>
      <c r="E440" s="39" t="s">
        <v>1299</v>
      </c>
      <c r="F440" s="24" t="s">
        <v>43</v>
      </c>
      <c r="G440" s="25" t="s">
        <v>1300</v>
      </c>
      <c r="H440" s="4" t="s">
        <v>159</v>
      </c>
      <c r="I440" s="25" t="s">
        <v>107</v>
      </c>
      <c r="J440" s="5" t="s">
        <v>87</v>
      </c>
      <c r="K440" s="3" t="str">
        <f t="shared" ca="1" si="83"/>
        <v xml:space="preserve">4 Tahun 8 bulan </v>
      </c>
      <c r="L440" s="30" t="s">
        <v>88</v>
      </c>
      <c r="M440" s="5">
        <v>44561</v>
      </c>
      <c r="N440" s="3" t="str">
        <f t="shared" ca="1" si="84"/>
        <v xml:space="preserve">4 Tahun 8 bulan </v>
      </c>
      <c r="O440" s="35"/>
      <c r="P440" s="4" t="s">
        <v>35</v>
      </c>
      <c r="Q440" s="4" t="str">
        <f t="shared" si="85"/>
        <v>Laki-Laki</v>
      </c>
      <c r="R440" s="4">
        <f t="shared" si="92"/>
        <v>1</v>
      </c>
      <c r="S440" s="4" t="str">
        <f t="shared" si="94"/>
        <v>1</v>
      </c>
      <c r="T440" s="4">
        <f t="shared" si="93"/>
        <v>0</v>
      </c>
      <c r="U440" s="29"/>
      <c r="V440" s="30" t="s">
        <v>50</v>
      </c>
      <c r="W440" s="30"/>
      <c r="X440" s="30"/>
      <c r="Y440" s="30"/>
      <c r="Z440" s="30"/>
      <c r="AA440" s="30"/>
      <c r="AB440" s="29"/>
      <c r="AC440" s="29"/>
      <c r="AD440" s="37">
        <f t="shared" si="87"/>
        <v>31614</v>
      </c>
      <c r="AE440" s="3" t="str">
        <f t="shared" ca="1" si="86"/>
        <v>40 Tahun 1 bulan 11 Hari</v>
      </c>
      <c r="AF440" s="38">
        <f t="shared" si="88"/>
        <v>53540</v>
      </c>
    </row>
    <row r="441" spans="1:32" s="7" customFormat="1" ht="32.15" customHeight="1" x14ac:dyDescent="0.35">
      <c r="A441" s="26">
        <f t="shared" si="89"/>
        <v>414</v>
      </c>
      <c r="B441" s="27" t="s">
        <v>1270</v>
      </c>
      <c r="C441" s="256" t="s">
        <v>1301</v>
      </c>
      <c r="D441" s="257"/>
      <c r="E441" s="24" t="s">
        <v>1302</v>
      </c>
      <c r="F441" s="24" t="s">
        <v>43</v>
      </c>
      <c r="G441" s="3" t="s">
        <v>1303</v>
      </c>
      <c r="H441" s="4" t="s">
        <v>1304</v>
      </c>
      <c r="I441" s="33" t="s">
        <v>1305</v>
      </c>
      <c r="J441" s="5" t="s">
        <v>98</v>
      </c>
      <c r="K441" s="3" t="str">
        <f t="shared" ca="1" si="83"/>
        <v xml:space="preserve">3 Tahun 0 bulan </v>
      </c>
      <c r="L441" s="30" t="s">
        <v>346</v>
      </c>
      <c r="M441" s="5" t="s">
        <v>98</v>
      </c>
      <c r="N441" s="3" t="str">
        <f t="shared" ca="1" si="84"/>
        <v xml:space="preserve">3 Tahun 0 bulan </v>
      </c>
      <c r="O441" s="35"/>
      <c r="P441" s="4" t="s">
        <v>35</v>
      </c>
      <c r="Q441" s="4" t="str">
        <f t="shared" si="85"/>
        <v>Laki-Laki</v>
      </c>
      <c r="R441" s="4">
        <f t="shared" si="92"/>
        <v>1</v>
      </c>
      <c r="S441" s="4" t="str">
        <f t="shared" si="94"/>
        <v>1</v>
      </c>
      <c r="T441" s="4">
        <f t="shared" si="93"/>
        <v>0</v>
      </c>
      <c r="U441" s="29"/>
      <c r="V441" s="30" t="s">
        <v>50</v>
      </c>
      <c r="W441" s="30"/>
      <c r="X441" s="30"/>
      <c r="Y441" s="30"/>
      <c r="Z441" s="30"/>
      <c r="AA441" s="30"/>
      <c r="AB441" s="29"/>
      <c r="AC441" s="29"/>
      <c r="AD441" s="37">
        <f t="shared" si="87"/>
        <v>27881</v>
      </c>
      <c r="AE441" s="3" t="str">
        <f t="shared" ca="1" si="86"/>
        <v>50 Tahun 4 bulan 0 Hari</v>
      </c>
      <c r="AF441" s="38">
        <f t="shared" si="88"/>
        <v>49827</v>
      </c>
    </row>
    <row r="442" spans="1:32" s="7" customFormat="1" ht="32.15" customHeight="1" x14ac:dyDescent="0.35">
      <c r="A442" s="26">
        <f t="shared" si="89"/>
        <v>415</v>
      </c>
      <c r="B442" s="27" t="s">
        <v>1270</v>
      </c>
      <c r="C442" s="26"/>
      <c r="D442" s="50" t="s">
        <v>1306</v>
      </c>
      <c r="E442" s="39" t="s">
        <v>1307</v>
      </c>
      <c r="F442" s="24" t="s">
        <v>43</v>
      </c>
      <c r="G442" s="25" t="s">
        <v>1308</v>
      </c>
      <c r="H442" s="4" t="s">
        <v>554</v>
      </c>
      <c r="I442" s="25" t="s">
        <v>138</v>
      </c>
      <c r="J442" s="5">
        <v>44561</v>
      </c>
      <c r="K442" s="3" t="str">
        <f t="shared" ca="1" si="83"/>
        <v xml:space="preserve">4 Tahun 8 bulan </v>
      </c>
      <c r="L442" s="30" t="s">
        <v>88</v>
      </c>
      <c r="M442" s="5">
        <v>44561</v>
      </c>
      <c r="N442" s="3" t="str">
        <f t="shared" ca="1" si="84"/>
        <v xml:space="preserve">4 Tahun 8 bulan </v>
      </c>
      <c r="O442" s="35"/>
      <c r="P442" s="4" t="s">
        <v>35</v>
      </c>
      <c r="Q442" s="4" t="str">
        <f t="shared" si="85"/>
        <v/>
      </c>
      <c r="R442" s="4">
        <f t="shared" si="92"/>
        <v>1</v>
      </c>
      <c r="S442" s="4" t="str">
        <f t="shared" si="94"/>
        <v>1</v>
      </c>
      <c r="T442" s="4">
        <f t="shared" si="93"/>
        <v>0</v>
      </c>
      <c r="U442" s="29"/>
      <c r="V442" s="30" t="s">
        <v>50</v>
      </c>
      <c r="W442" s="30"/>
      <c r="X442" s="30"/>
      <c r="Y442" s="30"/>
      <c r="Z442" s="30"/>
      <c r="AA442" s="30"/>
      <c r="AB442" s="29"/>
      <c r="AC442" s="29"/>
      <c r="AD442" s="37">
        <f t="shared" si="87"/>
        <v>32315</v>
      </c>
      <c r="AE442" s="3" t="str">
        <f t="shared" ca="1" si="86"/>
        <v>38 Tahun 2 bulan 11 Hari</v>
      </c>
      <c r="AF442" s="38">
        <f t="shared" si="88"/>
        <v>54240</v>
      </c>
    </row>
    <row r="443" spans="1:32" s="7" customFormat="1" ht="32.15" customHeight="1" x14ac:dyDescent="0.35">
      <c r="A443" s="26">
        <f t="shared" si="89"/>
        <v>416</v>
      </c>
      <c r="B443" s="27" t="s">
        <v>1270</v>
      </c>
      <c r="C443" s="26"/>
      <c r="D443" s="50" t="s">
        <v>1309</v>
      </c>
      <c r="E443" s="93" t="s">
        <v>1310</v>
      </c>
      <c r="F443" s="24" t="s">
        <v>43</v>
      </c>
      <c r="G443" s="94" t="s">
        <v>1311</v>
      </c>
      <c r="H443" s="98" t="s">
        <v>554</v>
      </c>
      <c r="I443" s="25" t="s">
        <v>107</v>
      </c>
      <c r="J443" s="5">
        <v>44561</v>
      </c>
      <c r="K443" s="3" t="str">
        <f t="shared" ca="1" si="83"/>
        <v xml:space="preserve">4 Tahun 8 bulan </v>
      </c>
      <c r="L443" s="30" t="s">
        <v>88</v>
      </c>
      <c r="M443" s="5">
        <v>44561</v>
      </c>
      <c r="N443" s="3" t="str">
        <f t="shared" ca="1" si="84"/>
        <v xml:space="preserve">4 Tahun 8 bulan </v>
      </c>
      <c r="O443" s="56"/>
      <c r="P443" s="4" t="s">
        <v>35</v>
      </c>
      <c r="Q443" s="4" t="str">
        <f t="shared" si="85"/>
        <v>Laki-Laki</v>
      </c>
      <c r="R443" s="4">
        <f t="shared" si="92"/>
        <v>1</v>
      </c>
      <c r="S443" s="4" t="str">
        <f t="shared" si="94"/>
        <v>1</v>
      </c>
      <c r="T443" s="4">
        <f t="shared" si="93"/>
        <v>0</v>
      </c>
      <c r="U443" s="29"/>
      <c r="V443" s="30" t="s">
        <v>50</v>
      </c>
      <c r="W443" s="30"/>
      <c r="X443" s="30"/>
      <c r="Y443" s="30"/>
      <c r="Z443" s="30"/>
      <c r="AA443" s="30"/>
      <c r="AB443" s="29"/>
      <c r="AC443" s="29"/>
      <c r="AD443" s="37">
        <f t="shared" si="87"/>
        <v>30276</v>
      </c>
      <c r="AE443" s="3" t="str">
        <f t="shared" ca="1" si="86"/>
        <v>43 Tahun 9 bulan 11 Hari</v>
      </c>
      <c r="AF443" s="38">
        <f t="shared" si="88"/>
        <v>52201</v>
      </c>
    </row>
    <row r="444" spans="1:32" s="7" customFormat="1" ht="32.15" customHeight="1" x14ac:dyDescent="0.35">
      <c r="A444" s="26">
        <f t="shared" si="89"/>
        <v>417</v>
      </c>
      <c r="B444" s="27" t="s">
        <v>1270</v>
      </c>
      <c r="C444" s="26"/>
      <c r="D444" s="50" t="s">
        <v>1312</v>
      </c>
      <c r="E444" s="39" t="s">
        <v>1313</v>
      </c>
      <c r="F444" s="24" t="s">
        <v>43</v>
      </c>
      <c r="G444" s="25" t="s">
        <v>1314</v>
      </c>
      <c r="H444" s="4" t="s">
        <v>1315</v>
      </c>
      <c r="I444" s="25" t="s">
        <v>441</v>
      </c>
      <c r="J444" s="5">
        <v>44561</v>
      </c>
      <c r="K444" s="3" t="str">
        <f t="shared" ca="1" si="83"/>
        <v xml:space="preserve">4 Tahun 8 bulan </v>
      </c>
      <c r="L444" s="30" t="s">
        <v>88</v>
      </c>
      <c r="M444" s="5">
        <v>44561</v>
      </c>
      <c r="N444" s="3" t="str">
        <f t="shared" ca="1" si="84"/>
        <v xml:space="preserve">4 Tahun 8 bulan </v>
      </c>
      <c r="O444" s="35"/>
      <c r="P444" s="4" t="s">
        <v>35</v>
      </c>
      <c r="Q444" s="4" t="str">
        <f t="shared" si="85"/>
        <v>Laki-Laki</v>
      </c>
      <c r="R444" s="4">
        <f t="shared" si="92"/>
        <v>1</v>
      </c>
      <c r="S444" s="4" t="str">
        <f t="shared" si="94"/>
        <v>1</v>
      </c>
      <c r="T444" s="4">
        <f t="shared" si="93"/>
        <v>0</v>
      </c>
      <c r="U444" s="29"/>
      <c r="V444" s="30" t="s">
        <v>50</v>
      </c>
      <c r="W444" s="30"/>
      <c r="X444" s="30"/>
      <c r="Y444" s="30"/>
      <c r="Z444" s="30"/>
      <c r="AA444" s="30"/>
      <c r="AB444" s="29"/>
      <c r="AC444" s="29"/>
      <c r="AD444" s="37">
        <f t="shared" si="87"/>
        <v>26731</v>
      </c>
      <c r="AE444" s="3" t="str">
        <f t="shared" ca="1" si="86"/>
        <v>53 Tahun 5 bulan 24 Hari</v>
      </c>
      <c r="AF444" s="38">
        <f t="shared" si="88"/>
        <v>48670</v>
      </c>
    </row>
    <row r="445" spans="1:32" s="7" customFormat="1" ht="32.15" customHeight="1" x14ac:dyDescent="0.35">
      <c r="A445" s="26">
        <f t="shared" si="89"/>
        <v>418</v>
      </c>
      <c r="B445" s="27" t="s">
        <v>1270</v>
      </c>
      <c r="C445" s="256" t="s">
        <v>1316</v>
      </c>
      <c r="D445" s="257"/>
      <c r="E445" s="39" t="s">
        <v>1317</v>
      </c>
      <c r="F445" s="24" t="s">
        <v>43</v>
      </c>
      <c r="G445" s="25" t="s">
        <v>1318</v>
      </c>
      <c r="H445" s="4" t="s">
        <v>1179</v>
      </c>
      <c r="I445" s="25" t="s">
        <v>415</v>
      </c>
      <c r="J445" s="5">
        <v>45916</v>
      </c>
      <c r="K445" s="3" t="str">
        <f t="shared" ca="1" si="83"/>
        <v xml:space="preserve">0 Tahun 11 bulan </v>
      </c>
      <c r="L445" s="30" t="s">
        <v>346</v>
      </c>
      <c r="M445" s="5">
        <v>45916</v>
      </c>
      <c r="N445" s="3" t="str">
        <f t="shared" ca="1" si="84"/>
        <v xml:space="preserve">0 Tahun 11 bulan </v>
      </c>
      <c r="O445" s="35"/>
      <c r="P445" s="4" t="s">
        <v>35</v>
      </c>
      <c r="Q445" s="4" t="str">
        <f t="shared" si="85"/>
        <v>Laki-Laki</v>
      </c>
      <c r="R445" s="4">
        <f t="shared" si="92"/>
        <v>1</v>
      </c>
      <c r="S445" s="4" t="str">
        <f t="shared" si="94"/>
        <v>1</v>
      </c>
      <c r="T445" s="4">
        <f t="shared" si="93"/>
        <v>0</v>
      </c>
      <c r="U445" s="29"/>
      <c r="V445" s="30" t="s">
        <v>50</v>
      </c>
      <c r="W445" s="30"/>
      <c r="X445" s="30"/>
      <c r="Y445" s="30"/>
      <c r="Z445" s="30"/>
      <c r="AA445" s="30"/>
      <c r="AB445" s="29"/>
      <c r="AC445" s="29"/>
      <c r="AD445" s="37">
        <f t="shared" si="87"/>
        <v>27834</v>
      </c>
      <c r="AE445" s="3" t="str">
        <f t="shared" ca="1" si="86"/>
        <v>50 Tahun 5 bulan 17 Hari</v>
      </c>
      <c r="AF445" s="38">
        <f t="shared" si="88"/>
        <v>49766</v>
      </c>
    </row>
    <row r="446" spans="1:32" s="7" customFormat="1" ht="32.15" customHeight="1" x14ac:dyDescent="0.35">
      <c r="A446" s="26">
        <f t="shared" si="89"/>
        <v>419</v>
      </c>
      <c r="B446" s="27" t="s">
        <v>1270</v>
      </c>
      <c r="C446" s="26"/>
      <c r="D446" s="50" t="s">
        <v>1319</v>
      </c>
      <c r="E446" s="39" t="s">
        <v>1320</v>
      </c>
      <c r="F446" s="24" t="s">
        <v>43</v>
      </c>
      <c r="G446" s="25" t="s">
        <v>1321</v>
      </c>
      <c r="H446" s="4" t="s">
        <v>584</v>
      </c>
      <c r="I446" s="25" t="s">
        <v>1322</v>
      </c>
      <c r="J446" s="5">
        <v>44561</v>
      </c>
      <c r="K446" s="3" t="str">
        <f t="shared" ca="1" si="83"/>
        <v xml:space="preserve">4 Tahun 8 bulan </v>
      </c>
      <c r="L446" s="30" t="s">
        <v>88</v>
      </c>
      <c r="M446" s="5">
        <v>44561</v>
      </c>
      <c r="N446" s="3" t="str">
        <f t="shared" ca="1" si="84"/>
        <v xml:space="preserve">4 Tahun 8 bulan </v>
      </c>
      <c r="O446" s="35"/>
      <c r="P446" s="4" t="s">
        <v>35</v>
      </c>
      <c r="Q446" s="4" t="str">
        <f t="shared" si="85"/>
        <v>Laki-Laki</v>
      </c>
      <c r="R446" s="4">
        <f t="shared" si="92"/>
        <v>1</v>
      </c>
      <c r="S446" s="4" t="str">
        <f t="shared" si="94"/>
        <v>1</v>
      </c>
      <c r="T446" s="4">
        <f t="shared" si="93"/>
        <v>0</v>
      </c>
      <c r="U446" s="29"/>
      <c r="V446" s="30" t="s">
        <v>50</v>
      </c>
      <c r="W446" s="30"/>
      <c r="X446" s="30"/>
      <c r="Y446" s="30"/>
      <c r="Z446" s="30"/>
      <c r="AA446" s="30"/>
      <c r="AB446" s="29"/>
      <c r="AC446" s="29"/>
      <c r="AD446" s="37">
        <f t="shared" si="87"/>
        <v>31215</v>
      </c>
      <c r="AE446" s="3" t="str">
        <f t="shared" ca="1" si="86"/>
        <v>41 Tahun 2 bulan 15 Hari</v>
      </c>
      <c r="AF446" s="38">
        <f t="shared" si="88"/>
        <v>53144</v>
      </c>
    </row>
    <row r="447" spans="1:32" s="7" customFormat="1" ht="32.15" customHeight="1" x14ac:dyDescent="0.35">
      <c r="A447" s="26">
        <f t="shared" si="89"/>
        <v>420</v>
      </c>
      <c r="B447" s="27" t="s">
        <v>1270</v>
      </c>
      <c r="C447" s="26"/>
      <c r="D447" s="50" t="s">
        <v>1323</v>
      </c>
      <c r="E447" s="39" t="s">
        <v>1324</v>
      </c>
      <c r="F447" s="24" t="s">
        <v>43</v>
      </c>
      <c r="G447" s="25" t="s">
        <v>1325</v>
      </c>
      <c r="H447" s="4" t="s">
        <v>687</v>
      </c>
      <c r="I447" s="25" t="s">
        <v>589</v>
      </c>
      <c r="J447" s="5">
        <v>44561</v>
      </c>
      <c r="K447" s="3" t="str">
        <f t="shared" ca="1" si="83"/>
        <v xml:space="preserve">4 Tahun 8 bulan </v>
      </c>
      <c r="L447" s="30" t="s">
        <v>88</v>
      </c>
      <c r="M447" s="5">
        <v>44561</v>
      </c>
      <c r="N447" s="3" t="str">
        <f t="shared" ca="1" si="84"/>
        <v xml:space="preserve">4 Tahun 8 bulan </v>
      </c>
      <c r="O447" s="35"/>
      <c r="P447" s="4" t="s">
        <v>35</v>
      </c>
      <c r="Q447" s="4" t="str">
        <f t="shared" si="85"/>
        <v>Laki-Laki</v>
      </c>
      <c r="R447" s="4">
        <f t="shared" si="92"/>
        <v>1</v>
      </c>
      <c r="S447" s="4" t="str">
        <f t="shared" si="94"/>
        <v>1</v>
      </c>
      <c r="T447" s="4">
        <f t="shared" si="93"/>
        <v>0</v>
      </c>
      <c r="U447" s="29"/>
      <c r="V447" s="30" t="s">
        <v>50</v>
      </c>
      <c r="W447" s="30"/>
      <c r="X447" s="30"/>
      <c r="Y447" s="30"/>
      <c r="Z447" s="30"/>
      <c r="AA447" s="30"/>
      <c r="AB447" s="29"/>
      <c r="AC447" s="29"/>
      <c r="AD447" s="37">
        <f t="shared" si="87"/>
        <v>26879</v>
      </c>
      <c r="AE447" s="3" t="str">
        <f t="shared" ca="1" si="86"/>
        <v>53 Tahun 0 bulan 29 Hari</v>
      </c>
      <c r="AF447" s="38">
        <f t="shared" si="88"/>
        <v>48823</v>
      </c>
    </row>
    <row r="448" spans="1:32" s="7" customFormat="1" ht="32.15" customHeight="1" x14ac:dyDescent="0.35">
      <c r="A448" s="26">
        <f t="shared" si="89"/>
        <v>421</v>
      </c>
      <c r="B448" s="27" t="s">
        <v>1270</v>
      </c>
      <c r="C448" s="26"/>
      <c r="D448" s="50" t="s">
        <v>1309</v>
      </c>
      <c r="E448" s="39" t="s">
        <v>1326</v>
      </c>
      <c r="F448" s="24" t="s">
        <v>43</v>
      </c>
      <c r="G448" s="25" t="s">
        <v>1327</v>
      </c>
      <c r="H448" s="4" t="s">
        <v>1328</v>
      </c>
      <c r="I448" s="25" t="s">
        <v>1329</v>
      </c>
      <c r="J448" s="5">
        <v>44561</v>
      </c>
      <c r="K448" s="3" t="str">
        <f t="shared" ca="1" si="83"/>
        <v xml:space="preserve">4 Tahun 8 bulan </v>
      </c>
      <c r="L448" s="30" t="s">
        <v>88</v>
      </c>
      <c r="M448" s="5">
        <v>44561</v>
      </c>
      <c r="N448" s="3" t="str">
        <f t="shared" ca="1" si="84"/>
        <v xml:space="preserve">4 Tahun 8 bulan </v>
      </c>
      <c r="O448" s="35"/>
      <c r="P448" s="4" t="s">
        <v>35</v>
      </c>
      <c r="Q448" s="4" t="str">
        <f t="shared" si="85"/>
        <v>Laki-Laki</v>
      </c>
      <c r="R448" s="4">
        <f t="shared" si="92"/>
        <v>1</v>
      </c>
      <c r="S448" s="4" t="str">
        <f t="shared" si="94"/>
        <v>1</v>
      </c>
      <c r="T448" s="4">
        <f t="shared" si="93"/>
        <v>0</v>
      </c>
      <c r="U448" s="29"/>
      <c r="V448" s="30" t="s">
        <v>50</v>
      </c>
      <c r="W448" s="30"/>
      <c r="X448" s="30"/>
      <c r="Y448" s="30"/>
      <c r="Z448" s="30"/>
      <c r="AA448" s="30"/>
      <c r="AB448" s="29"/>
      <c r="AC448" s="29"/>
      <c r="AD448" s="37">
        <f t="shared" si="87"/>
        <v>28094</v>
      </c>
      <c r="AE448" s="3" t="str">
        <f t="shared" ca="1" si="86"/>
        <v>49 Tahun 9 bulan 2 Hari</v>
      </c>
      <c r="AF448" s="38">
        <f t="shared" si="88"/>
        <v>50010</v>
      </c>
    </row>
    <row r="449" spans="1:32" s="7" customFormat="1" ht="32.15" customHeight="1" x14ac:dyDescent="0.35">
      <c r="A449" s="26">
        <f t="shared" si="89"/>
        <v>422</v>
      </c>
      <c r="B449" s="27" t="s">
        <v>1270</v>
      </c>
      <c r="C449" s="256" t="s">
        <v>1330</v>
      </c>
      <c r="D449" s="257"/>
      <c r="E449" s="24" t="s">
        <v>1331</v>
      </c>
      <c r="F449" s="24" t="s">
        <v>43</v>
      </c>
      <c r="G449" s="4" t="s">
        <v>1332</v>
      </c>
      <c r="H449" s="56" t="s">
        <v>313</v>
      </c>
      <c r="I449" s="33" t="s">
        <v>46</v>
      </c>
      <c r="J449" s="5" t="s">
        <v>369</v>
      </c>
      <c r="K449" s="3" t="str">
        <f t="shared" ca="1" si="83"/>
        <v xml:space="preserve">3 Tahun 11 bulan </v>
      </c>
      <c r="L449" s="30" t="s">
        <v>346</v>
      </c>
      <c r="M449" s="5" t="s">
        <v>369</v>
      </c>
      <c r="N449" s="3" t="str">
        <f t="shared" ca="1" si="84"/>
        <v xml:space="preserve">3 Tahun 11 bulan </v>
      </c>
      <c r="O449" s="4"/>
      <c r="P449" s="4"/>
      <c r="Q449" s="4" t="str">
        <f t="shared" si="85"/>
        <v>Laki-Laki</v>
      </c>
      <c r="R449" s="4">
        <f t="shared" si="92"/>
        <v>1</v>
      </c>
      <c r="S449" s="4" t="str">
        <f t="shared" si="94"/>
        <v>1</v>
      </c>
      <c r="T449" s="4">
        <f t="shared" si="93"/>
        <v>0</v>
      </c>
      <c r="U449" s="29"/>
      <c r="V449" s="30"/>
      <c r="W449" s="30"/>
      <c r="X449" s="30"/>
      <c r="Y449" s="30"/>
      <c r="Z449" s="30"/>
      <c r="AA449" s="30"/>
      <c r="AB449" s="29"/>
      <c r="AC449" s="29"/>
      <c r="AD449" s="37">
        <f t="shared" si="87"/>
        <v>31436</v>
      </c>
      <c r="AE449" s="3" t="str">
        <f t="shared" ca="1" si="86"/>
        <v>40 Tahun 7 bulan 8 Hari</v>
      </c>
      <c r="AF449" s="38">
        <f t="shared" si="88"/>
        <v>53359</v>
      </c>
    </row>
    <row r="450" spans="1:32" s="7" customFormat="1" ht="32.15" customHeight="1" x14ac:dyDescent="0.35">
      <c r="A450" s="26">
        <f t="shared" si="89"/>
        <v>423</v>
      </c>
      <c r="B450" s="27" t="s">
        <v>1270</v>
      </c>
      <c r="C450" s="26"/>
      <c r="D450" s="50" t="s">
        <v>1333</v>
      </c>
      <c r="E450" s="24" t="s">
        <v>1334</v>
      </c>
      <c r="F450" s="24" t="s">
        <v>43</v>
      </c>
      <c r="G450" s="4" t="s">
        <v>1335</v>
      </c>
      <c r="H450" s="4" t="s">
        <v>1336</v>
      </c>
      <c r="I450" s="33" t="s">
        <v>1337</v>
      </c>
      <c r="J450" s="5">
        <v>44561</v>
      </c>
      <c r="K450" s="3" t="str">
        <f t="shared" ca="1" si="83"/>
        <v xml:space="preserve">4 Tahun 8 bulan </v>
      </c>
      <c r="L450" s="30" t="s">
        <v>88</v>
      </c>
      <c r="M450" s="5">
        <v>44561</v>
      </c>
      <c r="N450" s="3" t="str">
        <f t="shared" ca="1" si="84"/>
        <v xml:space="preserve">4 Tahun 8 bulan </v>
      </c>
      <c r="O450" s="4"/>
      <c r="P450" s="4" t="s">
        <v>35</v>
      </c>
      <c r="Q450" s="4" t="str">
        <f t="shared" si="85"/>
        <v>Laki-Laki</v>
      </c>
      <c r="R450" s="4">
        <f t="shared" si="92"/>
        <v>1</v>
      </c>
      <c r="S450" s="4" t="str">
        <f t="shared" si="94"/>
        <v>1</v>
      </c>
      <c r="T450" s="4">
        <f t="shared" si="93"/>
        <v>0</v>
      </c>
      <c r="U450" s="29"/>
      <c r="V450" s="30" t="s">
        <v>50</v>
      </c>
      <c r="W450" s="30"/>
      <c r="X450" s="30"/>
      <c r="Y450" s="30"/>
      <c r="Z450" s="30"/>
      <c r="AA450" s="30"/>
      <c r="AB450" s="29"/>
      <c r="AC450" s="29"/>
      <c r="AD450" s="37">
        <f t="shared" si="87"/>
        <v>29911</v>
      </c>
      <c r="AE450" s="3" t="str">
        <f t="shared" ca="1" si="86"/>
        <v>44 Tahun 9 bulan 11 Hari</v>
      </c>
      <c r="AF450" s="38">
        <f t="shared" si="88"/>
        <v>51836</v>
      </c>
    </row>
    <row r="451" spans="1:32" s="7" customFormat="1" ht="32.15" customHeight="1" x14ac:dyDescent="0.35">
      <c r="A451" s="26">
        <f t="shared" si="89"/>
        <v>424</v>
      </c>
      <c r="B451" s="27" t="s">
        <v>1270</v>
      </c>
      <c r="C451" s="26"/>
      <c r="D451" s="50" t="s">
        <v>1333</v>
      </c>
      <c r="E451" s="93" t="s">
        <v>1338</v>
      </c>
      <c r="F451" s="24" t="s">
        <v>43</v>
      </c>
      <c r="G451" s="94" t="s">
        <v>1339</v>
      </c>
      <c r="H451" s="98" t="s">
        <v>414</v>
      </c>
      <c r="I451" s="25" t="s">
        <v>441</v>
      </c>
      <c r="J451" s="5">
        <v>44561</v>
      </c>
      <c r="K451" s="3" t="str">
        <f t="shared" ca="1" si="83"/>
        <v xml:space="preserve">4 Tahun 8 bulan </v>
      </c>
      <c r="L451" s="30" t="s">
        <v>88</v>
      </c>
      <c r="M451" s="5">
        <v>44561</v>
      </c>
      <c r="N451" s="3" t="str">
        <f t="shared" ca="1" si="84"/>
        <v xml:space="preserve">4 Tahun 8 bulan </v>
      </c>
      <c r="O451" s="56"/>
      <c r="P451" s="4" t="s">
        <v>35</v>
      </c>
      <c r="Q451" s="4" t="str">
        <f t="shared" si="85"/>
        <v>Laki-Laki</v>
      </c>
      <c r="R451" s="4">
        <f t="shared" si="92"/>
        <v>1</v>
      </c>
      <c r="S451" s="4" t="str">
        <f t="shared" si="94"/>
        <v>1</v>
      </c>
      <c r="T451" s="4">
        <f t="shared" si="93"/>
        <v>0</v>
      </c>
      <c r="U451" s="29"/>
      <c r="V451" s="30" t="s">
        <v>50</v>
      </c>
      <c r="W451" s="30"/>
      <c r="X451" s="30"/>
      <c r="Y451" s="30"/>
      <c r="Z451" s="30"/>
      <c r="AA451" s="30"/>
      <c r="AB451" s="29"/>
      <c r="AC451" s="29"/>
      <c r="AD451" s="37">
        <f t="shared" si="87"/>
        <v>27956</v>
      </c>
      <c r="AE451" s="3" t="str">
        <f t="shared" ca="1" si="86"/>
        <v>50 Tahun 1 bulan 17 Hari</v>
      </c>
      <c r="AF451" s="38">
        <f t="shared" si="88"/>
        <v>49888</v>
      </c>
    </row>
    <row r="452" spans="1:32" s="7" customFormat="1" ht="32.15" customHeight="1" x14ac:dyDescent="0.35">
      <c r="A452" s="26">
        <f t="shared" si="89"/>
        <v>425</v>
      </c>
      <c r="B452" s="27" t="s">
        <v>1270</v>
      </c>
      <c r="C452" s="26"/>
      <c r="D452" s="50" t="s">
        <v>1340</v>
      </c>
      <c r="E452" s="24" t="s">
        <v>1341</v>
      </c>
      <c r="F452" s="24" t="s">
        <v>43</v>
      </c>
      <c r="G452" s="4" t="s">
        <v>1342</v>
      </c>
      <c r="H452" s="4" t="s">
        <v>414</v>
      </c>
      <c r="I452" s="33" t="s">
        <v>86</v>
      </c>
      <c r="J452" s="5">
        <v>44561</v>
      </c>
      <c r="K452" s="3" t="str">
        <f t="shared" ca="1" si="83"/>
        <v xml:space="preserve">4 Tahun 8 bulan </v>
      </c>
      <c r="L452" s="30" t="s">
        <v>88</v>
      </c>
      <c r="M452" s="5">
        <v>44561</v>
      </c>
      <c r="N452" s="3" t="str">
        <f t="shared" ca="1" si="84"/>
        <v xml:space="preserve">4 Tahun 8 bulan </v>
      </c>
      <c r="O452" s="4"/>
      <c r="P452" s="4" t="s">
        <v>35</v>
      </c>
      <c r="Q452" s="4" t="str">
        <f t="shared" si="85"/>
        <v>Laki-Laki</v>
      </c>
      <c r="R452" s="4">
        <f t="shared" si="92"/>
        <v>1</v>
      </c>
      <c r="S452" s="4" t="str">
        <f t="shared" si="94"/>
        <v>1</v>
      </c>
      <c r="T452" s="4">
        <f t="shared" si="93"/>
        <v>0</v>
      </c>
      <c r="U452" s="29"/>
      <c r="V452" s="30" t="s">
        <v>50</v>
      </c>
      <c r="W452" s="30"/>
      <c r="X452" s="30"/>
      <c r="Y452" s="30"/>
      <c r="Z452" s="30"/>
      <c r="AA452" s="30"/>
      <c r="AB452" s="29"/>
      <c r="AC452" s="29"/>
      <c r="AD452" s="37">
        <f t="shared" si="87"/>
        <v>28615</v>
      </c>
      <c r="AE452" s="3" t="str">
        <f t="shared" ca="1" si="86"/>
        <v>48 Tahun 3 bulan 27 Hari</v>
      </c>
      <c r="AF452" s="38">
        <f t="shared" si="88"/>
        <v>50557</v>
      </c>
    </row>
    <row r="453" spans="1:32" s="7" customFormat="1" ht="32.15" customHeight="1" x14ac:dyDescent="0.35">
      <c r="A453" s="26"/>
      <c r="B453" s="27" t="s">
        <v>1343</v>
      </c>
      <c r="C453" s="280" t="s">
        <v>1344</v>
      </c>
      <c r="D453" s="281"/>
      <c r="E453" s="271" t="str">
        <f ca="1">IF(J453="","",CONCATENATE(DATEDIF(J453,NOW(),"Y")," Tahun ",DATEDIF(J453,NOW(),"YM")," bulan "))</f>
        <v/>
      </c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  <c r="AB453" s="272"/>
      <c r="AC453" s="272"/>
      <c r="AD453" s="272"/>
      <c r="AE453" s="272"/>
      <c r="AF453" s="273"/>
    </row>
    <row r="454" spans="1:32" s="7" customFormat="1" ht="32.15" customHeight="1" x14ac:dyDescent="0.35">
      <c r="A454" s="26">
        <f>A452+1</f>
        <v>426</v>
      </c>
      <c r="B454" s="27" t="s">
        <v>1343</v>
      </c>
      <c r="C454" s="278" t="s">
        <v>1345</v>
      </c>
      <c r="D454" s="279"/>
      <c r="E454" s="24" t="s">
        <v>2877</v>
      </c>
      <c r="F454" s="24" t="s">
        <v>43</v>
      </c>
      <c r="G454" s="3" t="s">
        <v>2878</v>
      </c>
      <c r="H454" s="3" t="s">
        <v>598</v>
      </c>
      <c r="I454" s="3"/>
      <c r="J454" s="66"/>
      <c r="K454" s="3" t="str">
        <f t="shared" ca="1" si="83"/>
        <v/>
      </c>
      <c r="L454" s="30" t="s">
        <v>56</v>
      </c>
      <c r="M454" s="5"/>
      <c r="N454" s="3" t="str">
        <f t="shared" ca="1" si="84"/>
        <v/>
      </c>
      <c r="O454" s="36"/>
      <c r="P454" s="4" t="s">
        <v>35</v>
      </c>
      <c r="Q454" s="4" t="str">
        <f t="shared" si="85"/>
        <v>Laki-Laki</v>
      </c>
      <c r="R454" s="4">
        <f>R452</f>
        <v>1</v>
      </c>
      <c r="S454" s="4" t="str">
        <f t="shared" ref="S454:S467" si="95">IF(E454="LOWONG","0","1")</f>
        <v>1</v>
      </c>
      <c r="T454" s="4">
        <f t="shared" si="93"/>
        <v>0</v>
      </c>
      <c r="U454" s="29"/>
      <c r="V454" s="30" t="s">
        <v>50</v>
      </c>
      <c r="W454" s="30"/>
      <c r="X454" s="30"/>
      <c r="Y454" s="30"/>
      <c r="Z454" s="30"/>
      <c r="AA454" s="30"/>
      <c r="AB454" s="29"/>
      <c r="AC454" s="29"/>
      <c r="AD454" s="37">
        <f t="shared" si="87"/>
        <v>25686</v>
      </c>
      <c r="AE454" s="3" t="str">
        <f t="shared" ca="1" si="86"/>
        <v>56 Tahun 4 bulan 4 Hari</v>
      </c>
      <c r="AF454" s="38">
        <f t="shared" si="88"/>
        <v>47604</v>
      </c>
    </row>
    <row r="455" spans="1:32" s="7" customFormat="1" ht="32.15" customHeight="1" x14ac:dyDescent="0.35">
      <c r="A455" s="26">
        <f t="shared" si="89"/>
        <v>427</v>
      </c>
      <c r="B455" s="27" t="s">
        <v>1343</v>
      </c>
      <c r="C455" s="256" t="s">
        <v>1346</v>
      </c>
      <c r="D455" s="257"/>
      <c r="E455" s="58" t="s">
        <v>1347</v>
      </c>
      <c r="F455" s="24" t="s">
        <v>43</v>
      </c>
      <c r="G455" s="4" t="s">
        <v>2839</v>
      </c>
      <c r="H455" s="4" t="s">
        <v>231</v>
      </c>
      <c r="I455" s="33" t="s">
        <v>759</v>
      </c>
      <c r="J455" s="5">
        <v>45993</v>
      </c>
      <c r="K455" s="3" t="str">
        <f t="shared" ref="K455:K518" ca="1" si="96">IF(J455="","",CONCATENATE(DATEDIF(J455,NOW(),"Y")," Tahun ",DATEDIF(J455,NOW(),"YM")," bulan "))</f>
        <v xml:space="preserve">0 Tahun 8 bulan </v>
      </c>
      <c r="L455" s="30" t="s">
        <v>79</v>
      </c>
      <c r="M455" s="5"/>
      <c r="N455" s="3" t="str">
        <f t="shared" ref="N455:N493" ca="1" si="97">IF(M455="","",CONCATENATE(DATEDIF(M455,NOW(),"Y")," Tahun ",DATEDIF(M455,NOW(),"YM")," bulan "))</f>
        <v/>
      </c>
      <c r="O455" s="4"/>
      <c r="P455" s="4" t="s">
        <v>35</v>
      </c>
      <c r="Q455" s="4" t="str">
        <f t="shared" ref="Q455:Q518" si="98">CONCATENATE(IF(MID(G455,17,1)="1","Laki-Laki",IF(MID(G455,17,1)="2","Perempuan",)))</f>
        <v>Laki-Laki</v>
      </c>
      <c r="R455" s="4">
        <f t="shared" si="92"/>
        <v>1</v>
      </c>
      <c r="S455" s="4" t="str">
        <f t="shared" si="95"/>
        <v>1</v>
      </c>
      <c r="T455" s="4">
        <f t="shared" si="93"/>
        <v>0</v>
      </c>
      <c r="U455" s="29"/>
      <c r="V455" s="30" t="s">
        <v>50</v>
      </c>
      <c r="W455" s="30"/>
      <c r="X455" s="30"/>
      <c r="Y455" s="30"/>
      <c r="Z455" s="30"/>
      <c r="AA455" s="30"/>
      <c r="AB455" s="29"/>
      <c r="AC455" s="29"/>
      <c r="AD455" s="37">
        <f t="shared" si="87"/>
        <v>25385</v>
      </c>
      <c r="AE455" s="3" t="str">
        <f t="shared" ref="AE455:AE518" ca="1" si="99">IF(TRIM(AD455)="", "", CONCATENATE(DATEDIF(AD455,NOW(),"Y")," Tahun ",DATEDIF(AD455,NOW(),"YM")," bulan ",DATEDIF(AD455,NOW(),"MD")," Hari"))</f>
        <v>57 Tahun 2 bulan 0 Hari</v>
      </c>
      <c r="AF455" s="38">
        <f t="shared" si="88"/>
        <v>47331</v>
      </c>
    </row>
    <row r="456" spans="1:32" s="7" customFormat="1" ht="32.15" customHeight="1" x14ac:dyDescent="0.35">
      <c r="A456" s="26">
        <f t="shared" si="89"/>
        <v>428</v>
      </c>
      <c r="B456" s="27" t="s">
        <v>1343</v>
      </c>
      <c r="C456" s="26"/>
      <c r="D456" s="50" t="s">
        <v>1348</v>
      </c>
      <c r="E456" s="51" t="s">
        <v>603</v>
      </c>
      <c r="F456" s="24" t="s">
        <v>43</v>
      </c>
      <c r="G456" s="33" t="s">
        <v>604</v>
      </c>
      <c r="H456" s="4" t="s">
        <v>241</v>
      </c>
      <c r="I456" s="33" t="s">
        <v>86</v>
      </c>
      <c r="J456" s="5">
        <v>46198</v>
      </c>
      <c r="K456" s="3" t="str">
        <f t="shared" ca="1" si="96"/>
        <v xml:space="preserve">0 Tahun 2 bulan </v>
      </c>
      <c r="L456" s="30" t="s">
        <v>200</v>
      </c>
      <c r="M456" s="5">
        <v>42957</v>
      </c>
      <c r="N456" s="3" t="str">
        <f t="shared" ca="1" si="97"/>
        <v xml:space="preserve">9 Tahun 0 bulan </v>
      </c>
      <c r="O456" s="4"/>
      <c r="P456" s="4" t="s">
        <v>35</v>
      </c>
      <c r="Q456" s="4" t="str">
        <f t="shared" si="98"/>
        <v>Perempuan</v>
      </c>
      <c r="R456" s="4">
        <f t="shared" si="92"/>
        <v>1</v>
      </c>
      <c r="S456" s="4" t="str">
        <f t="shared" si="95"/>
        <v>1</v>
      </c>
      <c r="T456" s="4">
        <f t="shared" si="93"/>
        <v>0</v>
      </c>
      <c r="U456" s="29"/>
      <c r="V456" s="30"/>
      <c r="W456" s="30"/>
      <c r="X456" s="30"/>
      <c r="Y456" s="30"/>
      <c r="Z456" s="30"/>
      <c r="AA456" s="30"/>
      <c r="AB456" s="29"/>
      <c r="AC456" s="29"/>
      <c r="AD456" s="37">
        <f t="shared" ref="AD456:AD519" si="100">IF(TRIM(G456)="", "", DATE(LEFT(G456,4),MID(G456,5,2),MID(G456,7,2)))</f>
        <v>29742</v>
      </c>
      <c r="AE456" s="3" t="str">
        <f t="shared" ca="1" si="99"/>
        <v>45 Tahun 2 bulan 27 Hari</v>
      </c>
      <c r="AF456" s="38">
        <f t="shared" ref="AF456:AF519" si="101">IF(TRIM(AD456)="","",DATE(YEAR(AD456)+60,MONTH(AD456)+1,1))</f>
        <v>51683</v>
      </c>
    </row>
    <row r="457" spans="1:32" s="7" customFormat="1" ht="32.15" customHeight="1" x14ac:dyDescent="0.35">
      <c r="A457" s="26">
        <f t="shared" si="89"/>
        <v>429</v>
      </c>
      <c r="B457" s="27" t="s">
        <v>1343</v>
      </c>
      <c r="C457" s="26"/>
      <c r="D457" s="50" t="s">
        <v>1351</v>
      </c>
      <c r="E457" s="24" t="s">
        <v>1352</v>
      </c>
      <c r="F457" s="24" t="s">
        <v>43</v>
      </c>
      <c r="G457" s="4" t="s">
        <v>1353</v>
      </c>
      <c r="H457" s="56" t="s">
        <v>1031</v>
      </c>
      <c r="I457" s="33" t="s">
        <v>86</v>
      </c>
      <c r="J457" s="5" t="s">
        <v>87</v>
      </c>
      <c r="K457" s="3" t="str">
        <f t="shared" ca="1" si="96"/>
        <v xml:space="preserve">4 Tahun 8 bulan </v>
      </c>
      <c r="L457" s="30" t="s">
        <v>88</v>
      </c>
      <c r="M457" s="5">
        <v>44561</v>
      </c>
      <c r="N457" s="3" t="str">
        <f t="shared" ca="1" si="97"/>
        <v xml:space="preserve">4 Tahun 8 bulan </v>
      </c>
      <c r="O457" s="4"/>
      <c r="P457" s="4" t="s">
        <v>35</v>
      </c>
      <c r="Q457" s="4" t="str">
        <f t="shared" si="98"/>
        <v>Perempuan</v>
      </c>
      <c r="R457" s="4">
        <f t="shared" si="92"/>
        <v>1</v>
      </c>
      <c r="S457" s="4" t="str">
        <f t="shared" si="95"/>
        <v>1</v>
      </c>
      <c r="T457" s="4">
        <f t="shared" si="93"/>
        <v>0</v>
      </c>
      <c r="U457" s="29"/>
      <c r="V457" s="30"/>
      <c r="W457" s="30"/>
      <c r="X457" s="30"/>
      <c r="Y457" s="30"/>
      <c r="Z457" s="30"/>
      <c r="AA457" s="30"/>
      <c r="AB457" s="29"/>
      <c r="AC457" s="29"/>
      <c r="AD457" s="37">
        <f t="shared" si="100"/>
        <v>28616</v>
      </c>
      <c r="AE457" s="3" t="str">
        <f t="shared" ca="1" si="99"/>
        <v>48 Tahun 3 bulan 26 Hari</v>
      </c>
      <c r="AF457" s="38">
        <f t="shared" si="101"/>
        <v>50557</v>
      </c>
    </row>
    <row r="458" spans="1:32" s="7" customFormat="1" ht="32.15" customHeight="1" x14ac:dyDescent="0.35">
      <c r="A458" s="26">
        <f t="shared" si="89"/>
        <v>430</v>
      </c>
      <c r="B458" s="27" t="s">
        <v>1343</v>
      </c>
      <c r="C458" s="26"/>
      <c r="D458" s="50" t="s">
        <v>1354</v>
      </c>
      <c r="E458" s="39" t="s">
        <v>1355</v>
      </c>
      <c r="F458" s="24" t="s">
        <v>43</v>
      </c>
      <c r="G458" s="25" t="s">
        <v>1356</v>
      </c>
      <c r="H458" s="4" t="s">
        <v>662</v>
      </c>
      <c r="I458" s="33" t="s">
        <v>86</v>
      </c>
      <c r="J458" s="5" t="s">
        <v>87</v>
      </c>
      <c r="K458" s="3" t="str">
        <f t="shared" ca="1" si="96"/>
        <v xml:space="preserve">4 Tahun 8 bulan </v>
      </c>
      <c r="L458" s="30" t="s">
        <v>88</v>
      </c>
      <c r="M458" s="5">
        <v>44561</v>
      </c>
      <c r="N458" s="3" t="str">
        <f t="shared" ca="1" si="97"/>
        <v xml:space="preserve">4 Tahun 8 bulan </v>
      </c>
      <c r="O458" s="4"/>
      <c r="P458" s="4" t="s">
        <v>968</v>
      </c>
      <c r="Q458" s="4" t="str">
        <f t="shared" si="98"/>
        <v>Perempuan</v>
      </c>
      <c r="R458" s="4">
        <f t="shared" si="92"/>
        <v>1</v>
      </c>
      <c r="S458" s="4" t="str">
        <f t="shared" si="95"/>
        <v>1</v>
      </c>
      <c r="T458" s="4">
        <f t="shared" si="93"/>
        <v>0</v>
      </c>
      <c r="U458" s="29"/>
      <c r="V458" s="30"/>
      <c r="W458" s="30"/>
      <c r="X458" s="30"/>
      <c r="Y458" s="30"/>
      <c r="Z458" s="30"/>
      <c r="AA458" s="30"/>
      <c r="AB458" s="29"/>
      <c r="AC458" s="29"/>
      <c r="AD458" s="37">
        <f t="shared" si="100"/>
        <v>30513</v>
      </c>
      <c r="AE458" s="3" t="str">
        <f t="shared" ca="1" si="99"/>
        <v>43 Tahun 1 bulan 16 Hari</v>
      </c>
      <c r="AF458" s="38">
        <f t="shared" si="101"/>
        <v>52444</v>
      </c>
    </row>
    <row r="459" spans="1:32" s="7" customFormat="1" ht="32.15" customHeight="1" x14ac:dyDescent="0.35">
      <c r="A459" s="26">
        <f t="shared" si="89"/>
        <v>431</v>
      </c>
      <c r="B459" s="27" t="s">
        <v>1343</v>
      </c>
      <c r="C459" s="256" t="s">
        <v>1357</v>
      </c>
      <c r="D459" s="257"/>
      <c r="E459" s="58" t="s">
        <v>1358</v>
      </c>
      <c r="F459" s="24" t="s">
        <v>43</v>
      </c>
      <c r="G459" s="40" t="s">
        <v>2846</v>
      </c>
      <c r="H459" s="4" t="s">
        <v>396</v>
      </c>
      <c r="I459" s="33" t="s">
        <v>2847</v>
      </c>
      <c r="J459" s="5">
        <v>45993</v>
      </c>
      <c r="K459" s="3" t="str">
        <f t="shared" ca="1" si="96"/>
        <v xml:space="preserve">0 Tahun 8 bulan </v>
      </c>
      <c r="L459" s="30" t="s">
        <v>346</v>
      </c>
      <c r="M459" s="5"/>
      <c r="N459" s="3" t="str">
        <f t="shared" ca="1" si="97"/>
        <v/>
      </c>
      <c r="O459" s="29"/>
      <c r="P459" s="4" t="s">
        <v>35</v>
      </c>
      <c r="Q459" s="4" t="str">
        <f t="shared" si="98"/>
        <v>Laki-Laki</v>
      </c>
      <c r="R459" s="4">
        <f t="shared" si="92"/>
        <v>1</v>
      </c>
      <c r="S459" s="4" t="str">
        <f t="shared" si="95"/>
        <v>1</v>
      </c>
      <c r="T459" s="4">
        <f t="shared" si="93"/>
        <v>0</v>
      </c>
      <c r="U459" s="29"/>
      <c r="V459" s="30" t="s">
        <v>50</v>
      </c>
      <c r="W459" s="30"/>
      <c r="X459" s="30"/>
      <c r="Y459" s="30"/>
      <c r="Z459" s="30"/>
      <c r="AA459" s="30"/>
      <c r="AB459" s="29"/>
      <c r="AC459" s="29"/>
      <c r="AD459" s="37">
        <f t="shared" si="100"/>
        <v>25427</v>
      </c>
      <c r="AE459" s="3" t="str">
        <f t="shared" ca="1" si="99"/>
        <v>57 Tahun 0 bulan 20 Hari</v>
      </c>
      <c r="AF459" s="38">
        <f t="shared" si="101"/>
        <v>47362</v>
      </c>
    </row>
    <row r="460" spans="1:32" s="7" customFormat="1" ht="32.15" customHeight="1" x14ac:dyDescent="0.35">
      <c r="A460" s="26">
        <f t="shared" si="89"/>
        <v>432</v>
      </c>
      <c r="B460" s="27" t="s">
        <v>1343</v>
      </c>
      <c r="C460" s="26"/>
      <c r="D460" s="50" t="s">
        <v>1359</v>
      </c>
      <c r="E460" s="24" t="s">
        <v>1360</v>
      </c>
      <c r="F460" s="24" t="s">
        <v>43</v>
      </c>
      <c r="G460" s="3" t="s">
        <v>1361</v>
      </c>
      <c r="H460" s="4" t="s">
        <v>554</v>
      </c>
      <c r="I460" s="41" t="s">
        <v>67</v>
      </c>
      <c r="J460" s="5">
        <v>44561</v>
      </c>
      <c r="K460" s="3" t="str">
        <f t="shared" ca="1" si="96"/>
        <v xml:space="preserve">4 Tahun 8 bulan </v>
      </c>
      <c r="L460" s="30" t="s">
        <v>88</v>
      </c>
      <c r="M460" s="5">
        <v>44561</v>
      </c>
      <c r="N460" s="3" t="str">
        <f t="shared" ca="1" si="97"/>
        <v xml:space="preserve">4 Tahun 8 bulan </v>
      </c>
      <c r="O460" s="4"/>
      <c r="P460" s="4"/>
      <c r="Q460" s="4" t="str">
        <f t="shared" si="98"/>
        <v>Laki-Laki</v>
      </c>
      <c r="R460" s="4">
        <f t="shared" si="92"/>
        <v>1</v>
      </c>
      <c r="S460" s="4" t="str">
        <f t="shared" si="95"/>
        <v>1</v>
      </c>
      <c r="T460" s="4">
        <f t="shared" si="93"/>
        <v>0</v>
      </c>
      <c r="U460" s="29"/>
      <c r="V460" s="30" t="s">
        <v>50</v>
      </c>
      <c r="W460" s="30"/>
      <c r="X460" s="30"/>
      <c r="Y460" s="30"/>
      <c r="Z460" s="30"/>
      <c r="AA460" s="30"/>
      <c r="AB460" s="29"/>
      <c r="AC460" s="29"/>
      <c r="AD460" s="37">
        <f t="shared" si="100"/>
        <v>29954</v>
      </c>
      <c r="AE460" s="3" t="str">
        <f t="shared" ca="1" si="99"/>
        <v>44 Tahun 7 bulan 29 Hari</v>
      </c>
      <c r="AF460" s="38">
        <f t="shared" si="101"/>
        <v>51898</v>
      </c>
    </row>
    <row r="461" spans="1:32" s="7" customFormat="1" ht="32.15" customHeight="1" x14ac:dyDescent="0.35">
      <c r="A461" s="26">
        <f t="shared" si="89"/>
        <v>433</v>
      </c>
      <c r="B461" s="27" t="s">
        <v>1343</v>
      </c>
      <c r="C461" s="26"/>
      <c r="D461" s="50" t="s">
        <v>1359</v>
      </c>
      <c r="E461" s="45" t="s">
        <v>1362</v>
      </c>
      <c r="F461" s="24" t="s">
        <v>43</v>
      </c>
      <c r="G461" s="44" t="s">
        <v>1363</v>
      </c>
      <c r="H461" s="36" t="s">
        <v>1364</v>
      </c>
      <c r="I461" s="36" t="s">
        <v>86</v>
      </c>
      <c r="J461" s="5" t="s">
        <v>87</v>
      </c>
      <c r="K461" s="3" t="str">
        <f t="shared" ca="1" si="96"/>
        <v xml:space="preserve">4 Tahun 8 bulan </v>
      </c>
      <c r="L461" s="30" t="s">
        <v>88</v>
      </c>
      <c r="M461" s="5">
        <v>44561</v>
      </c>
      <c r="N461" s="3" t="str">
        <f t="shared" ca="1" si="97"/>
        <v xml:space="preserve">4 Tahun 8 bulan </v>
      </c>
      <c r="O461" s="36"/>
      <c r="P461" s="4" t="s">
        <v>35</v>
      </c>
      <c r="Q461" s="4" t="str">
        <f t="shared" si="98"/>
        <v>Laki-Laki</v>
      </c>
      <c r="R461" s="4">
        <f t="shared" si="92"/>
        <v>1</v>
      </c>
      <c r="S461" s="4" t="str">
        <f t="shared" si="95"/>
        <v>1</v>
      </c>
      <c r="T461" s="4">
        <f t="shared" si="93"/>
        <v>0</v>
      </c>
      <c r="U461" s="29"/>
      <c r="V461" s="30" t="s">
        <v>50</v>
      </c>
      <c r="W461" s="30"/>
      <c r="X461" s="30"/>
      <c r="Y461" s="30"/>
      <c r="Z461" s="30"/>
      <c r="AA461" s="30"/>
      <c r="AB461" s="29"/>
      <c r="AC461" s="29"/>
      <c r="AD461" s="37">
        <f t="shared" si="100"/>
        <v>28169</v>
      </c>
      <c r="AE461" s="3" t="str">
        <f t="shared" ca="1" si="99"/>
        <v>49 Tahun 6 bulan 19 Hari</v>
      </c>
      <c r="AF461" s="38">
        <f t="shared" si="101"/>
        <v>50100</v>
      </c>
    </row>
    <row r="462" spans="1:32" s="7" customFormat="1" ht="32.15" customHeight="1" x14ac:dyDescent="0.35">
      <c r="A462" s="26">
        <f t="shared" si="89"/>
        <v>434</v>
      </c>
      <c r="B462" s="27" t="s">
        <v>1343</v>
      </c>
      <c r="C462" s="256" t="s">
        <v>1365</v>
      </c>
      <c r="D462" s="257"/>
      <c r="E462" s="24" t="s">
        <v>3051</v>
      </c>
      <c r="F462" s="24" t="s">
        <v>43</v>
      </c>
      <c r="G462" s="3" t="s">
        <v>3052</v>
      </c>
      <c r="H462" s="4" t="s">
        <v>231</v>
      </c>
      <c r="I462" s="33" t="s">
        <v>184</v>
      </c>
      <c r="J462" s="5">
        <v>46260</v>
      </c>
      <c r="K462" s="3" t="str">
        <f t="shared" ca="1" si="96"/>
        <v xml:space="preserve">0 Tahun 0 bulan </v>
      </c>
      <c r="L462" s="30" t="s">
        <v>346</v>
      </c>
      <c r="M462" s="5" t="s">
        <v>751</v>
      </c>
      <c r="N462" s="3" t="str">
        <f t="shared" ca="1" si="97"/>
        <v xml:space="preserve">5 Tahun 0 bulan </v>
      </c>
      <c r="O462" s="4"/>
      <c r="P462" s="4" t="s">
        <v>35</v>
      </c>
      <c r="Q462" s="4" t="str">
        <f t="shared" si="98"/>
        <v>Laki-Laki</v>
      </c>
      <c r="R462" s="4">
        <f t="shared" si="92"/>
        <v>1</v>
      </c>
      <c r="S462" s="4" t="str">
        <f t="shared" si="95"/>
        <v>1</v>
      </c>
      <c r="T462" s="4">
        <f t="shared" si="93"/>
        <v>0</v>
      </c>
      <c r="U462" s="29"/>
      <c r="V462" s="30" t="s">
        <v>50</v>
      </c>
      <c r="W462" s="30"/>
      <c r="X462" s="30"/>
      <c r="Y462" s="30"/>
      <c r="Z462" s="30"/>
      <c r="AA462" s="30"/>
      <c r="AB462" s="29"/>
      <c r="AC462" s="29"/>
      <c r="AD462" s="37">
        <f t="shared" si="100"/>
        <v>27677</v>
      </c>
      <c r="AE462" s="3" t="str">
        <f t="shared" ca="1" si="99"/>
        <v>50 Tahun 10 bulan 22 Hari</v>
      </c>
      <c r="AF462" s="38">
        <f t="shared" si="101"/>
        <v>49614</v>
      </c>
    </row>
    <row r="463" spans="1:32" s="7" customFormat="1" ht="32.15" customHeight="1" x14ac:dyDescent="0.35">
      <c r="A463" s="26">
        <f t="shared" si="89"/>
        <v>435</v>
      </c>
      <c r="B463" s="27" t="s">
        <v>1343</v>
      </c>
      <c r="C463" s="26"/>
      <c r="D463" s="50" t="s">
        <v>1366</v>
      </c>
      <c r="E463" s="24" t="s">
        <v>108</v>
      </c>
      <c r="F463" s="24"/>
      <c r="G463" s="59"/>
      <c r="H463" s="4"/>
      <c r="I463" s="33"/>
      <c r="J463" s="84"/>
      <c r="K463" s="3" t="str">
        <f t="shared" ca="1" si="96"/>
        <v/>
      </c>
      <c r="L463" s="30" t="s">
        <v>88</v>
      </c>
      <c r="M463" s="49"/>
      <c r="N463" s="3" t="str">
        <f t="shared" ca="1" si="97"/>
        <v/>
      </c>
      <c r="O463" s="4"/>
      <c r="P463" s="4"/>
      <c r="Q463" s="4" t="str">
        <f t="shared" si="98"/>
        <v/>
      </c>
      <c r="R463" s="4">
        <f t="shared" si="92"/>
        <v>1</v>
      </c>
      <c r="S463" s="4" t="str">
        <f t="shared" si="95"/>
        <v>0</v>
      </c>
      <c r="T463" s="4">
        <f t="shared" si="93"/>
        <v>1</v>
      </c>
      <c r="U463" s="29"/>
      <c r="V463" s="30"/>
      <c r="W463" s="30"/>
      <c r="X463" s="30"/>
      <c r="Y463" s="30"/>
      <c r="Z463" s="30"/>
      <c r="AA463" s="30"/>
      <c r="AB463" s="29"/>
      <c r="AC463" s="29"/>
      <c r="AD463" s="37" t="str">
        <f t="shared" si="100"/>
        <v/>
      </c>
      <c r="AE463" s="3" t="str">
        <f t="shared" ca="1" si="99"/>
        <v/>
      </c>
      <c r="AF463" s="38" t="str">
        <f t="shared" si="101"/>
        <v/>
      </c>
    </row>
    <row r="464" spans="1:32" s="7" customFormat="1" ht="32.15" customHeight="1" x14ac:dyDescent="0.35">
      <c r="A464" s="26">
        <f t="shared" si="89"/>
        <v>436</v>
      </c>
      <c r="B464" s="27" t="s">
        <v>1343</v>
      </c>
      <c r="C464" s="26"/>
      <c r="D464" s="50" t="s">
        <v>1366</v>
      </c>
      <c r="E464" s="24" t="s">
        <v>108</v>
      </c>
      <c r="F464" s="24"/>
      <c r="G464" s="3"/>
      <c r="H464" s="4"/>
      <c r="I464" s="4"/>
      <c r="J464" s="49"/>
      <c r="K464" s="3" t="str">
        <f t="shared" ca="1" si="96"/>
        <v/>
      </c>
      <c r="L464" s="30" t="s">
        <v>88</v>
      </c>
      <c r="M464" s="49"/>
      <c r="N464" s="3" t="str">
        <f t="shared" ca="1" si="97"/>
        <v/>
      </c>
      <c r="O464" s="36"/>
      <c r="P464" s="4"/>
      <c r="Q464" s="4" t="str">
        <f t="shared" si="98"/>
        <v/>
      </c>
      <c r="R464" s="4">
        <f t="shared" si="92"/>
        <v>1</v>
      </c>
      <c r="S464" s="4" t="str">
        <f t="shared" si="95"/>
        <v>0</v>
      </c>
      <c r="T464" s="4">
        <f t="shared" si="93"/>
        <v>1</v>
      </c>
      <c r="U464" s="29"/>
      <c r="V464" s="30"/>
      <c r="W464" s="30"/>
      <c r="X464" s="30"/>
      <c r="Y464" s="30"/>
      <c r="Z464" s="30"/>
      <c r="AA464" s="30"/>
      <c r="AB464" s="29"/>
      <c r="AC464" s="29"/>
      <c r="AD464" s="37" t="str">
        <f t="shared" si="100"/>
        <v/>
      </c>
      <c r="AE464" s="3" t="str">
        <f t="shared" ca="1" si="99"/>
        <v/>
      </c>
      <c r="AF464" s="38" t="str">
        <f t="shared" si="101"/>
        <v/>
      </c>
    </row>
    <row r="465" spans="1:32" s="7" customFormat="1" ht="32.15" customHeight="1" x14ac:dyDescent="0.35">
      <c r="A465" s="26">
        <f t="shared" si="89"/>
        <v>437</v>
      </c>
      <c r="B465" s="27" t="s">
        <v>1343</v>
      </c>
      <c r="C465" s="256" t="s">
        <v>1367</v>
      </c>
      <c r="D465" s="257"/>
      <c r="E465" s="24" t="s">
        <v>1368</v>
      </c>
      <c r="F465" s="24" t="s">
        <v>43</v>
      </c>
      <c r="G465" s="3" t="s">
        <v>1369</v>
      </c>
      <c r="H465" s="4" t="s">
        <v>887</v>
      </c>
      <c r="I465" s="4" t="s">
        <v>1370</v>
      </c>
      <c r="J465" s="5" t="s">
        <v>275</v>
      </c>
      <c r="K465" s="3" t="str">
        <f t="shared" ca="1" si="96"/>
        <v xml:space="preserve">5 Tahun 10 bulan </v>
      </c>
      <c r="L465" s="30" t="s">
        <v>346</v>
      </c>
      <c r="M465" s="5" t="s">
        <v>275</v>
      </c>
      <c r="N465" s="3" t="str">
        <f t="shared" ca="1" si="97"/>
        <v xml:space="preserve">5 Tahun 10 bulan </v>
      </c>
      <c r="O465" s="4"/>
      <c r="P465" s="4" t="s">
        <v>35</v>
      </c>
      <c r="Q465" s="4" t="str">
        <f t="shared" si="98"/>
        <v>Laki-Laki</v>
      </c>
      <c r="R465" s="4">
        <f t="shared" si="92"/>
        <v>1</v>
      </c>
      <c r="S465" s="4" t="str">
        <f t="shared" si="95"/>
        <v>1</v>
      </c>
      <c r="T465" s="4">
        <f t="shared" si="93"/>
        <v>0</v>
      </c>
      <c r="U465" s="29"/>
      <c r="V465" s="30" t="s">
        <v>50</v>
      </c>
      <c r="W465" s="30"/>
      <c r="X465" s="30"/>
      <c r="Y465" s="30"/>
      <c r="Z465" s="30"/>
      <c r="AA465" s="30"/>
      <c r="AB465" s="29"/>
      <c r="AC465" s="29"/>
      <c r="AD465" s="37">
        <f t="shared" si="100"/>
        <v>28702</v>
      </c>
      <c r="AE465" s="3" t="str">
        <f t="shared" ca="1" si="99"/>
        <v>48 Tahun 1 bulan 1 Hari</v>
      </c>
      <c r="AF465" s="38">
        <f t="shared" si="101"/>
        <v>50618</v>
      </c>
    </row>
    <row r="466" spans="1:32" s="7" customFormat="1" ht="32.15" customHeight="1" x14ac:dyDescent="0.35">
      <c r="A466" s="26">
        <f t="shared" ref="A466:A529" si="102">A465+1</f>
        <v>438</v>
      </c>
      <c r="B466" s="27" t="s">
        <v>1343</v>
      </c>
      <c r="C466" s="26"/>
      <c r="D466" s="50" t="s">
        <v>1371</v>
      </c>
      <c r="E466" s="24" t="s">
        <v>1372</v>
      </c>
      <c r="F466" s="24" t="s">
        <v>43</v>
      </c>
      <c r="G466" s="4" t="s">
        <v>1373</v>
      </c>
      <c r="H466" s="4" t="s">
        <v>1374</v>
      </c>
      <c r="I466" s="33" t="s">
        <v>86</v>
      </c>
      <c r="J466" s="5">
        <v>44561</v>
      </c>
      <c r="K466" s="3" t="str">
        <f t="shared" ca="1" si="96"/>
        <v xml:space="preserve">4 Tahun 8 bulan </v>
      </c>
      <c r="L466" s="30" t="s">
        <v>88</v>
      </c>
      <c r="M466" s="5">
        <v>44561</v>
      </c>
      <c r="N466" s="3" t="str">
        <f t="shared" ca="1" si="97"/>
        <v xml:space="preserve">4 Tahun 8 bulan </v>
      </c>
      <c r="O466" s="4"/>
      <c r="P466" s="4" t="s">
        <v>35</v>
      </c>
      <c r="Q466" s="4" t="str">
        <f t="shared" si="98"/>
        <v>Laki-Laki</v>
      </c>
      <c r="R466" s="4">
        <f t="shared" si="92"/>
        <v>1</v>
      </c>
      <c r="S466" s="4" t="str">
        <f t="shared" si="95"/>
        <v>1</v>
      </c>
      <c r="T466" s="4">
        <f t="shared" si="93"/>
        <v>0</v>
      </c>
      <c r="U466" s="29"/>
      <c r="V466" s="30" t="s">
        <v>50</v>
      </c>
      <c r="W466" s="30"/>
      <c r="X466" s="30"/>
      <c r="Y466" s="30"/>
      <c r="Z466" s="30"/>
      <c r="AA466" s="30"/>
      <c r="AB466" s="29"/>
      <c r="AC466" s="29"/>
      <c r="AD466" s="37">
        <f t="shared" si="100"/>
        <v>24762</v>
      </c>
      <c r="AE466" s="3" t="str">
        <f t="shared" ca="1" si="99"/>
        <v>58 Tahun 10 bulan 15 Hari</v>
      </c>
      <c r="AF466" s="38">
        <f t="shared" si="101"/>
        <v>46692</v>
      </c>
    </row>
    <row r="467" spans="1:32" s="7" customFormat="1" ht="32.15" customHeight="1" x14ac:dyDescent="0.35">
      <c r="A467" s="26">
        <f t="shared" si="102"/>
        <v>439</v>
      </c>
      <c r="B467" s="27" t="s">
        <v>1343</v>
      </c>
      <c r="C467" s="26"/>
      <c r="D467" s="50" t="s">
        <v>1359</v>
      </c>
      <c r="E467" s="51" t="s">
        <v>1375</v>
      </c>
      <c r="F467" s="24" t="s">
        <v>43</v>
      </c>
      <c r="G467" s="52" t="s">
        <v>1376</v>
      </c>
      <c r="H467" s="4" t="s">
        <v>279</v>
      </c>
      <c r="I467" s="33" t="s">
        <v>86</v>
      </c>
      <c r="J467" s="5">
        <v>44561</v>
      </c>
      <c r="K467" s="3" t="str">
        <f t="shared" ca="1" si="96"/>
        <v xml:space="preserve">4 Tahun 8 bulan </v>
      </c>
      <c r="L467" s="30" t="s">
        <v>88</v>
      </c>
      <c r="M467" s="5">
        <v>44561</v>
      </c>
      <c r="N467" s="3" t="str">
        <f t="shared" ca="1" si="97"/>
        <v xml:space="preserve">4 Tahun 8 bulan </v>
      </c>
      <c r="O467" s="4"/>
      <c r="P467" s="4" t="s">
        <v>35</v>
      </c>
      <c r="Q467" s="4" t="str">
        <f t="shared" si="98"/>
        <v>Laki-Laki</v>
      </c>
      <c r="R467" s="4">
        <f t="shared" si="92"/>
        <v>1</v>
      </c>
      <c r="S467" s="4" t="str">
        <f t="shared" si="95"/>
        <v>1</v>
      </c>
      <c r="T467" s="4">
        <f t="shared" si="93"/>
        <v>0</v>
      </c>
      <c r="U467" s="29"/>
      <c r="V467" s="30" t="s">
        <v>50</v>
      </c>
      <c r="W467" s="30"/>
      <c r="X467" s="30"/>
      <c r="Y467" s="30"/>
      <c r="Z467" s="30"/>
      <c r="AA467" s="30"/>
      <c r="AB467" s="29"/>
      <c r="AC467" s="29"/>
      <c r="AD467" s="37">
        <f t="shared" si="100"/>
        <v>26364</v>
      </c>
      <c r="AE467" s="3" t="str">
        <f t="shared" ca="1" si="99"/>
        <v>54 Tahun 5 bulan 26 Hari</v>
      </c>
      <c r="AF467" s="38">
        <f t="shared" si="101"/>
        <v>48305</v>
      </c>
    </row>
    <row r="468" spans="1:32" s="7" customFormat="1" ht="32.15" customHeight="1" x14ac:dyDescent="0.35">
      <c r="A468" s="26"/>
      <c r="B468" s="32" t="s">
        <v>1377</v>
      </c>
      <c r="C468" s="280" t="s">
        <v>1378</v>
      </c>
      <c r="D468" s="281"/>
      <c r="E468" s="271" t="str">
        <f ca="1">IF(J468="","",CONCATENATE(DATEDIF(J468,NOW(),"Y")," Tahun ",DATEDIF(J468,NOW(),"YM")," bulan "))</f>
        <v/>
      </c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  <c r="AB468" s="272"/>
      <c r="AC468" s="272"/>
      <c r="AD468" s="272"/>
      <c r="AE468" s="272"/>
      <c r="AF468" s="273"/>
    </row>
    <row r="469" spans="1:32" s="7" customFormat="1" ht="32.15" customHeight="1" x14ac:dyDescent="0.35">
      <c r="A469" s="26">
        <f>A467+1</f>
        <v>440</v>
      </c>
      <c r="B469" s="32" t="s">
        <v>1377</v>
      </c>
      <c r="C469" s="278" t="s">
        <v>1379</v>
      </c>
      <c r="D469" s="279"/>
      <c r="E469" s="24" t="s">
        <v>1380</v>
      </c>
      <c r="F469" s="24" t="s">
        <v>43</v>
      </c>
      <c r="G469" s="3" t="s">
        <v>1381</v>
      </c>
      <c r="H469" s="4" t="s">
        <v>60</v>
      </c>
      <c r="I469" s="33" t="s">
        <v>46</v>
      </c>
      <c r="J469" s="5" t="s">
        <v>652</v>
      </c>
      <c r="K469" s="3" t="str">
        <f t="shared" ca="1" si="96"/>
        <v xml:space="preserve">2 Tahun 11 bulan </v>
      </c>
      <c r="L469" s="30" t="s">
        <v>56</v>
      </c>
      <c r="M469" s="5" t="s">
        <v>652</v>
      </c>
      <c r="N469" s="3" t="str">
        <f t="shared" ca="1" si="97"/>
        <v xml:space="preserve">2 Tahun 11 bulan </v>
      </c>
      <c r="O469" s="36" t="s">
        <v>81</v>
      </c>
      <c r="P469" s="4" t="s">
        <v>35</v>
      </c>
      <c r="Q469" s="4" t="str">
        <f t="shared" si="98"/>
        <v>Laki-Laki</v>
      </c>
      <c r="R469" s="4">
        <f>R467</f>
        <v>1</v>
      </c>
      <c r="S469" s="4" t="str">
        <f>IF(E469="LOWONG","0","1")</f>
        <v>1</v>
      </c>
      <c r="T469" s="4">
        <f t="shared" si="93"/>
        <v>0</v>
      </c>
      <c r="U469" s="29"/>
      <c r="V469" s="30" t="s">
        <v>50</v>
      </c>
      <c r="W469" s="30"/>
      <c r="X469" s="30"/>
      <c r="Y469" s="30"/>
      <c r="Z469" s="30"/>
      <c r="AA469" s="30"/>
      <c r="AB469" s="29"/>
      <c r="AC469" s="29"/>
      <c r="AD469" s="37">
        <f t="shared" si="100"/>
        <v>28257</v>
      </c>
      <c r="AE469" s="3" t="str">
        <f t="shared" ca="1" si="99"/>
        <v>49 Tahun 3 bulan 20 Hari</v>
      </c>
      <c r="AF469" s="38">
        <f t="shared" si="101"/>
        <v>50192</v>
      </c>
    </row>
    <row r="470" spans="1:32" s="7" customFormat="1" ht="32.15" customHeight="1" x14ac:dyDescent="0.35">
      <c r="A470" s="26">
        <f t="shared" si="102"/>
        <v>441</v>
      </c>
      <c r="B470" s="32" t="s">
        <v>1377</v>
      </c>
      <c r="C470" s="256" t="s">
        <v>1382</v>
      </c>
      <c r="D470" s="257"/>
      <c r="E470" s="24" t="s">
        <v>486</v>
      </c>
      <c r="F470" s="24" t="s">
        <v>43</v>
      </c>
      <c r="G470" s="4" t="s">
        <v>487</v>
      </c>
      <c r="H470" s="4" t="s">
        <v>488</v>
      </c>
      <c r="I470" s="33" t="s">
        <v>46</v>
      </c>
      <c r="J470" s="5" t="s">
        <v>626</v>
      </c>
      <c r="K470" s="3" t="str">
        <f t="shared" ca="1" si="96"/>
        <v xml:space="preserve">7 Tahun 7 bulan </v>
      </c>
      <c r="L470" s="30" t="s">
        <v>79</v>
      </c>
      <c r="M470" s="5" t="s">
        <v>626</v>
      </c>
      <c r="N470" s="3" t="str">
        <f t="shared" ca="1" si="97"/>
        <v xml:space="preserve">7 Tahun 7 bulan </v>
      </c>
      <c r="O470" s="4" t="s">
        <v>81</v>
      </c>
      <c r="P470" s="4" t="s">
        <v>35</v>
      </c>
      <c r="Q470" s="4" t="str">
        <f t="shared" si="98"/>
        <v>Laki-Laki</v>
      </c>
      <c r="R470" s="4">
        <f t="shared" si="92"/>
        <v>1</v>
      </c>
      <c r="S470" s="4" t="str">
        <f>IF(E470="LOWONG","0","1")</f>
        <v>1</v>
      </c>
      <c r="T470" s="4">
        <f t="shared" si="93"/>
        <v>0</v>
      </c>
      <c r="U470" s="29"/>
      <c r="V470" s="30" t="s">
        <v>50</v>
      </c>
      <c r="W470" s="30"/>
      <c r="X470" s="30"/>
      <c r="Y470" s="30"/>
      <c r="Z470" s="30"/>
      <c r="AA470" s="30"/>
      <c r="AB470" s="29"/>
      <c r="AC470" s="29"/>
      <c r="AD470" s="37">
        <f t="shared" si="100"/>
        <v>26053</v>
      </c>
      <c r="AE470" s="3" t="str">
        <f t="shared" ca="1" si="99"/>
        <v>55 Tahun 4 bulan 2 Hari</v>
      </c>
      <c r="AF470" s="38">
        <f t="shared" si="101"/>
        <v>47969</v>
      </c>
    </row>
    <row r="471" spans="1:32" s="7" customFormat="1" ht="32.15" customHeight="1" x14ac:dyDescent="0.35">
      <c r="A471" s="26">
        <f t="shared" si="102"/>
        <v>442</v>
      </c>
      <c r="B471" s="32" t="s">
        <v>1377</v>
      </c>
      <c r="C471" s="26"/>
      <c r="D471" s="50" t="s">
        <v>1383</v>
      </c>
      <c r="E471" s="24" t="s">
        <v>1384</v>
      </c>
      <c r="F471" s="24" t="s">
        <v>43</v>
      </c>
      <c r="G471" s="3" t="s">
        <v>1385</v>
      </c>
      <c r="H471" s="4" t="s">
        <v>85</v>
      </c>
      <c r="I471" s="33" t="s">
        <v>1386</v>
      </c>
      <c r="J471" s="5">
        <v>45993</v>
      </c>
      <c r="K471" s="3" t="str">
        <f t="shared" ca="1" si="96"/>
        <v xml:space="preserve">0 Tahun 8 bulan </v>
      </c>
      <c r="L471" s="30" t="s">
        <v>200</v>
      </c>
      <c r="M471" s="5" t="s">
        <v>338</v>
      </c>
      <c r="N471" s="3" t="str">
        <f t="shared" ca="1" si="97"/>
        <v xml:space="preserve">2 Tahun 11 bulan </v>
      </c>
      <c r="O471" s="4"/>
      <c r="P471" s="4" t="s">
        <v>35</v>
      </c>
      <c r="Q471" s="4" t="str">
        <f t="shared" si="98"/>
        <v>Laki-Laki</v>
      </c>
      <c r="R471" s="4">
        <f t="shared" si="92"/>
        <v>1</v>
      </c>
      <c r="S471" s="4" t="str">
        <f>IF(E471="LOWONG","0","1")</f>
        <v>1</v>
      </c>
      <c r="T471" s="4">
        <f t="shared" si="93"/>
        <v>0</v>
      </c>
      <c r="U471" s="29"/>
      <c r="V471" s="30" t="s">
        <v>50</v>
      </c>
      <c r="W471" s="30"/>
      <c r="X471" s="30"/>
      <c r="Y471" s="30"/>
      <c r="Z471" s="30"/>
      <c r="AA471" s="30"/>
      <c r="AB471" s="29"/>
      <c r="AC471" s="29"/>
      <c r="AD471" s="37">
        <f t="shared" si="100"/>
        <v>27173</v>
      </c>
      <c r="AE471" s="3" t="str">
        <f t="shared" ca="1" si="99"/>
        <v>52 Tahun 3 bulan 8 Hari</v>
      </c>
      <c r="AF471" s="38">
        <f t="shared" si="101"/>
        <v>49096</v>
      </c>
    </row>
    <row r="472" spans="1:32" s="7" customFormat="1" ht="32.15" customHeight="1" x14ac:dyDescent="0.35">
      <c r="A472" s="26">
        <f t="shared" si="102"/>
        <v>443</v>
      </c>
      <c r="B472" s="32" t="s">
        <v>1377</v>
      </c>
      <c r="C472" s="26"/>
      <c r="D472" s="50" t="s">
        <v>1387</v>
      </c>
      <c r="E472" s="24" t="s">
        <v>1388</v>
      </c>
      <c r="F472" s="24" t="s">
        <v>43</v>
      </c>
      <c r="G472" s="3" t="s">
        <v>2972</v>
      </c>
      <c r="H472" s="4" t="s">
        <v>2015</v>
      </c>
      <c r="I472" s="33" t="s">
        <v>86</v>
      </c>
      <c r="J472" s="5">
        <v>45993</v>
      </c>
      <c r="K472" s="3" t="str">
        <f t="shared" ca="1" si="96"/>
        <v xml:space="preserve">0 Tahun 8 bulan </v>
      </c>
      <c r="L472" s="30" t="s">
        <v>200</v>
      </c>
      <c r="M472" s="5">
        <v>45993</v>
      </c>
      <c r="N472" s="3" t="str">
        <f t="shared" ca="1" si="97"/>
        <v xml:space="preserve">0 Tahun 8 bulan </v>
      </c>
      <c r="O472" s="4"/>
      <c r="P472" s="4"/>
      <c r="Q472" s="4" t="str">
        <f t="shared" si="98"/>
        <v>Perempuan</v>
      </c>
      <c r="R472" s="4"/>
      <c r="S472" s="4"/>
      <c r="T472" s="4"/>
      <c r="U472" s="29"/>
      <c r="V472" s="30"/>
      <c r="W472" s="30"/>
      <c r="X472" s="30"/>
      <c r="Y472" s="30"/>
      <c r="Z472" s="30"/>
      <c r="AA472" s="30"/>
      <c r="AB472" s="29"/>
      <c r="AC472" s="29"/>
      <c r="AD472" s="37">
        <f t="shared" si="100"/>
        <v>26166</v>
      </c>
      <c r="AE472" s="3" t="str">
        <f t="shared" ca="1" si="99"/>
        <v>55 Tahun 0 bulan 11 Hari</v>
      </c>
      <c r="AF472" s="38">
        <f t="shared" si="101"/>
        <v>48092</v>
      </c>
    </row>
    <row r="473" spans="1:32" s="7" customFormat="1" ht="32.15" customHeight="1" x14ac:dyDescent="0.35">
      <c r="A473" s="26">
        <f t="shared" si="102"/>
        <v>444</v>
      </c>
      <c r="B473" s="32" t="s">
        <v>1377</v>
      </c>
      <c r="C473" s="26"/>
      <c r="D473" s="50" t="s">
        <v>1389</v>
      </c>
      <c r="E473" s="24" t="s">
        <v>1390</v>
      </c>
      <c r="F473" s="24" t="s">
        <v>43</v>
      </c>
      <c r="G473" s="4" t="s">
        <v>1391</v>
      </c>
      <c r="H473" s="56" t="s">
        <v>1392</v>
      </c>
      <c r="I473" s="33" t="s">
        <v>46</v>
      </c>
      <c r="J473" s="5">
        <v>44561</v>
      </c>
      <c r="K473" s="3" t="str">
        <f t="shared" ca="1" si="96"/>
        <v xml:space="preserve">4 Tahun 8 bulan </v>
      </c>
      <c r="L473" s="30" t="s">
        <v>88</v>
      </c>
      <c r="M473" s="5">
        <v>44561</v>
      </c>
      <c r="N473" s="3" t="str">
        <f t="shared" ca="1" si="97"/>
        <v xml:space="preserve">4 Tahun 8 bulan </v>
      </c>
      <c r="O473" s="4"/>
      <c r="P473" s="4" t="s">
        <v>35</v>
      </c>
      <c r="Q473" s="4" t="str">
        <f t="shared" si="98"/>
        <v>Perempuan</v>
      </c>
      <c r="R473" s="4">
        <f>R471</f>
        <v>1</v>
      </c>
      <c r="S473" s="4" t="str">
        <f t="shared" ref="S473:S485" si="103">IF(E473="LOWONG","0","1")</f>
        <v>1</v>
      </c>
      <c r="T473" s="4">
        <f t="shared" si="93"/>
        <v>0</v>
      </c>
      <c r="U473" s="29"/>
      <c r="V473" s="30"/>
      <c r="W473" s="30"/>
      <c r="X473" s="30"/>
      <c r="Y473" s="30"/>
      <c r="Z473" s="30"/>
      <c r="AA473" s="30"/>
      <c r="AB473" s="29"/>
      <c r="AC473" s="29"/>
      <c r="AD473" s="37">
        <f t="shared" si="100"/>
        <v>30444</v>
      </c>
      <c r="AE473" s="3" t="str">
        <f t="shared" ca="1" si="99"/>
        <v>43 Tahun 3 bulan 24 Hari</v>
      </c>
      <c r="AF473" s="38">
        <f t="shared" si="101"/>
        <v>52383</v>
      </c>
    </row>
    <row r="474" spans="1:32" s="7" customFormat="1" ht="32.15" customHeight="1" x14ac:dyDescent="0.35">
      <c r="A474" s="26">
        <f t="shared" si="102"/>
        <v>445</v>
      </c>
      <c r="B474" s="32" t="s">
        <v>1377</v>
      </c>
      <c r="C474" s="256" t="s">
        <v>1393</v>
      </c>
      <c r="D474" s="257"/>
      <c r="E474" s="24" t="s">
        <v>1477</v>
      </c>
      <c r="F474" s="24" t="s">
        <v>43</v>
      </c>
      <c r="G474" s="3" t="s">
        <v>1478</v>
      </c>
      <c r="H474" s="4" t="s">
        <v>135</v>
      </c>
      <c r="I474" s="33" t="s">
        <v>1479</v>
      </c>
      <c r="J474" s="5">
        <v>46260</v>
      </c>
      <c r="K474" s="3" t="str">
        <f t="shared" ca="1" si="96"/>
        <v xml:space="preserve">0 Tahun 0 bulan </v>
      </c>
      <c r="L474" s="30" t="s">
        <v>346</v>
      </c>
      <c r="M474" s="5">
        <v>46260</v>
      </c>
      <c r="N474" s="3" t="str">
        <f t="shared" ca="1" si="97"/>
        <v xml:space="preserve">0 Tahun 0 bulan </v>
      </c>
      <c r="O474" s="4"/>
      <c r="P474" s="4" t="s">
        <v>35</v>
      </c>
      <c r="Q474" s="4" t="str">
        <f t="shared" si="98"/>
        <v>Laki-Laki</v>
      </c>
      <c r="R474" s="4">
        <f t="shared" ref="R474:R537" si="104">R473</f>
        <v>1</v>
      </c>
      <c r="S474" s="4" t="str">
        <f t="shared" si="103"/>
        <v>1</v>
      </c>
      <c r="T474" s="4">
        <f t="shared" si="93"/>
        <v>0</v>
      </c>
      <c r="U474" s="29"/>
      <c r="V474" s="30" t="s">
        <v>50</v>
      </c>
      <c r="W474" s="30"/>
      <c r="X474" s="30"/>
      <c r="Y474" s="30"/>
      <c r="Z474" s="30"/>
      <c r="AA474" s="30"/>
      <c r="AB474" s="29"/>
      <c r="AC474" s="29"/>
      <c r="AD474" s="37">
        <f t="shared" si="100"/>
        <v>31350</v>
      </c>
      <c r="AE474" s="3" t="str">
        <f t="shared" ca="1" si="99"/>
        <v>40 Tahun 10 bulan 2 Hari</v>
      </c>
      <c r="AF474" s="38">
        <f t="shared" si="101"/>
        <v>53267</v>
      </c>
    </row>
    <row r="475" spans="1:32" s="7" customFormat="1" ht="32.15" customHeight="1" x14ac:dyDescent="0.35">
      <c r="A475" s="26">
        <f t="shared" si="102"/>
        <v>446</v>
      </c>
      <c r="B475" s="32" t="s">
        <v>1377</v>
      </c>
      <c r="C475" s="26"/>
      <c r="D475" s="50" t="s">
        <v>1394</v>
      </c>
      <c r="E475" s="45" t="s">
        <v>1395</v>
      </c>
      <c r="F475" s="24" t="s">
        <v>43</v>
      </c>
      <c r="G475" s="36" t="s">
        <v>1396</v>
      </c>
      <c r="H475" s="56" t="s">
        <v>414</v>
      </c>
      <c r="I475" s="4" t="s">
        <v>1397</v>
      </c>
      <c r="J475" s="5">
        <v>44561</v>
      </c>
      <c r="K475" s="3" t="str">
        <f t="shared" ca="1" si="96"/>
        <v xml:space="preserve">4 Tahun 8 bulan </v>
      </c>
      <c r="L475" s="30" t="s">
        <v>88</v>
      </c>
      <c r="M475" s="5">
        <v>44561</v>
      </c>
      <c r="N475" s="3" t="str">
        <f t="shared" ca="1" si="97"/>
        <v xml:space="preserve">4 Tahun 8 bulan </v>
      </c>
      <c r="O475" s="36"/>
      <c r="P475" s="4" t="s">
        <v>35</v>
      </c>
      <c r="Q475" s="4" t="str">
        <f t="shared" si="98"/>
        <v>Laki-Laki</v>
      </c>
      <c r="R475" s="4">
        <f t="shared" si="104"/>
        <v>1</v>
      </c>
      <c r="S475" s="4" t="str">
        <f t="shared" si="103"/>
        <v>1</v>
      </c>
      <c r="T475" s="4">
        <f t="shared" si="93"/>
        <v>0</v>
      </c>
      <c r="U475" s="29"/>
      <c r="V475" s="30" t="s">
        <v>50</v>
      </c>
      <c r="W475" s="30"/>
      <c r="X475" s="30"/>
      <c r="Y475" s="30"/>
      <c r="Z475" s="30"/>
      <c r="AA475" s="30"/>
      <c r="AB475" s="29"/>
      <c r="AC475" s="29"/>
      <c r="AD475" s="37">
        <f t="shared" si="100"/>
        <v>27772</v>
      </c>
      <c r="AE475" s="3" t="str">
        <f t="shared" ca="1" si="99"/>
        <v>50 Tahun 7 bulan 19 Hari</v>
      </c>
      <c r="AF475" s="38">
        <f t="shared" si="101"/>
        <v>49706</v>
      </c>
    </row>
    <row r="476" spans="1:32" s="7" customFormat="1" ht="32.15" customHeight="1" x14ac:dyDescent="0.35">
      <c r="A476" s="26">
        <f t="shared" si="102"/>
        <v>447</v>
      </c>
      <c r="B476" s="32" t="s">
        <v>1377</v>
      </c>
      <c r="C476" s="26"/>
      <c r="D476" s="50" t="s">
        <v>1398</v>
      </c>
      <c r="E476" s="24" t="s">
        <v>1399</v>
      </c>
      <c r="F476" s="24" t="s">
        <v>43</v>
      </c>
      <c r="G476" s="4" t="s">
        <v>1400</v>
      </c>
      <c r="H476" s="56" t="s">
        <v>241</v>
      </c>
      <c r="I476" s="101" t="s">
        <v>1401</v>
      </c>
      <c r="J476" s="5">
        <v>44561</v>
      </c>
      <c r="K476" s="3" t="str">
        <f t="shared" ca="1" si="96"/>
        <v xml:space="preserve">4 Tahun 8 bulan </v>
      </c>
      <c r="L476" s="30" t="s">
        <v>88</v>
      </c>
      <c r="M476" s="5">
        <v>44561</v>
      </c>
      <c r="N476" s="3" t="str">
        <f t="shared" ca="1" si="97"/>
        <v xml:space="preserve">4 Tahun 8 bulan </v>
      </c>
      <c r="O476" s="35"/>
      <c r="P476" s="4" t="s">
        <v>35</v>
      </c>
      <c r="Q476" s="4" t="str">
        <f t="shared" si="98"/>
        <v>Laki-Laki</v>
      </c>
      <c r="R476" s="4">
        <f t="shared" si="104"/>
        <v>1</v>
      </c>
      <c r="S476" s="4" t="str">
        <f t="shared" si="103"/>
        <v>1</v>
      </c>
      <c r="T476" s="4">
        <f t="shared" si="93"/>
        <v>0</v>
      </c>
      <c r="U476" s="29"/>
      <c r="V476" s="30" t="s">
        <v>50</v>
      </c>
      <c r="W476" s="30"/>
      <c r="X476" s="30"/>
      <c r="Y476" s="30"/>
      <c r="Z476" s="30"/>
      <c r="AA476" s="30"/>
      <c r="AB476" s="29"/>
      <c r="AC476" s="29"/>
      <c r="AD476" s="37">
        <f t="shared" si="100"/>
        <v>30343</v>
      </c>
      <c r="AE476" s="3" t="str">
        <f t="shared" ca="1" si="99"/>
        <v>43 Tahun 7 bulan 5 Hari</v>
      </c>
      <c r="AF476" s="38">
        <f t="shared" si="101"/>
        <v>52263</v>
      </c>
    </row>
    <row r="477" spans="1:32" s="7" customFormat="1" ht="32.15" customHeight="1" x14ac:dyDescent="0.35">
      <c r="A477" s="26">
        <f t="shared" si="102"/>
        <v>448</v>
      </c>
      <c r="B477" s="32" t="s">
        <v>1377</v>
      </c>
      <c r="C477" s="256" t="s">
        <v>1402</v>
      </c>
      <c r="D477" s="257"/>
      <c r="E477" s="24" t="s">
        <v>1403</v>
      </c>
      <c r="F477" s="24" t="s">
        <v>43</v>
      </c>
      <c r="G477" s="4" t="s">
        <v>1404</v>
      </c>
      <c r="H477" s="56" t="s">
        <v>132</v>
      </c>
      <c r="I477" s="33" t="s">
        <v>46</v>
      </c>
      <c r="J477" s="5" t="s">
        <v>565</v>
      </c>
      <c r="K477" s="3" t="str">
        <f t="shared" ca="1" si="96"/>
        <v xml:space="preserve">5 Tahun 9 bulan </v>
      </c>
      <c r="L477" s="30" t="s">
        <v>346</v>
      </c>
      <c r="M477" s="5" t="s">
        <v>565</v>
      </c>
      <c r="N477" s="3" t="str">
        <f t="shared" ca="1" si="97"/>
        <v xml:space="preserve">5 Tahun 9 bulan </v>
      </c>
      <c r="O477" s="4" t="s">
        <v>128</v>
      </c>
      <c r="P477" s="4" t="s">
        <v>968</v>
      </c>
      <c r="Q477" s="4" t="str">
        <f t="shared" si="98"/>
        <v>Perempuan</v>
      </c>
      <c r="R477" s="4">
        <f t="shared" si="104"/>
        <v>1</v>
      </c>
      <c r="S477" s="4" t="str">
        <f t="shared" si="103"/>
        <v>1</v>
      </c>
      <c r="T477" s="4">
        <f t="shared" si="93"/>
        <v>0</v>
      </c>
      <c r="U477" s="29"/>
      <c r="V477" s="30"/>
      <c r="W477" s="30"/>
      <c r="X477" s="30"/>
      <c r="Y477" s="30"/>
      <c r="Z477" s="30"/>
      <c r="AA477" s="30"/>
      <c r="AB477" s="29"/>
      <c r="AC477" s="29"/>
      <c r="AD477" s="37">
        <f t="shared" si="100"/>
        <v>28649</v>
      </c>
      <c r="AE477" s="3" t="str">
        <f t="shared" ca="1" si="99"/>
        <v>48 Tahun 2 bulan 24 Hari</v>
      </c>
      <c r="AF477" s="38">
        <f t="shared" si="101"/>
        <v>50587</v>
      </c>
    </row>
    <row r="478" spans="1:32" s="7" customFormat="1" ht="32.15" customHeight="1" x14ac:dyDescent="0.35">
      <c r="A478" s="26">
        <f t="shared" si="102"/>
        <v>449</v>
      </c>
      <c r="B478" s="32" t="s">
        <v>1377</v>
      </c>
      <c r="C478" s="26"/>
      <c r="D478" s="50" t="s">
        <v>1405</v>
      </c>
      <c r="E478" s="39" t="s">
        <v>1406</v>
      </c>
      <c r="F478" s="24" t="s">
        <v>43</v>
      </c>
      <c r="G478" s="25" t="s">
        <v>1407</v>
      </c>
      <c r="H478" s="56" t="s">
        <v>192</v>
      </c>
      <c r="I478" s="25" t="s">
        <v>86</v>
      </c>
      <c r="J478" s="5" t="s">
        <v>87</v>
      </c>
      <c r="K478" s="3" t="str">
        <f t="shared" ca="1" si="96"/>
        <v xml:space="preserve">4 Tahun 8 bulan </v>
      </c>
      <c r="L478" s="30" t="s">
        <v>88</v>
      </c>
      <c r="M478" s="5">
        <v>44561</v>
      </c>
      <c r="N478" s="3" t="str">
        <f t="shared" ca="1" si="97"/>
        <v xml:space="preserve">4 Tahun 8 bulan </v>
      </c>
      <c r="O478" s="4"/>
      <c r="P478" s="4" t="s">
        <v>35</v>
      </c>
      <c r="Q478" s="4" t="str">
        <f t="shared" si="98"/>
        <v>Laki-Laki</v>
      </c>
      <c r="R478" s="4">
        <f t="shared" si="104"/>
        <v>1</v>
      </c>
      <c r="S478" s="4" t="str">
        <f t="shared" si="103"/>
        <v>1</v>
      </c>
      <c r="T478" s="4">
        <f t="shared" si="93"/>
        <v>0</v>
      </c>
      <c r="U478" s="29"/>
      <c r="V478" s="30" t="s">
        <v>50</v>
      </c>
      <c r="W478" s="30"/>
      <c r="X478" s="30"/>
      <c r="Y478" s="30"/>
      <c r="Z478" s="30"/>
      <c r="AA478" s="30"/>
      <c r="AB478" s="29"/>
      <c r="AC478" s="29"/>
      <c r="AD478" s="37">
        <f t="shared" si="100"/>
        <v>25241</v>
      </c>
      <c r="AE478" s="3" t="str">
        <f t="shared" ca="1" si="99"/>
        <v>57 Tahun 6 bulan 25 Hari</v>
      </c>
      <c r="AF478" s="38">
        <f t="shared" si="101"/>
        <v>47178</v>
      </c>
    </row>
    <row r="479" spans="1:32" s="7" customFormat="1" ht="32.15" customHeight="1" x14ac:dyDescent="0.35">
      <c r="A479" s="26">
        <f t="shared" si="102"/>
        <v>450</v>
      </c>
      <c r="B479" s="32" t="s">
        <v>1377</v>
      </c>
      <c r="C479" s="26"/>
      <c r="D479" s="50" t="s">
        <v>1405</v>
      </c>
      <c r="E479" s="51" t="s">
        <v>1408</v>
      </c>
      <c r="F479" s="24" t="s">
        <v>43</v>
      </c>
      <c r="G479" s="59" t="s">
        <v>1409</v>
      </c>
      <c r="H479" s="4" t="s">
        <v>410</v>
      </c>
      <c r="I479" s="33" t="s">
        <v>86</v>
      </c>
      <c r="J479" s="5" t="s">
        <v>87</v>
      </c>
      <c r="K479" s="3" t="str">
        <f t="shared" ca="1" si="96"/>
        <v xml:space="preserve">4 Tahun 8 bulan </v>
      </c>
      <c r="L479" s="30" t="s">
        <v>88</v>
      </c>
      <c r="M479" s="5">
        <v>44561</v>
      </c>
      <c r="N479" s="3" t="str">
        <f t="shared" ca="1" si="97"/>
        <v xml:space="preserve">4 Tahun 8 bulan </v>
      </c>
      <c r="O479" s="4"/>
      <c r="P479" s="4" t="s">
        <v>35</v>
      </c>
      <c r="Q479" s="4" t="str">
        <f t="shared" si="98"/>
        <v>Perempuan</v>
      </c>
      <c r="R479" s="4">
        <f t="shared" si="104"/>
        <v>1</v>
      </c>
      <c r="S479" s="4" t="str">
        <f t="shared" si="103"/>
        <v>1</v>
      </c>
      <c r="T479" s="4">
        <f t="shared" si="93"/>
        <v>0</v>
      </c>
      <c r="U479" s="29"/>
      <c r="V479" s="30"/>
      <c r="W479" s="30"/>
      <c r="X479" s="30"/>
      <c r="Y479" s="30"/>
      <c r="Z479" s="30"/>
      <c r="AA479" s="30"/>
      <c r="AB479" s="29"/>
      <c r="AC479" s="29"/>
      <c r="AD479" s="37">
        <f t="shared" si="100"/>
        <v>28747</v>
      </c>
      <c r="AE479" s="3" t="str">
        <f t="shared" ca="1" si="99"/>
        <v>47 Tahun 11 bulan 18 Hari</v>
      </c>
      <c r="AF479" s="38">
        <f t="shared" si="101"/>
        <v>50679</v>
      </c>
    </row>
    <row r="480" spans="1:32" s="7" customFormat="1" ht="32.15" customHeight="1" x14ac:dyDescent="0.35">
      <c r="A480" s="26">
        <f t="shared" si="102"/>
        <v>451</v>
      </c>
      <c r="B480" s="32" t="s">
        <v>1377</v>
      </c>
      <c r="C480" s="256" t="s">
        <v>1410</v>
      </c>
      <c r="D480" s="257"/>
      <c r="E480" s="24" t="s">
        <v>1411</v>
      </c>
      <c r="F480" s="24" t="s">
        <v>43</v>
      </c>
      <c r="G480" s="4" t="s">
        <v>1412</v>
      </c>
      <c r="H480" s="56" t="s">
        <v>1413</v>
      </c>
      <c r="I480" s="33" t="s">
        <v>46</v>
      </c>
      <c r="J480" s="5" t="s">
        <v>127</v>
      </c>
      <c r="K480" s="3" t="str">
        <f t="shared" ca="1" si="96"/>
        <v xml:space="preserve">5 Tahun 6 bulan </v>
      </c>
      <c r="L480" s="30" t="s">
        <v>346</v>
      </c>
      <c r="M480" s="5" t="s">
        <v>127</v>
      </c>
      <c r="N480" s="3" t="str">
        <f t="shared" ca="1" si="97"/>
        <v xml:space="preserve">5 Tahun 6 bulan </v>
      </c>
      <c r="O480" s="4"/>
      <c r="P480" s="4" t="s">
        <v>35</v>
      </c>
      <c r="Q480" s="4" t="str">
        <f t="shared" si="98"/>
        <v>Perempuan</v>
      </c>
      <c r="R480" s="4">
        <f t="shared" si="104"/>
        <v>1</v>
      </c>
      <c r="S480" s="4" t="str">
        <f t="shared" si="103"/>
        <v>1</v>
      </c>
      <c r="T480" s="4">
        <f t="shared" si="93"/>
        <v>0</v>
      </c>
      <c r="U480" s="29"/>
      <c r="V480" s="30"/>
      <c r="W480" s="30"/>
      <c r="X480" s="30"/>
      <c r="Y480" s="30"/>
      <c r="Z480" s="30"/>
      <c r="AA480" s="30"/>
      <c r="AB480" s="29"/>
      <c r="AC480" s="29"/>
      <c r="AD480" s="37">
        <f t="shared" si="100"/>
        <v>27863</v>
      </c>
      <c r="AE480" s="3" t="str">
        <f t="shared" ca="1" si="99"/>
        <v>50 Tahun 4 bulan 19 Hari</v>
      </c>
      <c r="AF480" s="38">
        <f t="shared" si="101"/>
        <v>49796</v>
      </c>
    </row>
    <row r="481" spans="1:32" s="7" customFormat="1" ht="32.15" customHeight="1" x14ac:dyDescent="0.35">
      <c r="A481" s="26">
        <f t="shared" si="102"/>
        <v>452</v>
      </c>
      <c r="B481" s="32" t="s">
        <v>1377</v>
      </c>
      <c r="C481" s="26"/>
      <c r="D481" s="50" t="s">
        <v>1414</v>
      </c>
      <c r="E481" s="24" t="s">
        <v>108</v>
      </c>
      <c r="F481" s="24"/>
      <c r="G481" s="4"/>
      <c r="H481" s="56"/>
      <c r="I481" s="33"/>
      <c r="J481" s="49"/>
      <c r="K481" s="3" t="str">
        <f t="shared" ca="1" si="96"/>
        <v/>
      </c>
      <c r="L481" s="30" t="s">
        <v>88</v>
      </c>
      <c r="M481" s="49"/>
      <c r="N481" s="3" t="str">
        <f t="shared" ca="1" si="97"/>
        <v/>
      </c>
      <c r="O481" s="4"/>
      <c r="P481" s="4"/>
      <c r="Q481" s="4" t="str">
        <f t="shared" si="98"/>
        <v/>
      </c>
      <c r="R481" s="4">
        <f t="shared" si="104"/>
        <v>1</v>
      </c>
      <c r="S481" s="4" t="str">
        <f t="shared" si="103"/>
        <v>0</v>
      </c>
      <c r="T481" s="4">
        <f t="shared" si="93"/>
        <v>1</v>
      </c>
      <c r="U481" s="29"/>
      <c r="V481" s="30"/>
      <c r="W481" s="30"/>
      <c r="X481" s="30"/>
      <c r="Y481" s="30"/>
      <c r="Z481" s="30"/>
      <c r="AA481" s="30"/>
      <c r="AB481" s="29"/>
      <c r="AC481" s="29"/>
      <c r="AD481" s="37" t="str">
        <f t="shared" si="100"/>
        <v/>
      </c>
      <c r="AE481" s="3" t="str">
        <f t="shared" ca="1" si="99"/>
        <v/>
      </c>
      <c r="AF481" s="38" t="str">
        <f t="shared" si="101"/>
        <v/>
      </c>
    </row>
    <row r="482" spans="1:32" s="7" customFormat="1" ht="32.15" customHeight="1" x14ac:dyDescent="0.35">
      <c r="A482" s="26">
        <f t="shared" si="102"/>
        <v>453</v>
      </c>
      <c r="B482" s="32" t="s">
        <v>1377</v>
      </c>
      <c r="C482" s="26"/>
      <c r="D482" s="50" t="s">
        <v>1415</v>
      </c>
      <c r="E482" s="51" t="s">
        <v>1416</v>
      </c>
      <c r="F482" s="24" t="s">
        <v>43</v>
      </c>
      <c r="G482" s="52" t="s">
        <v>1417</v>
      </c>
      <c r="H482" s="4" t="s">
        <v>554</v>
      </c>
      <c r="I482" s="33" t="s">
        <v>46</v>
      </c>
      <c r="J482" s="5">
        <v>44561</v>
      </c>
      <c r="K482" s="3" t="str">
        <f t="shared" ca="1" si="96"/>
        <v xml:space="preserve">4 Tahun 8 bulan </v>
      </c>
      <c r="L482" s="30" t="s">
        <v>88</v>
      </c>
      <c r="M482" s="5">
        <v>44561</v>
      </c>
      <c r="N482" s="3" t="str">
        <f t="shared" ca="1" si="97"/>
        <v xml:space="preserve">4 Tahun 8 bulan </v>
      </c>
      <c r="O482" s="4"/>
      <c r="P482" s="4" t="s">
        <v>35</v>
      </c>
      <c r="Q482" s="4" t="str">
        <f t="shared" si="98"/>
        <v>Perempuan</v>
      </c>
      <c r="R482" s="4">
        <f t="shared" si="104"/>
        <v>1</v>
      </c>
      <c r="S482" s="4" t="str">
        <f t="shared" si="103"/>
        <v>1</v>
      </c>
      <c r="T482" s="4">
        <f t="shared" si="93"/>
        <v>0</v>
      </c>
      <c r="U482" s="29"/>
      <c r="V482" s="30"/>
      <c r="W482" s="30"/>
      <c r="X482" s="30"/>
      <c r="Y482" s="30"/>
      <c r="Z482" s="30"/>
      <c r="AA482" s="30"/>
      <c r="AB482" s="29"/>
      <c r="AC482" s="29"/>
      <c r="AD482" s="37">
        <f t="shared" si="100"/>
        <v>28709</v>
      </c>
      <c r="AE482" s="3" t="str">
        <f t="shared" ca="1" si="99"/>
        <v>48 Tahun 0 bulan 25 Hari</v>
      </c>
      <c r="AF482" s="38">
        <f t="shared" si="101"/>
        <v>50649</v>
      </c>
    </row>
    <row r="483" spans="1:32" s="7" customFormat="1" ht="32.15" customHeight="1" x14ac:dyDescent="0.35">
      <c r="A483" s="26">
        <f t="shared" si="102"/>
        <v>454</v>
      </c>
      <c r="B483" s="32" t="s">
        <v>1377</v>
      </c>
      <c r="C483" s="256" t="s">
        <v>1418</v>
      </c>
      <c r="D483" s="257"/>
      <c r="E483" s="39" t="s">
        <v>3053</v>
      </c>
      <c r="F483" s="24" t="s">
        <v>43</v>
      </c>
      <c r="G483" s="25" t="s">
        <v>3054</v>
      </c>
      <c r="H483" s="25" t="s">
        <v>454</v>
      </c>
      <c r="I483" s="25" t="s">
        <v>86</v>
      </c>
      <c r="J483" s="5">
        <v>46260</v>
      </c>
      <c r="K483" s="3" t="str">
        <f t="shared" ca="1" si="96"/>
        <v xml:space="preserve">0 Tahun 0 bulan </v>
      </c>
      <c r="L483" s="30" t="s">
        <v>346</v>
      </c>
      <c r="M483" s="5" t="s">
        <v>98</v>
      </c>
      <c r="N483" s="3" t="str">
        <f t="shared" ca="1" si="97"/>
        <v xml:space="preserve">3 Tahun 0 bulan </v>
      </c>
      <c r="O483" s="4"/>
      <c r="P483" s="4" t="s">
        <v>35</v>
      </c>
      <c r="Q483" s="4" t="str">
        <f t="shared" si="98"/>
        <v>Laki-Laki</v>
      </c>
      <c r="R483" s="4">
        <f t="shared" si="104"/>
        <v>1</v>
      </c>
      <c r="S483" s="4" t="str">
        <f t="shared" si="103"/>
        <v>1</v>
      </c>
      <c r="T483" s="4">
        <f t="shared" si="93"/>
        <v>0</v>
      </c>
      <c r="U483" s="29"/>
      <c r="V483" s="30" t="s">
        <v>50</v>
      </c>
      <c r="W483" s="30"/>
      <c r="X483" s="30"/>
      <c r="Y483" s="30"/>
      <c r="Z483" s="30"/>
      <c r="AA483" s="30"/>
      <c r="AB483" s="29"/>
      <c r="AC483" s="29"/>
      <c r="AD483" s="37">
        <f t="shared" si="100"/>
        <v>26438</v>
      </c>
      <c r="AE483" s="3" t="str">
        <f t="shared" ca="1" si="99"/>
        <v>54 Tahun 3 bulan 13 Hari</v>
      </c>
      <c r="AF483" s="38">
        <f t="shared" si="101"/>
        <v>48366</v>
      </c>
    </row>
    <row r="484" spans="1:32" s="7" customFormat="1" ht="32.15" customHeight="1" x14ac:dyDescent="0.35">
      <c r="A484" s="26">
        <f t="shared" si="102"/>
        <v>455</v>
      </c>
      <c r="B484" s="32" t="s">
        <v>1377</v>
      </c>
      <c r="C484" s="26"/>
      <c r="D484" s="50" t="s">
        <v>1394</v>
      </c>
      <c r="E484" s="45" t="s">
        <v>108</v>
      </c>
      <c r="F484" s="45"/>
      <c r="G484" s="36"/>
      <c r="H484" s="56"/>
      <c r="I484" s="4"/>
      <c r="J484" s="49"/>
      <c r="K484" s="3" t="str">
        <f t="shared" ca="1" si="96"/>
        <v/>
      </c>
      <c r="L484" s="30" t="s">
        <v>88</v>
      </c>
      <c r="M484" s="49"/>
      <c r="N484" s="3" t="str">
        <f t="shared" ca="1" si="97"/>
        <v/>
      </c>
      <c r="O484" s="36"/>
      <c r="P484" s="4"/>
      <c r="Q484" s="4" t="str">
        <f t="shared" si="98"/>
        <v/>
      </c>
      <c r="R484" s="4">
        <f t="shared" si="104"/>
        <v>1</v>
      </c>
      <c r="S484" s="4" t="str">
        <f t="shared" si="103"/>
        <v>0</v>
      </c>
      <c r="T484" s="4">
        <f t="shared" si="93"/>
        <v>1</v>
      </c>
      <c r="U484" s="29"/>
      <c r="V484" s="30" t="s">
        <v>50</v>
      </c>
      <c r="W484" s="30"/>
      <c r="X484" s="30"/>
      <c r="Y484" s="30"/>
      <c r="Z484" s="30"/>
      <c r="AA484" s="30"/>
      <c r="AB484" s="29"/>
      <c r="AC484" s="29"/>
      <c r="AD484" s="37" t="str">
        <f t="shared" si="100"/>
        <v/>
      </c>
      <c r="AE484" s="3" t="str">
        <f t="shared" ca="1" si="99"/>
        <v/>
      </c>
      <c r="AF484" s="38" t="str">
        <f t="shared" si="101"/>
        <v/>
      </c>
    </row>
    <row r="485" spans="1:32" s="7" customFormat="1" ht="32.15" customHeight="1" x14ac:dyDescent="0.35">
      <c r="A485" s="26">
        <f t="shared" si="102"/>
        <v>456</v>
      </c>
      <c r="B485" s="32" t="s">
        <v>1377</v>
      </c>
      <c r="C485" s="26"/>
      <c r="D485" s="50" t="s">
        <v>1398</v>
      </c>
      <c r="E485" s="24" t="s">
        <v>108</v>
      </c>
      <c r="F485" s="24"/>
      <c r="G485" s="4"/>
      <c r="H485" s="56"/>
      <c r="I485" s="101"/>
      <c r="J485" s="49"/>
      <c r="K485" s="3" t="str">
        <f t="shared" ca="1" si="96"/>
        <v/>
      </c>
      <c r="L485" s="30" t="s">
        <v>88</v>
      </c>
      <c r="M485" s="49"/>
      <c r="N485" s="3" t="str">
        <f t="shared" ca="1" si="97"/>
        <v/>
      </c>
      <c r="O485" s="35"/>
      <c r="P485" s="4"/>
      <c r="Q485" s="4" t="str">
        <f t="shared" si="98"/>
        <v/>
      </c>
      <c r="R485" s="4">
        <f t="shared" si="104"/>
        <v>1</v>
      </c>
      <c r="S485" s="4" t="str">
        <f t="shared" si="103"/>
        <v>0</v>
      </c>
      <c r="T485" s="4">
        <f t="shared" si="93"/>
        <v>1</v>
      </c>
      <c r="U485" s="29"/>
      <c r="V485" s="30" t="s">
        <v>50</v>
      </c>
      <c r="W485" s="30"/>
      <c r="X485" s="30"/>
      <c r="Y485" s="30"/>
      <c r="Z485" s="30"/>
      <c r="AA485" s="30"/>
      <c r="AB485" s="29"/>
      <c r="AC485" s="29"/>
      <c r="AD485" s="37" t="str">
        <f t="shared" si="100"/>
        <v/>
      </c>
      <c r="AE485" s="3" t="str">
        <f t="shared" ca="1" si="99"/>
        <v/>
      </c>
      <c r="AF485" s="38" t="str">
        <f t="shared" si="101"/>
        <v/>
      </c>
    </row>
    <row r="486" spans="1:32" s="7" customFormat="1" ht="32.15" customHeight="1" x14ac:dyDescent="0.35">
      <c r="A486" s="26"/>
      <c r="B486" s="32" t="s">
        <v>1422</v>
      </c>
      <c r="C486" s="269" t="s">
        <v>1423</v>
      </c>
      <c r="D486" s="270"/>
      <c r="E486" s="24"/>
      <c r="F486" s="24"/>
      <c r="G486" s="4"/>
      <c r="H486" s="4"/>
      <c r="I486" s="33"/>
      <c r="J486" s="5"/>
      <c r="K486" s="3"/>
      <c r="L486" s="30"/>
      <c r="M486" s="5"/>
      <c r="N486" s="3"/>
      <c r="O486" s="4"/>
      <c r="P486" s="4"/>
      <c r="Q486" s="4"/>
      <c r="R486" s="4"/>
      <c r="S486" s="4"/>
      <c r="T486" s="4"/>
      <c r="U486" s="29"/>
      <c r="V486" s="30"/>
      <c r="W486" s="30"/>
      <c r="X486" s="30"/>
      <c r="Y486" s="30"/>
      <c r="Z486" s="29"/>
      <c r="AA486" s="29"/>
      <c r="AB486" s="29"/>
      <c r="AC486" s="29"/>
      <c r="AD486" s="37"/>
      <c r="AE486" s="3"/>
      <c r="AF486" s="38"/>
    </row>
    <row r="487" spans="1:32" s="7" customFormat="1" ht="33.75" customHeight="1" x14ac:dyDescent="0.35">
      <c r="A487" s="26">
        <f>A485+1</f>
        <v>457</v>
      </c>
      <c r="B487" s="32" t="s">
        <v>1422</v>
      </c>
      <c r="C487" s="278" t="s">
        <v>1424</v>
      </c>
      <c r="D487" s="279"/>
      <c r="E487" s="24" t="s">
        <v>1425</v>
      </c>
      <c r="F487" s="24" t="s">
        <v>43</v>
      </c>
      <c r="G487" s="4" t="s">
        <v>1426</v>
      </c>
      <c r="H487" s="4" t="s">
        <v>303</v>
      </c>
      <c r="I487" s="33" t="s">
        <v>46</v>
      </c>
      <c r="J487" s="5" t="s">
        <v>325</v>
      </c>
      <c r="K487" s="3" t="str">
        <f t="shared" ca="1" si="96"/>
        <v xml:space="preserve">1 Tahun 9 bulan </v>
      </c>
      <c r="L487" s="30" t="s">
        <v>56</v>
      </c>
      <c r="M487" s="5" t="s">
        <v>325</v>
      </c>
      <c r="N487" s="3" t="str">
        <f t="shared" ca="1" si="97"/>
        <v xml:space="preserve">1 Tahun 9 bulan </v>
      </c>
      <c r="O487" s="44" t="s">
        <v>32</v>
      </c>
      <c r="P487" s="4" t="s">
        <v>35</v>
      </c>
      <c r="Q487" s="4" t="str">
        <f t="shared" si="98"/>
        <v>Laki-Laki</v>
      </c>
      <c r="R487" s="4">
        <f>R482</f>
        <v>1</v>
      </c>
      <c r="S487" s="4" t="str">
        <f t="shared" ref="S487:S511" si="105">IF(E487="LOWONG","0","1")</f>
        <v>1</v>
      </c>
      <c r="T487" s="4">
        <f t="shared" si="93"/>
        <v>0</v>
      </c>
      <c r="U487" s="29"/>
      <c r="V487" s="30" t="s">
        <v>50</v>
      </c>
      <c r="W487" s="65" t="s">
        <v>32</v>
      </c>
      <c r="X487" s="102">
        <f>31/32*100</f>
        <v>96.875</v>
      </c>
      <c r="Y487" s="102">
        <f>4/4*100</f>
        <v>100</v>
      </c>
      <c r="Z487" s="25" t="s">
        <v>1427</v>
      </c>
      <c r="AA487" s="30">
        <v>2022</v>
      </c>
      <c r="AB487" s="29"/>
      <c r="AC487" s="29"/>
      <c r="AD487" s="37">
        <f t="shared" si="100"/>
        <v>28637</v>
      </c>
      <c r="AE487" s="3" t="str">
        <f t="shared" ca="1" si="99"/>
        <v>48 Tahun 3 bulan 5 Hari</v>
      </c>
      <c r="AF487" s="38">
        <f t="shared" si="101"/>
        <v>50557</v>
      </c>
    </row>
    <row r="488" spans="1:32" s="7" customFormat="1" ht="32.15" customHeight="1" x14ac:dyDescent="0.35">
      <c r="A488" s="26">
        <f t="shared" si="102"/>
        <v>458</v>
      </c>
      <c r="B488" s="32" t="s">
        <v>1422</v>
      </c>
      <c r="C488" s="256" t="s">
        <v>1428</v>
      </c>
      <c r="D488" s="257"/>
      <c r="E488" s="24" t="s">
        <v>1429</v>
      </c>
      <c r="F488" s="24" t="s">
        <v>43</v>
      </c>
      <c r="G488" s="4" t="s">
        <v>1430</v>
      </c>
      <c r="H488" s="4" t="s">
        <v>385</v>
      </c>
      <c r="I488" s="33" t="s">
        <v>46</v>
      </c>
      <c r="J488" s="5" t="s">
        <v>98</v>
      </c>
      <c r="K488" s="3" t="str">
        <f t="shared" ca="1" si="96"/>
        <v xml:space="preserve">3 Tahun 0 bulan </v>
      </c>
      <c r="L488" s="30" t="s">
        <v>79</v>
      </c>
      <c r="M488" s="5" t="s">
        <v>98</v>
      </c>
      <c r="N488" s="3" t="str">
        <f t="shared" ca="1" si="97"/>
        <v xml:space="preserve">3 Tahun 0 bulan </v>
      </c>
      <c r="O488" s="4" t="s">
        <v>128</v>
      </c>
      <c r="P488" s="4" t="s">
        <v>35</v>
      </c>
      <c r="Q488" s="4" t="str">
        <f t="shared" si="98"/>
        <v>Laki-Laki</v>
      </c>
      <c r="R488" s="4">
        <f t="shared" si="104"/>
        <v>1</v>
      </c>
      <c r="S488" s="4" t="str">
        <f t="shared" si="105"/>
        <v>1</v>
      </c>
      <c r="T488" s="4">
        <f t="shared" si="93"/>
        <v>0</v>
      </c>
      <c r="U488" s="29"/>
      <c r="V488" s="30" t="s">
        <v>50</v>
      </c>
      <c r="W488" s="30"/>
      <c r="X488" s="30"/>
      <c r="Y488" s="30"/>
      <c r="Z488" s="30"/>
      <c r="AA488" s="30"/>
      <c r="AB488" s="29"/>
      <c r="AC488" s="29"/>
      <c r="AD488" s="37">
        <f t="shared" si="100"/>
        <v>29468</v>
      </c>
      <c r="AE488" s="3" t="str">
        <f t="shared" ca="1" si="99"/>
        <v>45 Tahun 11 bulan 28 Hari</v>
      </c>
      <c r="AF488" s="38">
        <f t="shared" si="101"/>
        <v>51410</v>
      </c>
    </row>
    <row r="489" spans="1:32" s="7" customFormat="1" ht="32.15" customHeight="1" x14ac:dyDescent="0.35">
      <c r="A489" s="26">
        <f t="shared" si="102"/>
        <v>459</v>
      </c>
      <c r="B489" s="32" t="s">
        <v>1422</v>
      </c>
      <c r="C489" s="26"/>
      <c r="D489" s="50" t="s">
        <v>1431</v>
      </c>
      <c r="E489" s="24" t="s">
        <v>1432</v>
      </c>
      <c r="F489" s="24" t="s">
        <v>43</v>
      </c>
      <c r="G489" s="3" t="s">
        <v>1433</v>
      </c>
      <c r="H489" s="4" t="s">
        <v>85</v>
      </c>
      <c r="I489" s="33" t="s">
        <v>184</v>
      </c>
      <c r="J489" s="5" t="s">
        <v>386</v>
      </c>
      <c r="K489" s="3" t="str">
        <f t="shared" ca="1" si="96"/>
        <v xml:space="preserve">5 Tahun 5 bulan </v>
      </c>
      <c r="L489" s="30" t="s">
        <v>200</v>
      </c>
      <c r="M489" s="5" t="s">
        <v>386</v>
      </c>
      <c r="N489" s="3" t="str">
        <f t="shared" ca="1" si="97"/>
        <v xml:space="preserve">5 Tahun 5 bulan </v>
      </c>
      <c r="O489" s="29"/>
      <c r="P489" s="4" t="s">
        <v>35</v>
      </c>
      <c r="Q489" s="4" t="str">
        <f t="shared" si="98"/>
        <v>Laki-Laki</v>
      </c>
      <c r="R489" s="4">
        <f t="shared" si="104"/>
        <v>1</v>
      </c>
      <c r="S489" s="4" t="str">
        <f t="shared" si="105"/>
        <v>1</v>
      </c>
      <c r="T489" s="4">
        <f t="shared" si="93"/>
        <v>0</v>
      </c>
      <c r="U489" s="29"/>
      <c r="V489" s="30" t="s">
        <v>50</v>
      </c>
      <c r="W489" s="30"/>
      <c r="X489" s="30"/>
      <c r="Y489" s="30"/>
      <c r="Z489" s="30"/>
      <c r="AA489" s="30"/>
      <c r="AB489" s="29"/>
      <c r="AC489" s="29"/>
      <c r="AD489" s="37">
        <f t="shared" si="100"/>
        <v>28994</v>
      </c>
      <c r="AE489" s="3" t="str">
        <f t="shared" ca="1" si="99"/>
        <v>47 Tahun 3 bulan 13 Hari</v>
      </c>
      <c r="AF489" s="38">
        <f t="shared" si="101"/>
        <v>50922</v>
      </c>
    </row>
    <row r="490" spans="1:32" s="7" customFormat="1" ht="32.15" customHeight="1" x14ac:dyDescent="0.35">
      <c r="A490" s="26">
        <f t="shared" si="102"/>
        <v>460</v>
      </c>
      <c r="B490" s="32" t="s">
        <v>1422</v>
      </c>
      <c r="C490" s="26"/>
      <c r="D490" s="50" t="s">
        <v>1434</v>
      </c>
      <c r="E490" s="24" t="s">
        <v>1435</v>
      </c>
      <c r="F490" s="24" t="s">
        <v>43</v>
      </c>
      <c r="G490" s="4" t="s">
        <v>1436</v>
      </c>
      <c r="H490" s="4" t="s">
        <v>274</v>
      </c>
      <c r="I490" s="33" t="s">
        <v>46</v>
      </c>
      <c r="J490" s="5">
        <v>44561</v>
      </c>
      <c r="K490" s="3" t="str">
        <f t="shared" ca="1" si="96"/>
        <v xml:space="preserve">4 Tahun 8 bulan </v>
      </c>
      <c r="L490" s="30" t="s">
        <v>88</v>
      </c>
      <c r="M490" s="5">
        <v>44561</v>
      </c>
      <c r="N490" s="3" t="str">
        <f t="shared" ca="1" si="97"/>
        <v xml:space="preserve">4 Tahun 8 bulan </v>
      </c>
      <c r="O490" s="4"/>
      <c r="P490" s="4" t="s">
        <v>35</v>
      </c>
      <c r="Q490" s="4" t="str">
        <f t="shared" si="98"/>
        <v>Perempuan</v>
      </c>
      <c r="R490" s="4">
        <f t="shared" si="104"/>
        <v>1</v>
      </c>
      <c r="S490" s="4" t="str">
        <f t="shared" si="105"/>
        <v>1</v>
      </c>
      <c r="T490" s="4">
        <f t="shared" si="93"/>
        <v>0</v>
      </c>
      <c r="U490" s="29"/>
      <c r="V490" s="30"/>
      <c r="W490" s="30"/>
      <c r="X490" s="30"/>
      <c r="Y490" s="30"/>
      <c r="Z490" s="30"/>
      <c r="AA490" s="30"/>
      <c r="AB490" s="29"/>
      <c r="AC490" s="29"/>
      <c r="AD490" s="37">
        <f t="shared" si="100"/>
        <v>28693</v>
      </c>
      <c r="AE490" s="3" t="str">
        <f t="shared" ca="1" si="99"/>
        <v>48 Tahun 1 bulan 10 Hari</v>
      </c>
      <c r="AF490" s="38">
        <f t="shared" si="101"/>
        <v>50618</v>
      </c>
    </row>
    <row r="491" spans="1:32" s="7" customFormat="1" ht="32.15" customHeight="1" x14ac:dyDescent="0.35">
      <c r="A491" s="26">
        <f t="shared" si="102"/>
        <v>461</v>
      </c>
      <c r="B491" s="32" t="s">
        <v>1422</v>
      </c>
      <c r="C491" s="26"/>
      <c r="D491" s="50" t="s">
        <v>1437</v>
      </c>
      <c r="E491" s="51" t="s">
        <v>1438</v>
      </c>
      <c r="F491" s="24" t="s">
        <v>43</v>
      </c>
      <c r="G491" s="52" t="s">
        <v>1439</v>
      </c>
      <c r="H491" s="4" t="s">
        <v>410</v>
      </c>
      <c r="I491" s="33" t="s">
        <v>86</v>
      </c>
      <c r="J491" s="5" t="s">
        <v>292</v>
      </c>
      <c r="K491" s="3" t="str">
        <f t="shared" ca="1" si="96"/>
        <v xml:space="preserve">7 Tahun 7 bulan </v>
      </c>
      <c r="L491" s="30" t="s">
        <v>200</v>
      </c>
      <c r="M491" s="5" t="s">
        <v>292</v>
      </c>
      <c r="N491" s="3" t="str">
        <f t="shared" ca="1" si="97"/>
        <v xml:space="preserve">7 Tahun 7 bulan </v>
      </c>
      <c r="O491" s="4"/>
      <c r="P491" s="4" t="s">
        <v>35</v>
      </c>
      <c r="Q491" s="4" t="str">
        <f t="shared" si="98"/>
        <v>Laki-Laki</v>
      </c>
      <c r="R491" s="4">
        <f t="shared" si="104"/>
        <v>1</v>
      </c>
      <c r="S491" s="4" t="str">
        <f t="shared" si="105"/>
        <v>1</v>
      </c>
      <c r="T491" s="4">
        <f t="shared" ref="T491:T570" si="106">R491-S491</f>
        <v>0</v>
      </c>
      <c r="U491" s="29"/>
      <c r="V491" s="30" t="s">
        <v>50</v>
      </c>
      <c r="W491" s="30"/>
      <c r="X491" s="30"/>
      <c r="Y491" s="30"/>
      <c r="Z491" s="30"/>
      <c r="AA491" s="30"/>
      <c r="AB491" s="29"/>
      <c r="AC491" s="29"/>
      <c r="AD491" s="37">
        <f t="shared" si="100"/>
        <v>30725</v>
      </c>
      <c r="AE491" s="3" t="str">
        <f t="shared" ca="1" si="99"/>
        <v>42 Tahun 6 bulan 19 Hari</v>
      </c>
      <c r="AF491" s="38">
        <f t="shared" si="101"/>
        <v>52657</v>
      </c>
    </row>
    <row r="492" spans="1:32" s="7" customFormat="1" ht="32.15" customHeight="1" x14ac:dyDescent="0.35">
      <c r="A492" s="26">
        <f t="shared" si="102"/>
        <v>462</v>
      </c>
      <c r="B492" s="32" t="s">
        <v>1422</v>
      </c>
      <c r="C492" s="256" t="s">
        <v>1440</v>
      </c>
      <c r="D492" s="257"/>
      <c r="E492" s="51" t="s">
        <v>1441</v>
      </c>
      <c r="F492" s="24" t="s">
        <v>43</v>
      </c>
      <c r="G492" s="33" t="s">
        <v>1468</v>
      </c>
      <c r="H492" s="4" t="s">
        <v>385</v>
      </c>
      <c r="I492" s="33" t="s">
        <v>1961</v>
      </c>
      <c r="J492" s="33">
        <v>46087</v>
      </c>
      <c r="K492" s="3" t="str">
        <f t="shared" ca="1" si="96"/>
        <v xml:space="preserve">0 Tahun 5 bulan </v>
      </c>
      <c r="L492" s="30" t="s">
        <v>346</v>
      </c>
      <c r="M492" s="5">
        <v>46087</v>
      </c>
      <c r="N492" s="3" t="str">
        <f t="shared" ca="1" si="97"/>
        <v xml:space="preserve">0 Tahun 5 bulan </v>
      </c>
      <c r="O492" s="4"/>
      <c r="P492" s="4" t="s">
        <v>35</v>
      </c>
      <c r="Q492" s="4" t="str">
        <f t="shared" si="98"/>
        <v>Laki-Laki</v>
      </c>
      <c r="R492" s="4">
        <f t="shared" si="104"/>
        <v>1</v>
      </c>
      <c r="S492" s="4" t="str">
        <f t="shared" si="105"/>
        <v>1</v>
      </c>
      <c r="T492" s="4">
        <f t="shared" si="106"/>
        <v>0</v>
      </c>
      <c r="U492" s="29"/>
      <c r="V492" s="30"/>
      <c r="W492" s="30"/>
      <c r="X492" s="30"/>
      <c r="Y492" s="30"/>
      <c r="Z492" s="30"/>
      <c r="AA492" s="30"/>
      <c r="AB492" s="29"/>
      <c r="AC492" s="29"/>
      <c r="AD492" s="37">
        <f t="shared" si="100"/>
        <v>29221</v>
      </c>
      <c r="AE492" s="3" t="str">
        <f t="shared" ca="1" si="99"/>
        <v>46 Tahun 8 bulan 0 Hari</v>
      </c>
      <c r="AF492" s="38">
        <f t="shared" si="101"/>
        <v>51167</v>
      </c>
    </row>
    <row r="493" spans="1:32" s="7" customFormat="1" ht="32.15" customHeight="1" x14ac:dyDescent="0.35">
      <c r="A493" s="26">
        <f t="shared" si="102"/>
        <v>463</v>
      </c>
      <c r="B493" s="32" t="s">
        <v>1422</v>
      </c>
      <c r="C493" s="26"/>
      <c r="D493" s="50" t="s">
        <v>1442</v>
      </c>
      <c r="E493" s="24" t="s">
        <v>1443</v>
      </c>
      <c r="F493" s="24" t="s">
        <v>43</v>
      </c>
      <c r="G493" s="3" t="s">
        <v>1444</v>
      </c>
      <c r="H493" s="4" t="s">
        <v>241</v>
      </c>
      <c r="I493" s="33" t="s">
        <v>362</v>
      </c>
      <c r="J493" s="5">
        <v>44561</v>
      </c>
      <c r="K493" s="3" t="str">
        <f t="shared" ca="1" si="96"/>
        <v xml:space="preserve">4 Tahun 8 bulan </v>
      </c>
      <c r="L493" s="30" t="s">
        <v>88</v>
      </c>
      <c r="M493" s="5">
        <v>44561</v>
      </c>
      <c r="N493" s="3" t="str">
        <f t="shared" ca="1" si="97"/>
        <v xml:space="preserve">4 Tahun 8 bulan </v>
      </c>
      <c r="O493" s="4"/>
      <c r="P493" s="4" t="s">
        <v>35</v>
      </c>
      <c r="Q493" s="4" t="str">
        <f t="shared" si="98"/>
        <v>Laki-Laki</v>
      </c>
      <c r="R493" s="4">
        <f t="shared" si="104"/>
        <v>1</v>
      </c>
      <c r="S493" s="4" t="str">
        <f t="shared" si="105"/>
        <v>1</v>
      </c>
      <c r="T493" s="4">
        <f t="shared" si="106"/>
        <v>0</v>
      </c>
      <c r="U493" s="29"/>
      <c r="V493" s="30" t="s">
        <v>50</v>
      </c>
      <c r="W493" s="30"/>
      <c r="X493" s="30"/>
      <c r="Y493" s="30"/>
      <c r="Z493" s="30"/>
      <c r="AA493" s="30"/>
      <c r="AB493" s="29"/>
      <c r="AC493" s="29"/>
      <c r="AD493" s="37">
        <f t="shared" si="100"/>
        <v>28910</v>
      </c>
      <c r="AE493" s="3" t="str">
        <f t="shared" ca="1" si="99"/>
        <v>47 Tahun 6 bulan 8 Hari</v>
      </c>
      <c r="AF493" s="38">
        <f t="shared" si="101"/>
        <v>50830</v>
      </c>
    </row>
    <row r="494" spans="1:32" s="7" customFormat="1" ht="32.15" customHeight="1" x14ac:dyDescent="0.35">
      <c r="A494" s="26">
        <f t="shared" si="102"/>
        <v>464</v>
      </c>
      <c r="B494" s="32" t="s">
        <v>1422</v>
      </c>
      <c r="C494" s="26"/>
      <c r="D494" s="50" t="s">
        <v>1442</v>
      </c>
      <c r="E494" s="51" t="s">
        <v>108</v>
      </c>
      <c r="F494" s="51"/>
      <c r="G494" s="59"/>
      <c r="H494" s="4"/>
      <c r="I494" s="33"/>
      <c r="J494" s="5"/>
      <c r="K494" s="3" t="str">
        <f ca="1">IF(J494="","",CONCATENATE(DATEDIF(J494,NOW(),"Y")," Tahun ",DATEDIF(J494,NOW(),"YM")," bulan "))</f>
        <v/>
      </c>
      <c r="L494" s="30" t="s">
        <v>88</v>
      </c>
      <c r="M494" s="5"/>
      <c r="N494" s="3" t="str">
        <f ca="1">IF(M494="","",CONCATENATE(DATEDIF(M494,NOW(),"Y")," Tahun ",DATEDIF(M494,NOW(),"YM")," bulan "))</f>
        <v/>
      </c>
      <c r="O494" s="4"/>
      <c r="P494" s="4"/>
      <c r="Q494" s="4" t="str">
        <f t="shared" si="98"/>
        <v/>
      </c>
      <c r="R494" s="4">
        <f t="shared" si="104"/>
        <v>1</v>
      </c>
      <c r="S494" s="4" t="str">
        <f t="shared" si="105"/>
        <v>0</v>
      </c>
      <c r="T494" s="4">
        <f t="shared" si="106"/>
        <v>1</v>
      </c>
      <c r="U494" s="29"/>
      <c r="V494" s="30" t="s">
        <v>50</v>
      </c>
      <c r="W494" s="30"/>
      <c r="X494" s="30"/>
      <c r="Y494" s="30"/>
      <c r="Z494" s="30"/>
      <c r="AA494" s="30"/>
      <c r="AB494" s="29"/>
      <c r="AC494" s="29"/>
      <c r="AD494" s="37" t="str">
        <f t="shared" si="100"/>
        <v/>
      </c>
      <c r="AE494" s="3" t="str">
        <f t="shared" ca="1" si="99"/>
        <v/>
      </c>
      <c r="AF494" s="38" t="str">
        <f t="shared" si="101"/>
        <v/>
      </c>
    </row>
    <row r="495" spans="1:32" s="7" customFormat="1" ht="32.15" customHeight="1" x14ac:dyDescent="0.35">
      <c r="A495" s="26">
        <f t="shared" si="102"/>
        <v>465</v>
      </c>
      <c r="B495" s="32" t="s">
        <v>1422</v>
      </c>
      <c r="C495" s="26"/>
      <c r="D495" s="50" t="s">
        <v>1442</v>
      </c>
      <c r="E495" s="24" t="s">
        <v>1446</v>
      </c>
      <c r="F495" s="24" t="s">
        <v>43</v>
      </c>
      <c r="G495" s="3" t="s">
        <v>1447</v>
      </c>
      <c r="H495" s="4" t="s">
        <v>1448</v>
      </c>
      <c r="I495" s="33" t="s">
        <v>86</v>
      </c>
      <c r="J495" s="5">
        <v>44561</v>
      </c>
      <c r="K495" s="3" t="str">
        <f t="shared" ca="1" si="96"/>
        <v xml:space="preserve">4 Tahun 8 bulan </v>
      </c>
      <c r="L495" s="30" t="s">
        <v>88</v>
      </c>
      <c r="M495" s="5">
        <v>44561</v>
      </c>
      <c r="N495" s="3" t="str">
        <f t="shared" ref="N495:N558" ca="1" si="107">IF(M495="","",CONCATENATE(DATEDIF(M495,NOW(),"Y")," Tahun ",DATEDIF(M495,NOW(),"YM")," bulan "))</f>
        <v xml:space="preserve">4 Tahun 8 bulan </v>
      </c>
      <c r="O495" s="4"/>
      <c r="P495" s="4" t="s">
        <v>35</v>
      </c>
      <c r="Q495" s="4" t="str">
        <f t="shared" si="98"/>
        <v>Perempuan</v>
      </c>
      <c r="R495" s="4">
        <f t="shared" si="104"/>
        <v>1</v>
      </c>
      <c r="S495" s="4" t="str">
        <f t="shared" si="105"/>
        <v>1</v>
      </c>
      <c r="T495" s="4">
        <f t="shared" si="106"/>
        <v>0</v>
      </c>
      <c r="U495" s="29"/>
      <c r="V495" s="30"/>
      <c r="W495" s="30"/>
      <c r="X495" s="30"/>
      <c r="Y495" s="30"/>
      <c r="Z495" s="30"/>
      <c r="AA495" s="30"/>
      <c r="AB495" s="29"/>
      <c r="AC495" s="29"/>
      <c r="AD495" s="37">
        <f t="shared" si="100"/>
        <v>27290</v>
      </c>
      <c r="AE495" s="3" t="str">
        <f t="shared" ca="1" si="99"/>
        <v>51 Tahun 11 bulan 14 Hari</v>
      </c>
      <c r="AF495" s="38">
        <f t="shared" si="101"/>
        <v>49218</v>
      </c>
    </row>
    <row r="496" spans="1:32" s="7" customFormat="1" ht="33.75" customHeight="1" x14ac:dyDescent="0.35">
      <c r="A496" s="26">
        <f t="shared" si="102"/>
        <v>466</v>
      </c>
      <c r="B496" s="32" t="s">
        <v>1422</v>
      </c>
      <c r="C496" s="256" t="s">
        <v>1449</v>
      </c>
      <c r="D496" s="257"/>
      <c r="E496" s="24" t="s">
        <v>1450</v>
      </c>
      <c r="F496" s="24" t="s">
        <v>43</v>
      </c>
      <c r="G496" s="103" t="s">
        <v>1451</v>
      </c>
      <c r="H496" s="4" t="s">
        <v>1452</v>
      </c>
      <c r="I496" s="33" t="s">
        <v>46</v>
      </c>
      <c r="J496" s="5">
        <v>45916</v>
      </c>
      <c r="K496" s="3" t="str">
        <f t="shared" ca="1" si="96"/>
        <v xml:space="preserve">0 Tahun 11 bulan </v>
      </c>
      <c r="L496" s="30" t="s">
        <v>346</v>
      </c>
      <c r="M496" s="5" t="s">
        <v>1453</v>
      </c>
      <c r="N496" s="3" t="str">
        <f t="shared" ca="1" si="107"/>
        <v xml:space="preserve">3 Tahun 8 bulan </v>
      </c>
      <c r="O496" s="4"/>
      <c r="P496" s="4" t="s">
        <v>35</v>
      </c>
      <c r="Q496" s="4" t="str">
        <f t="shared" si="98"/>
        <v>Laki-Laki</v>
      </c>
      <c r="R496" s="4">
        <f t="shared" si="104"/>
        <v>1</v>
      </c>
      <c r="S496" s="4" t="str">
        <f t="shared" si="105"/>
        <v>1</v>
      </c>
      <c r="T496" s="4">
        <f t="shared" si="106"/>
        <v>0</v>
      </c>
      <c r="U496" s="29"/>
      <c r="V496" s="30" t="s">
        <v>50</v>
      </c>
      <c r="W496" s="30"/>
      <c r="X496" s="30"/>
      <c r="Y496" s="30"/>
      <c r="Z496" s="30"/>
      <c r="AA496" s="30"/>
      <c r="AB496" s="29"/>
      <c r="AC496" s="29"/>
      <c r="AD496" s="37">
        <f t="shared" si="100"/>
        <v>30813</v>
      </c>
      <c r="AE496" s="3" t="str">
        <f t="shared" ca="1" si="99"/>
        <v>42 Tahun 3 bulan 21 Hari</v>
      </c>
      <c r="AF496" s="38">
        <f t="shared" si="101"/>
        <v>52749</v>
      </c>
    </row>
    <row r="497" spans="1:32" s="7" customFormat="1" ht="32.15" customHeight="1" x14ac:dyDescent="0.35">
      <c r="A497" s="26">
        <f t="shared" si="102"/>
        <v>467</v>
      </c>
      <c r="B497" s="32" t="s">
        <v>1422</v>
      </c>
      <c r="C497" s="26"/>
      <c r="D497" s="50" t="s">
        <v>1442</v>
      </c>
      <c r="E497" s="24" t="s">
        <v>1454</v>
      </c>
      <c r="F497" s="24" t="s">
        <v>43</v>
      </c>
      <c r="G497" s="4" t="s">
        <v>1455</v>
      </c>
      <c r="H497" s="4" t="s">
        <v>274</v>
      </c>
      <c r="I497" s="33" t="s">
        <v>1456</v>
      </c>
      <c r="J497" s="5" t="s">
        <v>87</v>
      </c>
      <c r="K497" s="3" t="str">
        <f t="shared" ca="1" si="96"/>
        <v xml:space="preserve">4 Tahun 8 bulan </v>
      </c>
      <c r="L497" s="30" t="s">
        <v>88</v>
      </c>
      <c r="M497" s="5">
        <v>44561</v>
      </c>
      <c r="N497" s="3" t="str">
        <f t="shared" ca="1" si="107"/>
        <v xml:space="preserve">4 Tahun 8 bulan </v>
      </c>
      <c r="O497" s="4"/>
      <c r="P497" s="4" t="s">
        <v>35</v>
      </c>
      <c r="Q497" s="4" t="str">
        <f t="shared" si="98"/>
        <v>Perempuan</v>
      </c>
      <c r="R497" s="4">
        <f t="shared" si="104"/>
        <v>1</v>
      </c>
      <c r="S497" s="4" t="str">
        <f t="shared" si="105"/>
        <v>1</v>
      </c>
      <c r="T497" s="4">
        <f t="shared" si="106"/>
        <v>0</v>
      </c>
      <c r="U497" s="29"/>
      <c r="V497" s="30"/>
      <c r="W497" s="30"/>
      <c r="X497" s="30"/>
      <c r="Y497" s="30"/>
      <c r="Z497" s="30"/>
      <c r="AA497" s="30"/>
      <c r="AB497" s="29"/>
      <c r="AC497" s="29"/>
      <c r="AD497" s="37">
        <f t="shared" si="100"/>
        <v>30065</v>
      </c>
      <c r="AE497" s="3" t="str">
        <f t="shared" ca="1" si="99"/>
        <v>44 Tahun 4 bulan 8 Hari</v>
      </c>
      <c r="AF497" s="38">
        <f t="shared" si="101"/>
        <v>51987</v>
      </c>
    </row>
    <row r="498" spans="1:32" s="7" customFormat="1" ht="32.15" customHeight="1" x14ac:dyDescent="0.35">
      <c r="A498" s="26">
        <f t="shared" si="102"/>
        <v>468</v>
      </c>
      <c r="B498" s="32" t="s">
        <v>1422</v>
      </c>
      <c r="C498" s="26"/>
      <c r="D498" s="50" t="s">
        <v>1442</v>
      </c>
      <c r="E498" s="24" t="s">
        <v>1457</v>
      </c>
      <c r="F498" s="24" t="s">
        <v>43</v>
      </c>
      <c r="G498" s="4" t="s">
        <v>1458</v>
      </c>
      <c r="H498" s="4" t="s">
        <v>1459</v>
      </c>
      <c r="I498" s="33" t="s">
        <v>1460</v>
      </c>
      <c r="J498" s="5" t="s">
        <v>87</v>
      </c>
      <c r="K498" s="3" t="str">
        <f t="shared" ca="1" si="96"/>
        <v xml:space="preserve">4 Tahun 8 bulan </v>
      </c>
      <c r="L498" s="30" t="s">
        <v>88</v>
      </c>
      <c r="M498" s="5">
        <v>44561</v>
      </c>
      <c r="N498" s="3" t="str">
        <f t="shared" ca="1" si="107"/>
        <v xml:space="preserve">4 Tahun 8 bulan </v>
      </c>
      <c r="O498" s="4"/>
      <c r="P498" s="4" t="s">
        <v>35</v>
      </c>
      <c r="Q498" s="4" t="str">
        <f t="shared" si="98"/>
        <v>Laki-Laki</v>
      </c>
      <c r="R498" s="4">
        <f t="shared" si="104"/>
        <v>1</v>
      </c>
      <c r="S498" s="4" t="str">
        <f t="shared" si="105"/>
        <v>1</v>
      </c>
      <c r="T498" s="4">
        <f t="shared" si="106"/>
        <v>0</v>
      </c>
      <c r="U498" s="29"/>
      <c r="V498" s="30" t="s">
        <v>50</v>
      </c>
      <c r="W498" s="30"/>
      <c r="X498" s="30"/>
      <c r="Y498" s="30"/>
      <c r="Z498" s="30"/>
      <c r="AA498" s="30"/>
      <c r="AB498" s="29"/>
      <c r="AC498" s="29"/>
      <c r="AD498" s="37">
        <f t="shared" si="100"/>
        <v>31016</v>
      </c>
      <c r="AE498" s="3" t="str">
        <f t="shared" ca="1" si="99"/>
        <v>41 Tahun 9 bulan 2 Hari</v>
      </c>
      <c r="AF498" s="38">
        <f t="shared" si="101"/>
        <v>52932</v>
      </c>
    </row>
    <row r="499" spans="1:32" s="7" customFormat="1" ht="32.15" customHeight="1" x14ac:dyDescent="0.35">
      <c r="A499" s="26">
        <f t="shared" si="102"/>
        <v>469</v>
      </c>
      <c r="B499" s="32" t="s">
        <v>1422</v>
      </c>
      <c r="C499" s="26"/>
      <c r="D499" s="50" t="s">
        <v>1442</v>
      </c>
      <c r="E499" s="24" t="s">
        <v>1461</v>
      </c>
      <c r="F499" s="24" t="s">
        <v>43</v>
      </c>
      <c r="G499" s="4" t="s">
        <v>1462</v>
      </c>
      <c r="H499" s="36" t="s">
        <v>1448</v>
      </c>
      <c r="I499" s="33" t="s">
        <v>86</v>
      </c>
      <c r="J499" s="5" t="s">
        <v>87</v>
      </c>
      <c r="K499" s="3" t="str">
        <f t="shared" ca="1" si="96"/>
        <v xml:space="preserve">4 Tahun 8 bulan </v>
      </c>
      <c r="L499" s="30" t="s">
        <v>88</v>
      </c>
      <c r="M499" s="5">
        <v>44561</v>
      </c>
      <c r="N499" s="3" t="str">
        <f t="shared" ca="1" si="107"/>
        <v xml:space="preserve">4 Tahun 8 bulan </v>
      </c>
      <c r="O499" s="35"/>
      <c r="P499" s="4" t="s">
        <v>35</v>
      </c>
      <c r="Q499" s="4" t="str">
        <f t="shared" si="98"/>
        <v>Laki-Laki</v>
      </c>
      <c r="R499" s="4">
        <f t="shared" si="104"/>
        <v>1</v>
      </c>
      <c r="S499" s="4" t="str">
        <f t="shared" si="105"/>
        <v>1</v>
      </c>
      <c r="T499" s="4">
        <f t="shared" si="106"/>
        <v>0</v>
      </c>
      <c r="U499" s="29"/>
      <c r="V499" s="30" t="s">
        <v>50</v>
      </c>
      <c r="W499" s="30"/>
      <c r="X499" s="30"/>
      <c r="Y499" s="30"/>
      <c r="Z499" s="30"/>
      <c r="AA499" s="30"/>
      <c r="AB499" s="29"/>
      <c r="AC499" s="29"/>
      <c r="AD499" s="37">
        <f t="shared" si="100"/>
        <v>29519</v>
      </c>
      <c r="AE499" s="3" t="str">
        <f t="shared" ca="1" si="99"/>
        <v>45 Tahun 10 bulan 7 Hari</v>
      </c>
      <c r="AF499" s="38">
        <f t="shared" si="101"/>
        <v>51441</v>
      </c>
    </row>
    <row r="500" spans="1:32" s="7" customFormat="1" ht="39" customHeight="1" x14ac:dyDescent="0.35">
      <c r="A500" s="26">
        <f t="shared" si="102"/>
        <v>470</v>
      </c>
      <c r="B500" s="32" t="s">
        <v>1422</v>
      </c>
      <c r="C500" s="256" t="s">
        <v>1463</v>
      </c>
      <c r="D500" s="257"/>
      <c r="E500" s="51" t="s">
        <v>1464</v>
      </c>
      <c r="F500" s="24" t="s">
        <v>43</v>
      </c>
      <c r="G500" s="33" t="s">
        <v>1465</v>
      </c>
      <c r="H500" s="4" t="s">
        <v>385</v>
      </c>
      <c r="I500" s="33" t="s">
        <v>1466</v>
      </c>
      <c r="J500" s="5">
        <v>46087</v>
      </c>
      <c r="K500" s="3" t="str">
        <f t="shared" ca="1" si="96"/>
        <v xml:space="preserve">0 Tahun 5 bulan </v>
      </c>
      <c r="L500" s="30" t="s">
        <v>346</v>
      </c>
      <c r="M500" s="5">
        <v>46087</v>
      </c>
      <c r="N500" s="3" t="str">
        <f t="shared" ca="1" si="107"/>
        <v xml:space="preserve">0 Tahun 5 bulan </v>
      </c>
      <c r="O500" s="4"/>
      <c r="P500" s="4" t="s">
        <v>35</v>
      </c>
      <c r="Q500" s="4" t="str">
        <f t="shared" si="98"/>
        <v>Laki-Laki</v>
      </c>
      <c r="R500" s="4">
        <f t="shared" si="104"/>
        <v>1</v>
      </c>
      <c r="S500" s="4" t="str">
        <f t="shared" si="105"/>
        <v>1</v>
      </c>
      <c r="T500" s="4">
        <f t="shared" si="106"/>
        <v>0</v>
      </c>
      <c r="U500" s="29"/>
      <c r="V500" s="30" t="s">
        <v>50</v>
      </c>
      <c r="W500" s="30"/>
      <c r="X500" s="30"/>
      <c r="Y500" s="30"/>
      <c r="Z500" s="30"/>
      <c r="AA500" s="30"/>
      <c r="AB500" s="29"/>
      <c r="AC500" s="29"/>
      <c r="AD500" s="37">
        <f t="shared" si="100"/>
        <v>28952</v>
      </c>
      <c r="AE500" s="3" t="str">
        <f t="shared" ca="1" si="99"/>
        <v>47 Tahun 4 bulan 25 Hari</v>
      </c>
      <c r="AF500" s="38">
        <f t="shared" si="101"/>
        <v>50891</v>
      </c>
    </row>
    <row r="501" spans="1:32" s="7" customFormat="1" ht="32.15" customHeight="1" x14ac:dyDescent="0.35">
      <c r="A501" s="26">
        <f t="shared" si="102"/>
        <v>471</v>
      </c>
      <c r="B501" s="32" t="s">
        <v>1422</v>
      </c>
      <c r="C501" s="26"/>
      <c r="D501" s="50" t="s">
        <v>1442</v>
      </c>
      <c r="E501" s="24" t="s">
        <v>108</v>
      </c>
      <c r="F501" s="24"/>
      <c r="G501" s="3"/>
      <c r="H501" s="4"/>
      <c r="I501" s="4"/>
      <c r="J501" s="5"/>
      <c r="K501" s="3" t="str">
        <f t="shared" ca="1" si="96"/>
        <v/>
      </c>
      <c r="L501" s="30" t="s">
        <v>88</v>
      </c>
      <c r="M501" s="5"/>
      <c r="N501" s="3" t="str">
        <f t="shared" ca="1" si="107"/>
        <v/>
      </c>
      <c r="O501" s="4"/>
      <c r="P501" s="4"/>
      <c r="Q501" s="4" t="str">
        <f t="shared" si="98"/>
        <v/>
      </c>
      <c r="R501" s="4">
        <f t="shared" si="104"/>
        <v>1</v>
      </c>
      <c r="S501" s="4" t="str">
        <f t="shared" si="105"/>
        <v>0</v>
      </c>
      <c r="T501" s="4">
        <f t="shared" si="106"/>
        <v>1</v>
      </c>
      <c r="U501" s="29"/>
      <c r="V501" s="30" t="s">
        <v>50</v>
      </c>
      <c r="W501" s="30"/>
      <c r="X501" s="30"/>
      <c r="Y501" s="30"/>
      <c r="Z501" s="30"/>
      <c r="AA501" s="30"/>
      <c r="AB501" s="29"/>
      <c r="AC501" s="29"/>
      <c r="AD501" s="37" t="str">
        <f t="shared" si="100"/>
        <v/>
      </c>
      <c r="AE501" s="3" t="str">
        <f t="shared" ca="1" si="99"/>
        <v/>
      </c>
      <c r="AF501" s="38" t="str">
        <f t="shared" si="101"/>
        <v/>
      </c>
    </row>
    <row r="502" spans="1:32" s="7" customFormat="1" ht="32.15" customHeight="1" x14ac:dyDescent="0.35">
      <c r="A502" s="26">
        <f t="shared" si="102"/>
        <v>472</v>
      </c>
      <c r="B502" s="32" t="s">
        <v>1422</v>
      </c>
      <c r="C502" s="26"/>
      <c r="D502" s="50" t="s">
        <v>1442</v>
      </c>
      <c r="E502" s="51" t="s">
        <v>108</v>
      </c>
      <c r="F502" s="51"/>
      <c r="G502" s="33"/>
      <c r="H502" s="4"/>
      <c r="I502" s="33"/>
      <c r="J502" s="5"/>
      <c r="K502" s="3" t="str">
        <f t="shared" ca="1" si="96"/>
        <v/>
      </c>
      <c r="L502" s="30" t="s">
        <v>88</v>
      </c>
      <c r="M502" s="5"/>
      <c r="N502" s="3" t="str">
        <f t="shared" ca="1" si="107"/>
        <v/>
      </c>
      <c r="O502" s="4"/>
      <c r="P502" s="4"/>
      <c r="Q502" s="4" t="str">
        <f t="shared" si="98"/>
        <v/>
      </c>
      <c r="R502" s="4">
        <f t="shared" si="104"/>
        <v>1</v>
      </c>
      <c r="S502" s="4" t="str">
        <f t="shared" si="105"/>
        <v>0</v>
      </c>
      <c r="T502" s="4">
        <f t="shared" si="106"/>
        <v>1</v>
      </c>
      <c r="U502" s="29"/>
      <c r="V502" s="30" t="s">
        <v>50</v>
      </c>
      <c r="W502" s="30"/>
      <c r="X502" s="30"/>
      <c r="Y502" s="30"/>
      <c r="Z502" s="30"/>
      <c r="AA502" s="30"/>
      <c r="AB502" s="29"/>
      <c r="AC502" s="29"/>
      <c r="AD502" s="37" t="str">
        <f t="shared" si="100"/>
        <v/>
      </c>
      <c r="AE502" s="3" t="str">
        <f t="shared" ca="1" si="99"/>
        <v/>
      </c>
      <c r="AF502" s="38" t="str">
        <f t="shared" si="101"/>
        <v/>
      </c>
    </row>
    <row r="503" spans="1:32" s="7" customFormat="1" ht="32.15" customHeight="1" x14ac:dyDescent="0.35">
      <c r="A503" s="26">
        <f t="shared" si="102"/>
        <v>473</v>
      </c>
      <c r="B503" s="32" t="s">
        <v>1422</v>
      </c>
      <c r="C503" s="26"/>
      <c r="D503" s="50" t="s">
        <v>1442</v>
      </c>
      <c r="E503" s="51" t="s">
        <v>1469</v>
      </c>
      <c r="F503" s="24" t="s">
        <v>43</v>
      </c>
      <c r="G503" s="52" t="s">
        <v>1470</v>
      </c>
      <c r="H503" s="4" t="s">
        <v>159</v>
      </c>
      <c r="I503" s="33" t="s">
        <v>86</v>
      </c>
      <c r="J503" s="5">
        <v>44561</v>
      </c>
      <c r="K503" s="3" t="str">
        <f t="shared" ca="1" si="96"/>
        <v xml:space="preserve">4 Tahun 8 bulan </v>
      </c>
      <c r="L503" s="30" t="s">
        <v>88</v>
      </c>
      <c r="M503" s="5">
        <v>44561</v>
      </c>
      <c r="N503" s="3" t="str">
        <f t="shared" ca="1" si="107"/>
        <v xml:space="preserve">4 Tahun 8 bulan </v>
      </c>
      <c r="O503" s="4"/>
      <c r="P503" s="4" t="s">
        <v>35</v>
      </c>
      <c r="Q503" s="4" t="str">
        <f t="shared" si="98"/>
        <v>Laki-Laki</v>
      </c>
      <c r="R503" s="4">
        <f t="shared" si="104"/>
        <v>1</v>
      </c>
      <c r="S503" s="4" t="str">
        <f t="shared" si="105"/>
        <v>1</v>
      </c>
      <c r="T503" s="4">
        <f t="shared" si="106"/>
        <v>0</v>
      </c>
      <c r="U503" s="29"/>
      <c r="V503" s="30" t="s">
        <v>50</v>
      </c>
      <c r="W503" s="30"/>
      <c r="X503" s="30"/>
      <c r="Y503" s="30"/>
      <c r="Z503" s="30"/>
      <c r="AA503" s="30"/>
      <c r="AB503" s="29"/>
      <c r="AC503" s="29"/>
      <c r="AD503" s="37">
        <f t="shared" si="100"/>
        <v>29014</v>
      </c>
      <c r="AE503" s="3" t="str">
        <f t="shared" ca="1" si="99"/>
        <v>47 Tahun 2 bulan 24 Hari</v>
      </c>
      <c r="AF503" s="38">
        <f t="shared" si="101"/>
        <v>50952</v>
      </c>
    </row>
    <row r="504" spans="1:32" s="7" customFormat="1" ht="32.15" customHeight="1" x14ac:dyDescent="0.35">
      <c r="A504" s="26">
        <f t="shared" si="102"/>
        <v>474</v>
      </c>
      <c r="B504" s="32" t="s">
        <v>1422</v>
      </c>
      <c r="C504" s="256" t="s">
        <v>1471</v>
      </c>
      <c r="D504" s="257"/>
      <c r="E504" s="51" t="s">
        <v>1472</v>
      </c>
      <c r="F504" s="24" t="s">
        <v>43</v>
      </c>
      <c r="G504" s="52" t="s">
        <v>2843</v>
      </c>
      <c r="H504" s="52" t="s">
        <v>830</v>
      </c>
      <c r="I504" s="52" t="s">
        <v>2844</v>
      </c>
      <c r="J504" s="104">
        <v>45993</v>
      </c>
      <c r="K504" s="3" t="str">
        <f t="shared" ca="1" si="96"/>
        <v xml:space="preserve">0 Tahun 8 bulan </v>
      </c>
      <c r="L504" s="30" t="s">
        <v>346</v>
      </c>
      <c r="M504" s="5"/>
      <c r="N504" s="3" t="str">
        <f t="shared" ca="1" si="107"/>
        <v/>
      </c>
      <c r="O504" s="4"/>
      <c r="P504" s="4" t="s">
        <v>35</v>
      </c>
      <c r="Q504" s="4" t="str">
        <f t="shared" si="98"/>
        <v>Laki-Laki</v>
      </c>
      <c r="R504" s="4">
        <f t="shared" si="104"/>
        <v>1</v>
      </c>
      <c r="S504" s="4" t="str">
        <f t="shared" si="105"/>
        <v>1</v>
      </c>
      <c r="T504" s="4">
        <f t="shared" si="106"/>
        <v>0</v>
      </c>
      <c r="U504" s="29"/>
      <c r="V504" s="30" t="s">
        <v>50</v>
      </c>
      <c r="W504" s="30"/>
      <c r="X504" s="30"/>
      <c r="Y504" s="30"/>
      <c r="Z504" s="30"/>
      <c r="AA504" s="30"/>
      <c r="AB504" s="29"/>
      <c r="AC504" s="29"/>
      <c r="AD504" s="37">
        <f t="shared" si="100"/>
        <v>28431</v>
      </c>
      <c r="AE504" s="3" t="str">
        <f t="shared" ca="1" si="99"/>
        <v>48 Tahun 9 bulan 30 Hari</v>
      </c>
      <c r="AF504" s="38">
        <f t="shared" si="101"/>
        <v>50375</v>
      </c>
    </row>
    <row r="505" spans="1:32" s="7" customFormat="1" ht="32.15" customHeight="1" x14ac:dyDescent="0.35">
      <c r="A505" s="26">
        <f t="shared" si="102"/>
        <v>475</v>
      </c>
      <c r="B505" s="32" t="s">
        <v>1422</v>
      </c>
      <c r="C505" s="26"/>
      <c r="D505" s="50" t="s">
        <v>1442</v>
      </c>
      <c r="E505" s="24" t="s">
        <v>1473</v>
      </c>
      <c r="F505" s="24" t="s">
        <v>43</v>
      </c>
      <c r="G505" s="4" t="s">
        <v>1474</v>
      </c>
      <c r="H505" s="4" t="s">
        <v>419</v>
      </c>
      <c r="I505" s="33" t="s">
        <v>46</v>
      </c>
      <c r="J505" s="5">
        <v>44561</v>
      </c>
      <c r="K505" s="3" t="str">
        <f t="shared" ca="1" si="96"/>
        <v xml:space="preserve">4 Tahun 8 bulan </v>
      </c>
      <c r="L505" s="30" t="s">
        <v>88</v>
      </c>
      <c r="M505" s="5">
        <v>44561</v>
      </c>
      <c r="N505" s="3" t="str">
        <f t="shared" ca="1" si="107"/>
        <v xml:space="preserve">4 Tahun 8 bulan </v>
      </c>
      <c r="O505" s="4"/>
      <c r="P505" s="4" t="s">
        <v>35</v>
      </c>
      <c r="Q505" s="4" t="str">
        <f t="shared" si="98"/>
        <v>Laki-Laki</v>
      </c>
      <c r="R505" s="4">
        <f t="shared" si="104"/>
        <v>1</v>
      </c>
      <c r="S505" s="4" t="str">
        <f t="shared" si="105"/>
        <v>1</v>
      </c>
      <c r="T505" s="4">
        <f t="shared" si="106"/>
        <v>0</v>
      </c>
      <c r="U505" s="29"/>
      <c r="V505" s="30" t="s">
        <v>50</v>
      </c>
      <c r="W505" s="30"/>
      <c r="X505" s="30"/>
      <c r="Y505" s="30"/>
      <c r="Z505" s="30"/>
      <c r="AA505" s="30"/>
      <c r="AB505" s="29"/>
      <c r="AC505" s="29"/>
      <c r="AD505" s="37">
        <f t="shared" si="100"/>
        <v>30861</v>
      </c>
      <c r="AE505" s="3" t="str">
        <f t="shared" ca="1" si="99"/>
        <v>42 Tahun 2 bulan 4 Hari</v>
      </c>
      <c r="AF505" s="38">
        <f t="shared" si="101"/>
        <v>52779</v>
      </c>
    </row>
    <row r="506" spans="1:32" s="7" customFormat="1" ht="32.15" customHeight="1" x14ac:dyDescent="0.35">
      <c r="A506" s="26">
        <f t="shared" si="102"/>
        <v>476</v>
      </c>
      <c r="B506" s="32" t="s">
        <v>1422</v>
      </c>
      <c r="C506" s="26"/>
      <c r="D506" s="50" t="s">
        <v>1442</v>
      </c>
      <c r="E506" s="24" t="s">
        <v>1475</v>
      </c>
      <c r="F506" s="24" t="s">
        <v>43</v>
      </c>
      <c r="G506" s="4" t="s">
        <v>1476</v>
      </c>
      <c r="H506" s="4" t="s">
        <v>472</v>
      </c>
      <c r="I506" s="33" t="s">
        <v>86</v>
      </c>
      <c r="J506" s="5" t="s">
        <v>87</v>
      </c>
      <c r="K506" s="3" t="str">
        <f t="shared" ca="1" si="96"/>
        <v xml:space="preserve">4 Tahun 8 bulan </v>
      </c>
      <c r="L506" s="30" t="s">
        <v>88</v>
      </c>
      <c r="M506" s="5">
        <v>44561</v>
      </c>
      <c r="N506" s="3" t="str">
        <f t="shared" ca="1" si="107"/>
        <v xml:space="preserve">4 Tahun 8 bulan </v>
      </c>
      <c r="O506" s="4"/>
      <c r="P506" s="4" t="s">
        <v>35</v>
      </c>
      <c r="Q506" s="4" t="str">
        <f t="shared" si="98"/>
        <v>Laki-Laki</v>
      </c>
      <c r="R506" s="4">
        <f t="shared" si="104"/>
        <v>1</v>
      </c>
      <c r="S506" s="4" t="str">
        <f t="shared" si="105"/>
        <v>1</v>
      </c>
      <c r="T506" s="4">
        <f t="shared" si="106"/>
        <v>0</v>
      </c>
      <c r="U506" s="29"/>
      <c r="V506" s="30" t="s">
        <v>50</v>
      </c>
      <c r="W506" s="30"/>
      <c r="X506" s="30"/>
      <c r="Y506" s="30"/>
      <c r="Z506" s="30"/>
      <c r="AA506" s="30"/>
      <c r="AB506" s="29"/>
      <c r="AC506" s="29"/>
      <c r="AD506" s="37">
        <f t="shared" si="100"/>
        <v>27411</v>
      </c>
      <c r="AE506" s="3" t="str">
        <f t="shared" ca="1" si="99"/>
        <v>51 Tahun 7 bulan 15 Hari</v>
      </c>
      <c r="AF506" s="38">
        <f t="shared" si="101"/>
        <v>49341</v>
      </c>
    </row>
    <row r="507" spans="1:32" s="7" customFormat="1" ht="32.15" customHeight="1" x14ac:dyDescent="0.35">
      <c r="A507" s="26">
        <f t="shared" si="102"/>
        <v>477</v>
      </c>
      <c r="B507" s="32" t="s">
        <v>1422</v>
      </c>
      <c r="C507" s="26"/>
      <c r="D507" s="50" t="s">
        <v>1442</v>
      </c>
      <c r="E507" s="51" t="s">
        <v>108</v>
      </c>
      <c r="F507" s="24"/>
      <c r="G507" s="33"/>
      <c r="H507" s="4"/>
      <c r="I507" s="33"/>
      <c r="J507" s="5"/>
      <c r="K507" s="3" t="str">
        <f t="shared" ca="1" si="96"/>
        <v/>
      </c>
      <c r="L507" s="30" t="s">
        <v>88</v>
      </c>
      <c r="M507" s="5"/>
      <c r="N507" s="3" t="str">
        <f t="shared" ca="1" si="107"/>
        <v/>
      </c>
      <c r="O507" s="4"/>
      <c r="P507" s="4" t="s">
        <v>35</v>
      </c>
      <c r="Q507" s="4" t="str">
        <f t="shared" si="98"/>
        <v/>
      </c>
      <c r="R507" s="4">
        <f t="shared" si="104"/>
        <v>1</v>
      </c>
      <c r="S507" s="4" t="str">
        <f t="shared" si="105"/>
        <v>0</v>
      </c>
      <c r="T507" s="4">
        <f t="shared" si="106"/>
        <v>1</v>
      </c>
      <c r="U507" s="29"/>
      <c r="V507" s="30" t="s">
        <v>50</v>
      </c>
      <c r="W507" s="30"/>
      <c r="X507" s="30"/>
      <c r="Y507" s="30"/>
      <c r="Z507" s="30"/>
      <c r="AA507" s="30"/>
      <c r="AB507" s="29"/>
      <c r="AC507" s="29"/>
      <c r="AD507" s="37" t="str">
        <f t="shared" si="100"/>
        <v/>
      </c>
      <c r="AE507" s="3" t="str">
        <f t="shared" ca="1" si="99"/>
        <v/>
      </c>
      <c r="AF507" s="38" t="str">
        <f t="shared" si="101"/>
        <v/>
      </c>
    </row>
    <row r="508" spans="1:32" s="7" customFormat="1" ht="32.15" customHeight="1" x14ac:dyDescent="0.35">
      <c r="A508" s="26">
        <f t="shared" si="102"/>
        <v>478</v>
      </c>
      <c r="B508" s="32" t="s">
        <v>1422</v>
      </c>
      <c r="C508" s="256" t="s">
        <v>1480</v>
      </c>
      <c r="D508" s="257"/>
      <c r="E508" s="24" t="s">
        <v>1445</v>
      </c>
      <c r="F508" s="24" t="s">
        <v>43</v>
      </c>
      <c r="G508" s="3" t="s">
        <v>2859</v>
      </c>
      <c r="H508" s="4" t="s">
        <v>2860</v>
      </c>
      <c r="I508" s="41" t="s">
        <v>2861</v>
      </c>
      <c r="J508" s="5">
        <v>46087</v>
      </c>
      <c r="K508" s="3" t="str">
        <f t="shared" ca="1" si="96"/>
        <v xml:space="preserve">0 Tahun 5 bulan </v>
      </c>
      <c r="L508" s="30" t="s">
        <v>346</v>
      </c>
      <c r="M508" s="5">
        <v>46087</v>
      </c>
      <c r="N508" s="3" t="str">
        <f t="shared" ca="1" si="107"/>
        <v xml:space="preserve">0 Tahun 5 bulan </v>
      </c>
      <c r="O508" s="36"/>
      <c r="P508" s="4" t="s">
        <v>35</v>
      </c>
      <c r="Q508" s="4" t="str">
        <f t="shared" si="98"/>
        <v>Laki-Laki</v>
      </c>
      <c r="R508" s="4">
        <f t="shared" si="104"/>
        <v>1</v>
      </c>
      <c r="S508" s="4" t="str">
        <f t="shared" si="105"/>
        <v>1</v>
      </c>
      <c r="T508" s="4">
        <f t="shared" si="106"/>
        <v>0</v>
      </c>
      <c r="U508" s="29"/>
      <c r="V508" s="30" t="s">
        <v>50</v>
      </c>
      <c r="W508" s="30"/>
      <c r="X508" s="30"/>
      <c r="Y508" s="30"/>
      <c r="Z508" s="30"/>
      <c r="AA508" s="30"/>
      <c r="AB508" s="29"/>
      <c r="AC508" s="29"/>
      <c r="AD508" s="37">
        <f t="shared" si="100"/>
        <v>28980</v>
      </c>
      <c r="AE508" s="3" t="str">
        <f t="shared" ca="1" si="99"/>
        <v>47 Tahun 3 bulan 27 Hari</v>
      </c>
      <c r="AF508" s="38">
        <f t="shared" si="101"/>
        <v>50922</v>
      </c>
    </row>
    <row r="509" spans="1:32" s="7" customFormat="1" ht="32.15" customHeight="1" x14ac:dyDescent="0.35">
      <c r="A509" s="26">
        <f t="shared" si="102"/>
        <v>479</v>
      </c>
      <c r="B509" s="32" t="s">
        <v>1422</v>
      </c>
      <c r="C509" s="26"/>
      <c r="D509" s="50" t="s">
        <v>1482</v>
      </c>
      <c r="E509" s="39" t="s">
        <v>1483</v>
      </c>
      <c r="F509" s="24" t="s">
        <v>43</v>
      </c>
      <c r="G509" s="40" t="s">
        <v>1484</v>
      </c>
      <c r="H509" s="4" t="s">
        <v>135</v>
      </c>
      <c r="I509" s="25" t="s">
        <v>46</v>
      </c>
      <c r="J509" s="5">
        <v>44561</v>
      </c>
      <c r="K509" s="3" t="str">
        <f t="shared" ca="1" si="96"/>
        <v xml:space="preserve">4 Tahun 8 bulan </v>
      </c>
      <c r="L509" s="30" t="s">
        <v>88</v>
      </c>
      <c r="M509" s="5">
        <v>44561</v>
      </c>
      <c r="N509" s="3" t="str">
        <f t="shared" ca="1" si="107"/>
        <v xml:space="preserve">4 Tahun 8 bulan </v>
      </c>
      <c r="O509" s="35"/>
      <c r="P509" s="4" t="s">
        <v>35</v>
      </c>
      <c r="Q509" s="4" t="str">
        <f t="shared" si="98"/>
        <v>Laki-Laki</v>
      </c>
      <c r="R509" s="4">
        <f t="shared" si="104"/>
        <v>1</v>
      </c>
      <c r="S509" s="4" t="str">
        <f t="shared" si="105"/>
        <v>1</v>
      </c>
      <c r="T509" s="4">
        <f t="shared" si="106"/>
        <v>0</v>
      </c>
      <c r="U509" s="29"/>
      <c r="V509" s="30" t="s">
        <v>50</v>
      </c>
      <c r="W509" s="30"/>
      <c r="X509" s="30"/>
      <c r="Y509" s="30"/>
      <c r="Z509" s="30"/>
      <c r="AA509" s="30"/>
      <c r="AB509" s="29"/>
      <c r="AC509" s="29"/>
      <c r="AD509" s="37">
        <f t="shared" si="100"/>
        <v>31840</v>
      </c>
      <c r="AE509" s="3" t="str">
        <f t="shared" ca="1" si="99"/>
        <v>39 Tahun 5 bulan 28 Hari</v>
      </c>
      <c r="AF509" s="38">
        <f t="shared" si="101"/>
        <v>53783</v>
      </c>
    </row>
    <row r="510" spans="1:32" s="7" customFormat="1" ht="32.15" customHeight="1" x14ac:dyDescent="0.35">
      <c r="A510" s="26">
        <f t="shared" si="102"/>
        <v>480</v>
      </c>
      <c r="B510" s="32" t="s">
        <v>1422</v>
      </c>
      <c r="C510" s="26"/>
      <c r="D510" s="50" t="s">
        <v>1485</v>
      </c>
      <c r="E510" s="51" t="s">
        <v>1486</v>
      </c>
      <c r="F510" s="24" t="s">
        <v>43</v>
      </c>
      <c r="G510" s="33" t="s">
        <v>1487</v>
      </c>
      <c r="H510" s="4" t="s">
        <v>2925</v>
      </c>
      <c r="I510" s="25" t="s">
        <v>2925</v>
      </c>
      <c r="J510" s="5" t="s">
        <v>87</v>
      </c>
      <c r="K510" s="3" t="str">
        <f t="shared" ca="1" si="96"/>
        <v xml:space="preserve">4 Tahun 8 bulan </v>
      </c>
      <c r="L510" s="30" t="s">
        <v>88</v>
      </c>
      <c r="M510" s="5">
        <v>44561</v>
      </c>
      <c r="N510" s="3" t="str">
        <f t="shared" ca="1" si="107"/>
        <v xml:space="preserve">4 Tahun 8 bulan </v>
      </c>
      <c r="O510" s="4"/>
      <c r="P510" s="4" t="s">
        <v>35</v>
      </c>
      <c r="Q510" s="4" t="str">
        <f t="shared" si="98"/>
        <v>Laki-Laki</v>
      </c>
      <c r="R510" s="4">
        <f t="shared" si="104"/>
        <v>1</v>
      </c>
      <c r="S510" s="4" t="str">
        <f t="shared" si="105"/>
        <v>1</v>
      </c>
      <c r="T510" s="4">
        <f t="shared" si="106"/>
        <v>0</v>
      </c>
      <c r="U510" s="29"/>
      <c r="V510" s="30" t="s">
        <v>50</v>
      </c>
      <c r="W510" s="30"/>
      <c r="X510" s="30"/>
      <c r="Y510" s="30"/>
      <c r="Z510" s="30"/>
      <c r="AA510" s="30"/>
      <c r="AB510" s="29"/>
      <c r="AC510" s="29"/>
      <c r="AD510" s="37">
        <f t="shared" si="100"/>
        <v>32843</v>
      </c>
      <c r="AE510" s="3" t="str">
        <f t="shared" ca="1" si="99"/>
        <v>36 Tahun 9 bulan 0 Hari</v>
      </c>
      <c r="AF510" s="38">
        <f t="shared" si="101"/>
        <v>54789</v>
      </c>
    </row>
    <row r="511" spans="1:32" s="7" customFormat="1" ht="39" customHeight="1" x14ac:dyDescent="0.35">
      <c r="A511" s="26">
        <f t="shared" si="102"/>
        <v>481</v>
      </c>
      <c r="B511" s="32" t="s">
        <v>1422</v>
      </c>
      <c r="C511" s="26"/>
      <c r="D511" s="50" t="s">
        <v>1489</v>
      </c>
      <c r="E511" s="24" t="s">
        <v>1490</v>
      </c>
      <c r="F511" s="24" t="s">
        <v>43</v>
      </c>
      <c r="G511" s="3" t="s">
        <v>1491</v>
      </c>
      <c r="H511" s="4" t="s">
        <v>1488</v>
      </c>
      <c r="I511" s="33" t="s">
        <v>86</v>
      </c>
      <c r="J511" s="5">
        <v>44561</v>
      </c>
      <c r="K511" s="3" t="str">
        <f t="shared" ca="1" si="96"/>
        <v xml:space="preserve">4 Tahun 8 bulan </v>
      </c>
      <c r="L511" s="30" t="s">
        <v>88</v>
      </c>
      <c r="M511" s="5">
        <v>44561</v>
      </c>
      <c r="N511" s="3" t="str">
        <f t="shared" ca="1" si="107"/>
        <v xml:space="preserve">4 Tahun 8 bulan </v>
      </c>
      <c r="O511" s="4"/>
      <c r="P511" s="4" t="s">
        <v>35</v>
      </c>
      <c r="Q511" s="4" t="str">
        <f t="shared" si="98"/>
        <v/>
      </c>
      <c r="R511" s="4">
        <f t="shared" si="104"/>
        <v>1</v>
      </c>
      <c r="S511" s="4" t="str">
        <f t="shared" si="105"/>
        <v>1</v>
      </c>
      <c r="T511" s="4">
        <f t="shared" si="106"/>
        <v>0</v>
      </c>
      <c r="U511" s="29"/>
      <c r="V511" s="30" t="s">
        <v>50</v>
      </c>
      <c r="W511" s="30"/>
      <c r="X511" s="30"/>
      <c r="Y511" s="30"/>
      <c r="Z511" s="30"/>
      <c r="AA511" s="30"/>
      <c r="AB511" s="29"/>
      <c r="AC511" s="29"/>
      <c r="AD511" s="37">
        <f t="shared" si="100"/>
        <v>31524</v>
      </c>
      <c r="AE511" s="3" t="str">
        <f t="shared" ca="1" si="99"/>
        <v>40 Tahun 4 bulan 10 Hari</v>
      </c>
      <c r="AF511" s="38">
        <f t="shared" si="101"/>
        <v>53448</v>
      </c>
    </row>
    <row r="512" spans="1:32" s="7" customFormat="1" ht="32.15" customHeight="1" x14ac:dyDescent="0.35">
      <c r="A512" s="26"/>
      <c r="B512" s="27" t="s">
        <v>1492</v>
      </c>
      <c r="C512" s="280" t="s">
        <v>1493</v>
      </c>
      <c r="D512" s="281"/>
      <c r="E512" s="271" t="str">
        <f ca="1">IF(J512="","",CONCATENATE(DATEDIF(J512,NOW(),"Y")," Tahun ",DATEDIF(J512,NOW(),"YM")," bulan "))</f>
        <v/>
      </c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  <c r="AB512" s="272"/>
      <c r="AC512" s="272"/>
      <c r="AD512" s="272"/>
      <c r="AE512" s="272"/>
      <c r="AF512" s="273"/>
    </row>
    <row r="513" spans="1:32" s="7" customFormat="1" ht="32.15" customHeight="1" x14ac:dyDescent="0.35">
      <c r="A513" s="26">
        <f>A511+1</f>
        <v>482</v>
      </c>
      <c r="B513" s="27" t="s">
        <v>1492</v>
      </c>
      <c r="C513" s="278" t="s">
        <v>1494</v>
      </c>
      <c r="D513" s="279"/>
      <c r="E513" s="39" t="s">
        <v>1496</v>
      </c>
      <c r="F513" s="24" t="s">
        <v>43</v>
      </c>
      <c r="G513" s="40" t="s">
        <v>1497</v>
      </c>
      <c r="H513" s="4" t="s">
        <v>148</v>
      </c>
      <c r="I513" s="41" t="s">
        <v>46</v>
      </c>
      <c r="J513" s="33">
        <v>46132</v>
      </c>
      <c r="K513" s="3" t="str">
        <f t="shared" ca="1" si="96"/>
        <v xml:space="preserve">0 Tahun 4 bulan </v>
      </c>
      <c r="L513" s="30" t="s">
        <v>56</v>
      </c>
      <c r="M513" s="33">
        <v>46132</v>
      </c>
      <c r="N513" s="3" t="str">
        <f t="shared" ca="1" si="107"/>
        <v xml:space="preserve">0 Tahun 4 bulan </v>
      </c>
      <c r="O513" s="4"/>
      <c r="P513" s="4" t="s">
        <v>35</v>
      </c>
      <c r="Q513" s="4" t="e">
        <f>CONCATENATE(IF(MID(#REF!,17,1)="1","Laki-Laki",IF(MID(#REF!,17,1)="2","Perempuan",)))</f>
        <v>#REF!</v>
      </c>
      <c r="R513" s="4">
        <f>R511</f>
        <v>1</v>
      </c>
      <c r="S513" s="4" t="str">
        <f>IF(R513="LOWONG","0","1")</f>
        <v>1</v>
      </c>
      <c r="T513" s="4">
        <f t="shared" si="106"/>
        <v>0</v>
      </c>
      <c r="U513" s="29"/>
      <c r="V513" s="30" t="s">
        <v>50</v>
      </c>
      <c r="W513" s="30"/>
      <c r="X513" s="30"/>
      <c r="Y513" s="30"/>
      <c r="Z513" s="30"/>
      <c r="AA513" s="30"/>
      <c r="AB513" s="29"/>
      <c r="AC513" s="29"/>
      <c r="AD513" s="37" t="e">
        <f>IF(TRIM(#REF!)="", "", DATE(LEFT(#REF!,4),MID(#REF!,5,2),MID(#REF!,7,2)))</f>
        <v>#REF!</v>
      </c>
      <c r="AE513" s="3" t="e">
        <f t="shared" ca="1" si="99"/>
        <v>#REF!</v>
      </c>
      <c r="AF513" s="38" t="e">
        <f t="shared" si="101"/>
        <v>#REF!</v>
      </c>
    </row>
    <row r="514" spans="1:32" s="7" customFormat="1" ht="32.15" customHeight="1" x14ac:dyDescent="0.35">
      <c r="A514" s="26">
        <f t="shared" si="102"/>
        <v>483</v>
      </c>
      <c r="B514" s="27" t="s">
        <v>1492</v>
      </c>
      <c r="C514" s="256" t="s">
        <v>1495</v>
      </c>
      <c r="D514" s="257"/>
      <c r="E514" s="39" t="s">
        <v>2925</v>
      </c>
      <c r="F514" s="39" t="s">
        <v>43</v>
      </c>
      <c r="G514" s="25" t="s">
        <v>312</v>
      </c>
      <c r="H514" s="25" t="s">
        <v>1740</v>
      </c>
      <c r="I514" s="25"/>
      <c r="J514" s="81">
        <v>46133</v>
      </c>
      <c r="K514" s="3" t="str">
        <f t="shared" ca="1" si="96"/>
        <v xml:space="preserve">0 Tahun 4 bulan </v>
      </c>
      <c r="L514" s="30" t="s">
        <v>79</v>
      </c>
      <c r="M514" s="5">
        <v>46133</v>
      </c>
      <c r="N514" s="3" t="str">
        <f t="shared" ca="1" si="107"/>
        <v xml:space="preserve">0 Tahun 4 bulan </v>
      </c>
      <c r="O514" s="36"/>
      <c r="P514" s="4" t="s">
        <v>35</v>
      </c>
      <c r="Q514" s="4" t="str">
        <f>CONCATENATE(IF(MID(G513,17,1)="1","Laki-Laki",IF(MID(G513,17,1)="2","Perempuan",)))</f>
        <v>Perempuan</v>
      </c>
      <c r="R514" s="4">
        <f t="shared" si="104"/>
        <v>1</v>
      </c>
      <c r="S514" s="4" t="e">
        <f>IF(#REF!="LOWONG","0","1")</f>
        <v>#REF!</v>
      </c>
      <c r="T514" s="4" t="e">
        <f t="shared" si="106"/>
        <v>#REF!</v>
      </c>
      <c r="U514" s="29"/>
      <c r="V514" s="30" t="s">
        <v>50</v>
      </c>
      <c r="W514" s="30"/>
      <c r="X514" s="30"/>
      <c r="Y514" s="30"/>
      <c r="Z514" s="30"/>
      <c r="AA514" s="30"/>
      <c r="AB514" s="29"/>
      <c r="AC514" s="29"/>
      <c r="AD514" s="37">
        <f>IF(TRIM(G513)="", "", DATE(LEFT(G513,4),MID(G513,5,2),MID(G513,7,2)))</f>
        <v>26775</v>
      </c>
      <c r="AE514" s="3" t="str">
        <f t="shared" ca="1" si="99"/>
        <v>53 Tahun 4 bulan 11 Hari</v>
      </c>
      <c r="AF514" s="38">
        <f t="shared" si="101"/>
        <v>48700</v>
      </c>
    </row>
    <row r="515" spans="1:32" s="7" customFormat="1" ht="32.15" customHeight="1" x14ac:dyDescent="0.35">
      <c r="A515" s="26">
        <f t="shared" si="102"/>
        <v>484</v>
      </c>
      <c r="B515" s="27" t="s">
        <v>1492</v>
      </c>
      <c r="C515" s="26"/>
      <c r="D515" s="50" t="s">
        <v>1498</v>
      </c>
      <c r="E515" s="51" t="s">
        <v>1499</v>
      </c>
      <c r="F515" s="24" t="s">
        <v>43</v>
      </c>
      <c r="G515" s="52" t="s">
        <v>1500</v>
      </c>
      <c r="H515" s="36" t="s">
        <v>1501</v>
      </c>
      <c r="I515" s="33" t="s">
        <v>46</v>
      </c>
      <c r="J515" s="5">
        <v>45993</v>
      </c>
      <c r="K515" s="3" t="str">
        <f t="shared" ca="1" si="96"/>
        <v xml:space="preserve">0 Tahun 8 bulan </v>
      </c>
      <c r="L515" s="30" t="s">
        <v>200</v>
      </c>
      <c r="M515" s="5" t="s">
        <v>338</v>
      </c>
      <c r="N515" s="3" t="str">
        <f t="shared" ca="1" si="107"/>
        <v xml:space="preserve">2 Tahun 11 bulan </v>
      </c>
      <c r="O515" s="4"/>
      <c r="P515" s="4" t="s">
        <v>35</v>
      </c>
      <c r="Q515" s="4" t="str">
        <f t="shared" si="98"/>
        <v>Perempuan</v>
      </c>
      <c r="R515" s="4">
        <f t="shared" si="104"/>
        <v>1</v>
      </c>
      <c r="S515" s="4" t="str">
        <f t="shared" ref="S515:S530" si="108">IF(E515="LOWONG","0","1")</f>
        <v>1</v>
      </c>
      <c r="T515" s="4">
        <f t="shared" si="106"/>
        <v>0</v>
      </c>
      <c r="U515" s="29"/>
      <c r="V515" s="30"/>
      <c r="W515" s="30"/>
      <c r="X515" s="30"/>
      <c r="Y515" s="30"/>
      <c r="Z515" s="30"/>
      <c r="AA515" s="30"/>
      <c r="AB515" s="29"/>
      <c r="AC515" s="29"/>
      <c r="AD515" s="37">
        <f t="shared" si="100"/>
        <v>29436</v>
      </c>
      <c r="AE515" s="3" t="str">
        <f t="shared" ca="1" si="99"/>
        <v>46 Tahun 0 bulan 29 Hari</v>
      </c>
      <c r="AF515" s="38">
        <f t="shared" si="101"/>
        <v>51380</v>
      </c>
    </row>
    <row r="516" spans="1:32" s="7" customFormat="1" ht="32.15" customHeight="1" x14ac:dyDescent="0.35">
      <c r="A516" s="26">
        <f t="shared" si="102"/>
        <v>485</v>
      </c>
      <c r="B516" s="27" t="s">
        <v>1492</v>
      </c>
      <c r="C516" s="26"/>
      <c r="D516" s="50" t="s">
        <v>1502</v>
      </c>
      <c r="E516" s="24" t="s">
        <v>1503</v>
      </c>
      <c r="F516" s="24" t="s">
        <v>43</v>
      </c>
      <c r="G516" s="4" t="s">
        <v>1504</v>
      </c>
      <c r="H516" s="4" t="s">
        <v>181</v>
      </c>
      <c r="I516" s="33" t="s">
        <v>46</v>
      </c>
      <c r="J516" s="5" t="s">
        <v>87</v>
      </c>
      <c r="K516" s="3" t="str">
        <f t="shared" ca="1" si="96"/>
        <v xml:space="preserve">4 Tahun 8 bulan </v>
      </c>
      <c r="L516" s="30" t="s">
        <v>88</v>
      </c>
      <c r="M516" s="5">
        <v>44561</v>
      </c>
      <c r="N516" s="3" t="str">
        <f t="shared" ca="1" si="107"/>
        <v xml:space="preserve">4 Tahun 8 bulan </v>
      </c>
      <c r="O516" s="4"/>
      <c r="P516" s="4" t="s">
        <v>35</v>
      </c>
      <c r="Q516" s="4" t="str">
        <f t="shared" si="98"/>
        <v>Perempuan</v>
      </c>
      <c r="R516" s="4">
        <f t="shared" si="104"/>
        <v>1</v>
      </c>
      <c r="S516" s="4" t="str">
        <f t="shared" si="108"/>
        <v>1</v>
      </c>
      <c r="T516" s="4">
        <f t="shared" si="106"/>
        <v>0</v>
      </c>
      <c r="U516" s="29"/>
      <c r="V516" s="30"/>
      <c r="W516" s="30"/>
      <c r="X516" s="30"/>
      <c r="Y516" s="30"/>
      <c r="Z516" s="30"/>
      <c r="AA516" s="30"/>
      <c r="AB516" s="29"/>
      <c r="AC516" s="29"/>
      <c r="AD516" s="37">
        <f t="shared" si="100"/>
        <v>28062</v>
      </c>
      <c r="AE516" s="3" t="str">
        <f t="shared" ca="1" si="99"/>
        <v>49 Tahun 10 bulan 3 Hari</v>
      </c>
      <c r="AF516" s="38">
        <f t="shared" si="101"/>
        <v>49980</v>
      </c>
    </row>
    <row r="517" spans="1:32" s="7" customFormat="1" ht="32.15" customHeight="1" x14ac:dyDescent="0.35">
      <c r="A517" s="26">
        <f t="shared" si="102"/>
        <v>486</v>
      </c>
      <c r="B517" s="27" t="s">
        <v>1492</v>
      </c>
      <c r="C517" s="26"/>
      <c r="D517" s="50" t="s">
        <v>1505</v>
      </c>
      <c r="E517" s="24" t="s">
        <v>1506</v>
      </c>
      <c r="F517" s="24" t="s">
        <v>43</v>
      </c>
      <c r="G517" s="4" t="s">
        <v>1507</v>
      </c>
      <c r="H517" s="4" t="s">
        <v>148</v>
      </c>
      <c r="I517" s="33" t="s">
        <v>46</v>
      </c>
      <c r="J517" s="5" t="s">
        <v>87</v>
      </c>
      <c r="K517" s="3" t="str">
        <f t="shared" ca="1" si="96"/>
        <v xml:space="preserve">4 Tahun 8 bulan </v>
      </c>
      <c r="L517" s="30" t="s">
        <v>88</v>
      </c>
      <c r="M517" s="5">
        <v>44561</v>
      </c>
      <c r="N517" s="3" t="str">
        <f t="shared" ca="1" si="107"/>
        <v xml:space="preserve">4 Tahun 8 bulan </v>
      </c>
      <c r="O517" s="4" t="s">
        <v>155</v>
      </c>
      <c r="P517" s="4" t="s">
        <v>35</v>
      </c>
      <c r="Q517" s="4" t="str">
        <f t="shared" si="98"/>
        <v>Perempuan</v>
      </c>
      <c r="R517" s="4">
        <f t="shared" si="104"/>
        <v>1</v>
      </c>
      <c r="S517" s="4" t="str">
        <f t="shared" si="108"/>
        <v>1</v>
      </c>
      <c r="T517" s="4">
        <f t="shared" si="106"/>
        <v>0</v>
      </c>
      <c r="U517" s="29"/>
      <c r="V517" s="30" t="s">
        <v>50</v>
      </c>
      <c r="W517" s="30"/>
      <c r="X517" s="30"/>
      <c r="Y517" s="30"/>
      <c r="Z517" s="30"/>
      <c r="AA517" s="30"/>
      <c r="AB517" s="29"/>
      <c r="AC517" s="29"/>
      <c r="AD517" s="37">
        <f t="shared" si="100"/>
        <v>27011</v>
      </c>
      <c r="AE517" s="3" t="str">
        <f t="shared" ca="1" si="99"/>
        <v>52 Tahun 8 bulan 19 Hari</v>
      </c>
      <c r="AF517" s="38">
        <f t="shared" si="101"/>
        <v>48945</v>
      </c>
    </row>
    <row r="518" spans="1:32" s="7" customFormat="1" ht="32.15" customHeight="1" x14ac:dyDescent="0.35">
      <c r="A518" s="26">
        <f t="shared" si="102"/>
        <v>487</v>
      </c>
      <c r="B518" s="27" t="s">
        <v>1492</v>
      </c>
      <c r="C518" s="256" t="s">
        <v>1508</v>
      </c>
      <c r="D518" s="257"/>
      <c r="E518" s="24" t="s">
        <v>1509</v>
      </c>
      <c r="F518" s="24" t="s">
        <v>43</v>
      </c>
      <c r="G518" s="4" t="s">
        <v>1510</v>
      </c>
      <c r="H518" s="4" t="s">
        <v>135</v>
      </c>
      <c r="I518" s="4" t="s">
        <v>46</v>
      </c>
      <c r="J518" s="105">
        <v>45993</v>
      </c>
      <c r="K518" s="3" t="str">
        <f t="shared" ca="1" si="96"/>
        <v xml:space="preserve">0 Tahun 8 bulan </v>
      </c>
      <c r="L518" s="30" t="s">
        <v>346</v>
      </c>
      <c r="M518" s="5">
        <v>44561</v>
      </c>
      <c r="N518" s="3" t="str">
        <f t="shared" ca="1" si="107"/>
        <v xml:space="preserve">4 Tahun 8 bulan </v>
      </c>
      <c r="O518" s="4"/>
      <c r="P518" s="4" t="s">
        <v>35</v>
      </c>
      <c r="Q518" s="4" t="str">
        <f t="shared" si="98"/>
        <v>Perempuan</v>
      </c>
      <c r="R518" s="4">
        <f t="shared" si="104"/>
        <v>1</v>
      </c>
      <c r="S518" s="4" t="str">
        <f t="shared" si="108"/>
        <v>1</v>
      </c>
      <c r="T518" s="4">
        <f t="shared" si="106"/>
        <v>0</v>
      </c>
      <c r="U518" s="29"/>
      <c r="V518" s="30" t="s">
        <v>50</v>
      </c>
      <c r="W518" s="30"/>
      <c r="X518" s="30"/>
      <c r="Y518" s="30"/>
      <c r="Z518" s="30"/>
      <c r="AA518" s="30"/>
      <c r="AB518" s="29"/>
      <c r="AC518" s="29"/>
      <c r="AD518" s="37">
        <f t="shared" si="100"/>
        <v>29040</v>
      </c>
      <c r="AE518" s="3" t="str">
        <f t="shared" ca="1" si="99"/>
        <v>47 Tahun 1 bulan 28 Hari</v>
      </c>
      <c r="AF518" s="38">
        <f t="shared" si="101"/>
        <v>50983</v>
      </c>
    </row>
    <row r="519" spans="1:32" s="7" customFormat="1" ht="34.5" customHeight="1" x14ac:dyDescent="0.35">
      <c r="A519" s="26">
        <f t="shared" si="102"/>
        <v>488</v>
      </c>
      <c r="B519" s="27" t="s">
        <v>1492</v>
      </c>
      <c r="C519" s="26"/>
      <c r="D519" s="50" t="s">
        <v>1511</v>
      </c>
      <c r="E519" s="51" t="s">
        <v>1512</v>
      </c>
      <c r="F519" s="51" t="s">
        <v>43</v>
      </c>
      <c r="G519" s="4" t="s">
        <v>1513</v>
      </c>
      <c r="H519" s="4" t="s">
        <v>385</v>
      </c>
      <c r="I519" s="33" t="s">
        <v>46</v>
      </c>
      <c r="J519" s="5">
        <f>'[2]Plt. Kab. Tanggamus'!$J$118</f>
        <v>45839</v>
      </c>
      <c r="K519" s="3" t="str">
        <f t="shared" ref="K519:K582" ca="1" si="109">IF(J519="","",CONCATENATE(DATEDIF(J519,NOW(),"Y")," Tahun ",DATEDIF(J519,NOW(),"YM")," bulan "))</f>
        <v xml:space="preserve">1 Tahun 2 bulan </v>
      </c>
      <c r="L519" s="30" t="s">
        <v>200</v>
      </c>
      <c r="M519" s="5" t="s">
        <v>1109</v>
      </c>
      <c r="N519" s="3" t="str">
        <f t="shared" ca="1" si="107"/>
        <v xml:space="preserve">6 Tahun 8 bulan </v>
      </c>
      <c r="O519" s="4"/>
      <c r="P519" s="4" t="s">
        <v>35</v>
      </c>
      <c r="Q519" s="4" t="str">
        <f t="shared" ref="Q519:Q582" si="110">CONCATENATE(IF(MID(G519,17,1)="1","Laki-Laki",IF(MID(G519,17,1)="2","Perempuan",)))</f>
        <v>Laki-Laki</v>
      </c>
      <c r="R519" s="4">
        <f t="shared" si="104"/>
        <v>1</v>
      </c>
      <c r="S519" s="4" t="str">
        <f t="shared" si="108"/>
        <v>1</v>
      </c>
      <c r="T519" s="4">
        <f t="shared" si="106"/>
        <v>0</v>
      </c>
      <c r="U519" s="29"/>
      <c r="V519" s="30" t="s">
        <v>50</v>
      </c>
      <c r="W519" s="30"/>
      <c r="X519" s="30"/>
      <c r="Y519" s="30"/>
      <c r="Z519" s="30"/>
      <c r="AA519" s="30"/>
      <c r="AB519" s="29"/>
      <c r="AC519" s="29"/>
      <c r="AD519" s="37">
        <f t="shared" si="100"/>
        <v>31199</v>
      </c>
      <c r="AE519" s="3" t="str">
        <f t="shared" ref="AE519:AE582" ca="1" si="111">IF(TRIM(AD519)="", "", CONCATENATE(DATEDIF(AD519,NOW(),"Y")," Tahun ",DATEDIF(AD519,NOW(),"YM")," bulan ",DATEDIF(AD519,NOW(),"MD")," Hari"))</f>
        <v>41 Tahun 3 bulan 0 Hari</v>
      </c>
      <c r="AF519" s="38">
        <f t="shared" si="101"/>
        <v>53144</v>
      </c>
    </row>
    <row r="520" spans="1:32" s="7" customFormat="1" ht="32.15" customHeight="1" x14ac:dyDescent="0.35">
      <c r="A520" s="26">
        <f t="shared" si="102"/>
        <v>489</v>
      </c>
      <c r="B520" s="27" t="s">
        <v>1492</v>
      </c>
      <c r="C520" s="26"/>
      <c r="D520" s="50" t="s">
        <v>1514</v>
      </c>
      <c r="E520" s="24" t="s">
        <v>1515</v>
      </c>
      <c r="F520" s="24" t="s">
        <v>43</v>
      </c>
      <c r="G520" s="4" t="s">
        <v>1516</v>
      </c>
      <c r="H520" s="4" t="s">
        <v>1063</v>
      </c>
      <c r="I520" s="33" t="s">
        <v>759</v>
      </c>
      <c r="J520" s="5">
        <v>45993</v>
      </c>
      <c r="K520" s="3" t="str">
        <f t="shared" ca="1" si="109"/>
        <v xml:space="preserve">0 Tahun 8 bulan </v>
      </c>
      <c r="L520" s="30" t="s">
        <v>200</v>
      </c>
      <c r="M520" s="5">
        <v>43467</v>
      </c>
      <c r="N520" s="3" t="str">
        <f t="shared" ca="1" si="107"/>
        <v xml:space="preserve">7 Tahun 7 bulan </v>
      </c>
      <c r="O520" s="4"/>
      <c r="P520" s="4" t="s">
        <v>35</v>
      </c>
      <c r="Q520" s="4" t="str">
        <f t="shared" si="110"/>
        <v>Laki-Laki</v>
      </c>
      <c r="R520" s="4">
        <f t="shared" si="104"/>
        <v>1</v>
      </c>
      <c r="S520" s="4" t="str">
        <f t="shared" si="108"/>
        <v>1</v>
      </c>
      <c r="T520" s="4">
        <f t="shared" si="106"/>
        <v>0</v>
      </c>
      <c r="U520" s="29"/>
      <c r="V520" s="30" t="s">
        <v>50</v>
      </c>
      <c r="W520" s="30"/>
      <c r="X520" s="30"/>
      <c r="Y520" s="30"/>
      <c r="Z520" s="30"/>
      <c r="AA520" s="30"/>
      <c r="AB520" s="29"/>
      <c r="AC520" s="29"/>
      <c r="AD520" s="37">
        <f t="shared" ref="AD520:AD583" si="112">IF(TRIM(G520)="", "", DATE(LEFT(G520,4),MID(G520,5,2),MID(G520,7,2)))</f>
        <v>30613</v>
      </c>
      <c r="AE520" s="3" t="str">
        <f t="shared" ca="1" si="111"/>
        <v>42 Tahun 10 bulan 8 Hari</v>
      </c>
      <c r="AF520" s="38">
        <f t="shared" ref="AF520:AF583" si="113">IF(TRIM(AD520)="","",DATE(YEAR(AD520)+60,MONTH(AD520)+1,1))</f>
        <v>52536</v>
      </c>
    </row>
    <row r="521" spans="1:32" s="7" customFormat="1" ht="32.15" customHeight="1" x14ac:dyDescent="0.35">
      <c r="A521" s="26">
        <f t="shared" si="102"/>
        <v>490</v>
      </c>
      <c r="B521" s="27" t="s">
        <v>1492</v>
      </c>
      <c r="C521" s="26"/>
      <c r="D521" s="50" t="s">
        <v>1505</v>
      </c>
      <c r="E521" s="24" t="s">
        <v>108</v>
      </c>
      <c r="F521" s="24"/>
      <c r="G521" s="3"/>
      <c r="H521" s="4"/>
      <c r="I521" s="33"/>
      <c r="J521" s="5"/>
      <c r="K521" s="3" t="str">
        <f t="shared" ca="1" si="109"/>
        <v/>
      </c>
      <c r="L521" s="30" t="s">
        <v>88</v>
      </c>
      <c r="M521" s="5"/>
      <c r="N521" s="3" t="str">
        <f t="shared" ca="1" si="107"/>
        <v/>
      </c>
      <c r="O521" s="4"/>
      <c r="P521" s="4"/>
      <c r="Q521" s="4" t="str">
        <f t="shared" si="110"/>
        <v/>
      </c>
      <c r="R521" s="4">
        <f t="shared" si="104"/>
        <v>1</v>
      </c>
      <c r="S521" s="4" t="str">
        <f t="shared" si="108"/>
        <v>0</v>
      </c>
      <c r="T521" s="4">
        <f t="shared" si="106"/>
        <v>1</v>
      </c>
      <c r="U521" s="29"/>
      <c r="V521" s="30"/>
      <c r="W521" s="30"/>
      <c r="X521" s="30"/>
      <c r="Y521" s="30"/>
      <c r="Z521" s="30"/>
      <c r="AA521" s="30"/>
      <c r="AB521" s="29"/>
      <c r="AC521" s="29"/>
      <c r="AD521" s="37" t="str">
        <f t="shared" si="112"/>
        <v/>
      </c>
      <c r="AE521" s="3" t="str">
        <f t="shared" ca="1" si="111"/>
        <v/>
      </c>
      <c r="AF521" s="38" t="str">
        <f t="shared" si="113"/>
        <v/>
      </c>
    </row>
    <row r="522" spans="1:32" s="7" customFormat="1" ht="32.15" customHeight="1" x14ac:dyDescent="0.35">
      <c r="A522" s="26">
        <f t="shared" si="102"/>
        <v>491</v>
      </c>
      <c r="B522" s="27" t="s">
        <v>1492</v>
      </c>
      <c r="C522" s="256" t="s">
        <v>1517</v>
      </c>
      <c r="D522" s="257"/>
      <c r="E522" s="24" t="s">
        <v>1152</v>
      </c>
      <c r="F522" s="24" t="s">
        <v>43</v>
      </c>
      <c r="G522" s="4" t="str">
        <f>G384</f>
        <v>19810601 200801 2 018</v>
      </c>
      <c r="H522" s="4" t="s">
        <v>1154</v>
      </c>
      <c r="I522" s="4" t="str">
        <f t="shared" ref="I522" si="114">I384</f>
        <v>S.1 Ekonomi</v>
      </c>
      <c r="J522" s="33">
        <v>45993</v>
      </c>
      <c r="K522" s="3" t="str">
        <f t="shared" ca="1" si="109"/>
        <v xml:space="preserve">0 Tahun 8 bulan </v>
      </c>
      <c r="L522" s="30" t="s">
        <v>346</v>
      </c>
      <c r="M522" s="30" t="s">
        <v>87</v>
      </c>
      <c r="N522" s="3" t="str">
        <f t="shared" ca="1" si="107"/>
        <v xml:space="preserve">4 Tahun 8 bulan </v>
      </c>
      <c r="O522" s="4"/>
      <c r="P522" s="4" t="str">
        <f>P384</f>
        <v>Islam</v>
      </c>
      <c r="Q522" s="4" t="str">
        <f t="shared" si="110"/>
        <v>Perempuan</v>
      </c>
      <c r="R522" s="4">
        <f t="shared" si="104"/>
        <v>1</v>
      </c>
      <c r="S522" s="4" t="str">
        <f t="shared" si="108"/>
        <v>1</v>
      </c>
      <c r="T522" s="4">
        <f t="shared" si="106"/>
        <v>0</v>
      </c>
      <c r="U522" s="29"/>
      <c r="V522" s="30" t="s">
        <v>50</v>
      </c>
      <c r="W522" s="30"/>
      <c r="X522" s="30"/>
      <c r="Y522" s="30"/>
      <c r="Z522" s="30"/>
      <c r="AA522" s="30"/>
      <c r="AB522" s="29"/>
      <c r="AC522" s="29"/>
      <c r="AD522" s="37">
        <f t="shared" si="112"/>
        <v>29738</v>
      </c>
      <c r="AE522" s="3" t="str">
        <f t="shared" ca="1" si="111"/>
        <v>45 Tahun 3 bulan 0 Hari</v>
      </c>
      <c r="AF522" s="38">
        <f t="shared" si="113"/>
        <v>51683</v>
      </c>
    </row>
    <row r="523" spans="1:32" s="7" customFormat="1" ht="36.75" customHeight="1" x14ac:dyDescent="0.35">
      <c r="A523" s="26">
        <f t="shared" si="102"/>
        <v>492</v>
      </c>
      <c r="B523" s="27" t="s">
        <v>1492</v>
      </c>
      <c r="C523" s="26"/>
      <c r="D523" s="50" t="s">
        <v>1518</v>
      </c>
      <c r="E523" s="51" t="s">
        <v>1519</v>
      </c>
      <c r="F523" s="24" t="s">
        <v>43</v>
      </c>
      <c r="G523" s="4" t="s">
        <v>1520</v>
      </c>
      <c r="H523" s="4" t="s">
        <v>472</v>
      </c>
      <c r="I523" s="33" t="s">
        <v>1521</v>
      </c>
      <c r="J523" s="5">
        <v>45993</v>
      </c>
      <c r="K523" s="3" t="str">
        <f t="shared" ca="1" si="109"/>
        <v xml:space="preserve">0 Tahun 8 bulan </v>
      </c>
      <c r="L523" s="30" t="s">
        <v>200</v>
      </c>
      <c r="M523" s="5" t="s">
        <v>292</v>
      </c>
      <c r="N523" s="3" t="str">
        <f t="shared" ca="1" si="107"/>
        <v xml:space="preserve">7 Tahun 7 bulan </v>
      </c>
      <c r="O523" s="4"/>
      <c r="P523" s="4" t="s">
        <v>35</v>
      </c>
      <c r="Q523" s="4" t="str">
        <f t="shared" si="110"/>
        <v>Laki-Laki</v>
      </c>
      <c r="R523" s="4">
        <f t="shared" si="104"/>
        <v>1</v>
      </c>
      <c r="S523" s="4" t="str">
        <f t="shared" si="108"/>
        <v>1</v>
      </c>
      <c r="T523" s="4">
        <f t="shared" si="106"/>
        <v>0</v>
      </c>
      <c r="U523" s="29"/>
      <c r="V523" s="30" t="s">
        <v>50</v>
      </c>
      <c r="W523" s="30"/>
      <c r="X523" s="30"/>
      <c r="Y523" s="30"/>
      <c r="Z523" s="30"/>
      <c r="AA523" s="30"/>
      <c r="AB523" s="29"/>
      <c r="AC523" s="29"/>
      <c r="AD523" s="37">
        <f t="shared" si="112"/>
        <v>26229</v>
      </c>
      <c r="AE523" s="3" t="str">
        <f t="shared" ca="1" si="111"/>
        <v>54 Tahun 10 bulan 9 Hari</v>
      </c>
      <c r="AF523" s="38">
        <f t="shared" si="113"/>
        <v>48153</v>
      </c>
    </row>
    <row r="524" spans="1:32" s="7" customFormat="1" ht="32.15" customHeight="1" x14ac:dyDescent="0.35">
      <c r="A524" s="155">
        <f t="shared" si="102"/>
        <v>493</v>
      </c>
      <c r="B524" s="156" t="s">
        <v>1492</v>
      </c>
      <c r="C524" s="155"/>
      <c r="D524" s="157" t="s">
        <v>1522</v>
      </c>
      <c r="E524" s="158" t="s">
        <v>1523</v>
      </c>
      <c r="F524" s="159" t="s">
        <v>43</v>
      </c>
      <c r="G524" s="160" t="s">
        <v>2973</v>
      </c>
      <c r="H524" s="160" t="s">
        <v>1715</v>
      </c>
      <c r="I524" s="161" t="s">
        <v>2965</v>
      </c>
      <c r="J524" s="162">
        <v>45993</v>
      </c>
      <c r="K524" s="163" t="str">
        <f t="shared" ca="1" si="109"/>
        <v xml:space="preserve">0 Tahun 8 bulan </v>
      </c>
      <c r="L524" s="164" t="s">
        <v>200</v>
      </c>
      <c r="M524" s="162">
        <v>45993</v>
      </c>
      <c r="N524" s="163" t="str">
        <f t="shared" ca="1" si="107"/>
        <v xml:space="preserve">0 Tahun 8 bulan </v>
      </c>
      <c r="O524" s="160"/>
      <c r="P524" s="160" t="s">
        <v>35</v>
      </c>
      <c r="Q524" s="160" t="str">
        <f t="shared" si="110"/>
        <v>Laki-Laki</v>
      </c>
      <c r="R524" s="160">
        <f t="shared" si="104"/>
        <v>1</v>
      </c>
      <c r="S524" s="160" t="str">
        <f t="shared" si="108"/>
        <v>1</v>
      </c>
      <c r="T524" s="160">
        <f t="shared" si="106"/>
        <v>0</v>
      </c>
      <c r="U524" s="165"/>
      <c r="V524" s="164"/>
      <c r="W524" s="164"/>
      <c r="X524" s="164"/>
      <c r="Y524" s="164"/>
      <c r="Z524" s="164"/>
      <c r="AA524" s="164"/>
      <c r="AB524" s="165"/>
      <c r="AC524" s="165"/>
      <c r="AD524" s="166">
        <f t="shared" si="112"/>
        <v>29269</v>
      </c>
      <c r="AE524" s="163" t="str">
        <f t="shared" ca="1" si="111"/>
        <v>46 Tahun 6 bulan 14 Hari</v>
      </c>
      <c r="AF524" s="167">
        <f t="shared" si="113"/>
        <v>51196</v>
      </c>
    </row>
    <row r="525" spans="1:32" s="7" customFormat="1" ht="32.15" customHeight="1" x14ac:dyDescent="0.35">
      <c r="A525" s="26">
        <f t="shared" si="102"/>
        <v>494</v>
      </c>
      <c r="B525" s="27" t="s">
        <v>1492</v>
      </c>
      <c r="C525" s="26"/>
      <c r="D525" s="50" t="s">
        <v>1505</v>
      </c>
      <c r="E525" s="45" t="s">
        <v>1524</v>
      </c>
      <c r="F525" s="24" t="s">
        <v>43</v>
      </c>
      <c r="G525" s="44" t="s">
        <v>1525</v>
      </c>
      <c r="H525" s="4" t="s">
        <v>1526</v>
      </c>
      <c r="I525" s="48" t="s">
        <v>86</v>
      </c>
      <c r="J525" s="5">
        <f>'[2]Plt. Kab. Tanggamus'!$J$139</f>
        <v>45839</v>
      </c>
      <c r="K525" s="3" t="str">
        <f t="shared" ca="1" si="109"/>
        <v xml:space="preserve">1 Tahun 2 bulan </v>
      </c>
      <c r="L525" s="30" t="s">
        <v>88</v>
      </c>
      <c r="M525" s="5">
        <v>44561</v>
      </c>
      <c r="N525" s="3" t="str">
        <f t="shared" ca="1" si="107"/>
        <v xml:space="preserve">4 Tahun 8 bulan </v>
      </c>
      <c r="O525" s="36"/>
      <c r="P525" s="4" t="s">
        <v>35</v>
      </c>
      <c r="Q525" s="4" t="str">
        <f t="shared" si="110"/>
        <v>Perempuan</v>
      </c>
      <c r="R525" s="4">
        <f t="shared" si="104"/>
        <v>1</v>
      </c>
      <c r="S525" s="4" t="str">
        <f t="shared" si="108"/>
        <v>1</v>
      </c>
      <c r="T525" s="4">
        <f t="shared" si="106"/>
        <v>0</v>
      </c>
      <c r="U525" s="29"/>
      <c r="V525" s="30"/>
      <c r="W525" s="30"/>
      <c r="X525" s="30"/>
      <c r="Y525" s="30"/>
      <c r="Z525" s="30"/>
      <c r="AA525" s="30"/>
      <c r="AB525" s="29"/>
      <c r="AC525" s="29"/>
      <c r="AD525" s="37">
        <f t="shared" si="112"/>
        <v>29990</v>
      </c>
      <c r="AE525" s="3" t="str">
        <f t="shared" ca="1" si="111"/>
        <v>44 Tahun 6 bulan 24 Hari</v>
      </c>
      <c r="AF525" s="38">
        <f t="shared" si="113"/>
        <v>51926</v>
      </c>
    </row>
    <row r="526" spans="1:32" s="7" customFormat="1" ht="32.15" customHeight="1" x14ac:dyDescent="0.35">
      <c r="A526" s="26">
        <f t="shared" si="102"/>
        <v>495</v>
      </c>
      <c r="B526" s="27" t="s">
        <v>1492</v>
      </c>
      <c r="C526" s="256" t="s">
        <v>1527</v>
      </c>
      <c r="D526" s="257"/>
      <c r="E526" s="24" t="s">
        <v>1528</v>
      </c>
      <c r="F526" s="24" t="s">
        <v>43</v>
      </c>
      <c r="G526" s="4" t="s">
        <v>1487</v>
      </c>
      <c r="H526" s="4" t="s">
        <v>1529</v>
      </c>
      <c r="I526" s="33" t="s">
        <v>46</v>
      </c>
      <c r="J526" s="5">
        <v>45993</v>
      </c>
      <c r="K526" s="3" t="str">
        <f t="shared" ca="1" si="109"/>
        <v xml:space="preserve">0 Tahun 8 bulan </v>
      </c>
      <c r="L526" s="30" t="s">
        <v>346</v>
      </c>
      <c r="M526" s="5" t="s">
        <v>1467</v>
      </c>
      <c r="N526" s="3" t="str">
        <f t="shared" ca="1" si="107"/>
        <v xml:space="preserve">3 Tahun 7 bulan </v>
      </c>
      <c r="O526" s="4"/>
      <c r="P526" s="4" t="s">
        <v>35</v>
      </c>
      <c r="Q526" s="4" t="str">
        <f t="shared" si="110"/>
        <v>Laki-Laki</v>
      </c>
      <c r="R526" s="4">
        <f t="shared" si="104"/>
        <v>1</v>
      </c>
      <c r="S526" s="4" t="str">
        <f t="shared" si="108"/>
        <v>1</v>
      </c>
      <c r="T526" s="4">
        <f t="shared" si="106"/>
        <v>0</v>
      </c>
      <c r="U526" s="29"/>
      <c r="V526" s="30" t="s">
        <v>50</v>
      </c>
      <c r="W526" s="30"/>
      <c r="X526" s="30"/>
      <c r="Y526" s="30"/>
      <c r="Z526" s="30"/>
      <c r="AA526" s="30"/>
      <c r="AB526" s="29"/>
      <c r="AC526" s="29"/>
      <c r="AD526" s="37">
        <f t="shared" si="112"/>
        <v>32843</v>
      </c>
      <c r="AE526" s="3" t="str">
        <f t="shared" ca="1" si="111"/>
        <v>36 Tahun 9 bulan 0 Hari</v>
      </c>
      <c r="AF526" s="38">
        <f t="shared" si="113"/>
        <v>54789</v>
      </c>
    </row>
    <row r="527" spans="1:32" s="7" customFormat="1" ht="36" customHeight="1" x14ac:dyDescent="0.35">
      <c r="A527" s="143">
        <f t="shared" si="102"/>
        <v>496</v>
      </c>
      <c r="B527" s="144" t="s">
        <v>1492</v>
      </c>
      <c r="C527" s="143"/>
      <c r="D527" s="145" t="s">
        <v>1530</v>
      </c>
      <c r="E527" s="146" t="s">
        <v>1531</v>
      </c>
      <c r="F527" s="146" t="s">
        <v>43</v>
      </c>
      <c r="G527" s="147" t="s">
        <v>2214</v>
      </c>
      <c r="H527" s="147" t="s">
        <v>159</v>
      </c>
      <c r="I527" s="148" t="s">
        <v>86</v>
      </c>
      <c r="J527" s="149">
        <v>45993</v>
      </c>
      <c r="K527" s="150" t="str">
        <f t="shared" ca="1" si="109"/>
        <v xml:space="preserve">0 Tahun 8 bulan </v>
      </c>
      <c r="L527" s="151" t="s">
        <v>200</v>
      </c>
      <c r="M527" s="149"/>
      <c r="N527" s="150" t="str">
        <f t="shared" ca="1" si="107"/>
        <v/>
      </c>
      <c r="O527" s="147"/>
      <c r="P527" s="147"/>
      <c r="Q527" s="147" t="str">
        <f t="shared" si="110"/>
        <v>Perempuan</v>
      </c>
      <c r="R527" s="147">
        <f t="shared" si="104"/>
        <v>1</v>
      </c>
      <c r="S527" s="147" t="str">
        <f t="shared" si="108"/>
        <v>1</v>
      </c>
      <c r="T527" s="147">
        <f t="shared" si="106"/>
        <v>0</v>
      </c>
      <c r="U527" s="152"/>
      <c r="V527" s="151" t="s">
        <v>50</v>
      </c>
      <c r="W527" s="151"/>
      <c r="X527" s="151"/>
      <c r="Y527" s="151"/>
      <c r="Z527" s="151"/>
      <c r="AA527" s="151"/>
      <c r="AB527" s="152"/>
      <c r="AC527" s="152"/>
      <c r="AD527" s="153">
        <f t="shared" si="112"/>
        <v>28691</v>
      </c>
      <c r="AE527" s="150" t="str">
        <f t="shared" ca="1" si="111"/>
        <v>48 Tahun 1 bulan 12 Hari</v>
      </c>
      <c r="AF527" s="154">
        <f t="shared" si="113"/>
        <v>50618</v>
      </c>
    </row>
    <row r="528" spans="1:32" s="7" customFormat="1" ht="33.75" customHeight="1" x14ac:dyDescent="0.35">
      <c r="A528" s="26">
        <f t="shared" si="102"/>
        <v>497</v>
      </c>
      <c r="B528" s="27" t="s">
        <v>1492</v>
      </c>
      <c r="C528" s="26"/>
      <c r="D528" s="50" t="s">
        <v>1532</v>
      </c>
      <c r="E528" s="24" t="s">
        <v>1533</v>
      </c>
      <c r="F528" s="24" t="s">
        <v>43</v>
      </c>
      <c r="G528" s="4" t="s">
        <v>1534</v>
      </c>
      <c r="H528" s="4" t="s">
        <v>385</v>
      </c>
      <c r="I528" s="33" t="s">
        <v>46</v>
      </c>
      <c r="J528" s="5">
        <v>45993</v>
      </c>
      <c r="K528" s="3" t="str">
        <f t="shared" ca="1" si="109"/>
        <v xml:space="preserve">0 Tahun 8 bulan </v>
      </c>
      <c r="L528" s="30" t="s">
        <v>200</v>
      </c>
      <c r="M528" s="5" t="s">
        <v>292</v>
      </c>
      <c r="N528" s="3" t="str">
        <f t="shared" ca="1" si="107"/>
        <v xml:space="preserve">7 Tahun 7 bulan </v>
      </c>
      <c r="O528" s="4"/>
      <c r="P528" s="4" t="s">
        <v>35</v>
      </c>
      <c r="Q528" s="4" t="str">
        <f t="shared" si="110"/>
        <v>Laki-Laki</v>
      </c>
      <c r="R528" s="4">
        <f t="shared" si="104"/>
        <v>1</v>
      </c>
      <c r="S528" s="4" t="str">
        <f t="shared" si="108"/>
        <v>1</v>
      </c>
      <c r="T528" s="4">
        <f t="shared" si="106"/>
        <v>0</v>
      </c>
      <c r="U528" s="29"/>
      <c r="V528" s="30" t="s">
        <v>50</v>
      </c>
      <c r="W528" s="30"/>
      <c r="X528" s="30"/>
      <c r="Y528" s="30"/>
      <c r="Z528" s="30"/>
      <c r="AA528" s="30"/>
      <c r="AB528" s="29"/>
      <c r="AC528" s="29"/>
      <c r="AD528" s="37">
        <f t="shared" si="112"/>
        <v>29421</v>
      </c>
      <c r="AE528" s="3" t="str">
        <f t="shared" ca="1" si="111"/>
        <v>46 Tahun 1 bulan 13 Hari</v>
      </c>
      <c r="AF528" s="38">
        <f t="shared" si="113"/>
        <v>51349</v>
      </c>
    </row>
    <row r="529" spans="1:33" ht="32.15" customHeight="1" x14ac:dyDescent="0.35">
      <c r="A529" s="26">
        <f t="shared" si="102"/>
        <v>498</v>
      </c>
      <c r="B529" s="27" t="s">
        <v>1492</v>
      </c>
      <c r="C529" s="26"/>
      <c r="D529" s="50" t="s">
        <v>1505</v>
      </c>
      <c r="E529" s="24" t="s">
        <v>1535</v>
      </c>
      <c r="F529" s="24" t="s">
        <v>43</v>
      </c>
      <c r="G529" s="4" t="s">
        <v>1536</v>
      </c>
      <c r="H529" s="4" t="s">
        <v>419</v>
      </c>
      <c r="I529" s="41" t="s">
        <v>46</v>
      </c>
      <c r="J529" s="5" t="s">
        <v>87</v>
      </c>
      <c r="K529" s="3" t="str">
        <f t="shared" ca="1" si="109"/>
        <v xml:space="preserve">4 Tahun 8 bulan </v>
      </c>
      <c r="L529" s="30" t="s">
        <v>88</v>
      </c>
      <c r="M529" s="5">
        <v>44561</v>
      </c>
      <c r="N529" s="3" t="str">
        <f t="shared" ca="1" si="107"/>
        <v xml:space="preserve">4 Tahun 8 bulan </v>
      </c>
      <c r="O529" s="4"/>
      <c r="P529" s="4" t="s">
        <v>35</v>
      </c>
      <c r="Q529" s="4" t="str">
        <f t="shared" si="110"/>
        <v>Perempuan</v>
      </c>
      <c r="R529" s="4">
        <f t="shared" si="104"/>
        <v>1</v>
      </c>
      <c r="S529" s="4" t="str">
        <f t="shared" si="108"/>
        <v>1</v>
      </c>
      <c r="T529" s="4">
        <f t="shared" si="106"/>
        <v>0</v>
      </c>
      <c r="U529" s="29"/>
      <c r="V529" s="30"/>
      <c r="W529" s="30"/>
      <c r="X529" s="30"/>
      <c r="Y529" s="30"/>
      <c r="Z529" s="30"/>
      <c r="AA529" s="30"/>
      <c r="AB529" s="29"/>
      <c r="AC529" s="29"/>
      <c r="AD529" s="37">
        <f t="shared" si="112"/>
        <v>29493</v>
      </c>
      <c r="AE529" s="3" t="str">
        <f t="shared" ca="1" si="111"/>
        <v>45 Tahun 11 bulan 3 Hari</v>
      </c>
      <c r="AF529" s="38">
        <f t="shared" si="113"/>
        <v>51410</v>
      </c>
      <c r="AG529" s="7"/>
    </row>
    <row r="530" spans="1:33" ht="32.15" customHeight="1" x14ac:dyDescent="0.35">
      <c r="A530" s="26">
        <f t="shared" ref="A530:A593" si="115">A529+1</f>
        <v>499</v>
      </c>
      <c r="B530" s="27" t="s">
        <v>1492</v>
      </c>
      <c r="C530" s="256" t="s">
        <v>1537</v>
      </c>
      <c r="D530" s="257"/>
      <c r="E530" s="24" t="s">
        <v>1538</v>
      </c>
      <c r="F530" s="24" t="s">
        <v>43</v>
      </c>
      <c r="G530" s="4" t="s">
        <v>1542</v>
      </c>
      <c r="H530" s="4" t="s">
        <v>2841</v>
      </c>
      <c r="I530" s="4" t="s">
        <v>2840</v>
      </c>
      <c r="J530" s="33">
        <v>45993</v>
      </c>
      <c r="K530" s="3" t="str">
        <f t="shared" ca="1" si="109"/>
        <v xml:space="preserve">0 Tahun 8 bulan </v>
      </c>
      <c r="L530" s="30" t="s">
        <v>346</v>
      </c>
      <c r="M530" s="30"/>
      <c r="N530" s="3" t="str">
        <f t="shared" ca="1" si="107"/>
        <v/>
      </c>
      <c r="O530" s="4"/>
      <c r="P530" s="4" t="str">
        <f>P370</f>
        <v>Islam</v>
      </c>
      <c r="Q530" s="4" t="str">
        <f t="shared" si="110"/>
        <v>Perempuan</v>
      </c>
      <c r="R530" s="4">
        <f t="shared" si="104"/>
        <v>1</v>
      </c>
      <c r="S530" s="4" t="str">
        <f t="shared" si="108"/>
        <v>1</v>
      </c>
      <c r="T530" s="4">
        <f t="shared" si="106"/>
        <v>0</v>
      </c>
      <c r="U530" s="29"/>
      <c r="V530" s="30"/>
      <c r="W530" s="30"/>
      <c r="X530" s="30"/>
      <c r="Y530" s="30"/>
      <c r="Z530" s="30"/>
      <c r="AA530" s="30"/>
      <c r="AB530" s="29"/>
      <c r="AC530" s="29"/>
      <c r="AD530" s="37">
        <f t="shared" si="112"/>
        <v>30142</v>
      </c>
      <c r="AE530" s="3" t="str">
        <f t="shared" ca="1" si="111"/>
        <v>44 Tahun 1 bulan 22 Hari</v>
      </c>
      <c r="AF530" s="38">
        <f t="shared" si="113"/>
        <v>52079</v>
      </c>
      <c r="AG530" s="7"/>
    </row>
    <row r="531" spans="1:33" ht="32.15" customHeight="1" x14ac:dyDescent="0.35">
      <c r="A531" s="155">
        <f t="shared" si="115"/>
        <v>500</v>
      </c>
      <c r="B531" s="156" t="s">
        <v>1492</v>
      </c>
      <c r="C531" s="155"/>
      <c r="D531" s="157" t="s">
        <v>1539</v>
      </c>
      <c r="E531" s="168" t="s">
        <v>1540</v>
      </c>
      <c r="F531" s="159" t="s">
        <v>43</v>
      </c>
      <c r="G531" s="169" t="s">
        <v>2974</v>
      </c>
      <c r="H531" s="170" t="s">
        <v>2975</v>
      </c>
      <c r="I531" s="161" t="s">
        <v>446</v>
      </c>
      <c r="J531" s="162">
        <v>45993</v>
      </c>
      <c r="K531" s="163" t="str">
        <f t="shared" ca="1" si="109"/>
        <v xml:space="preserve">0 Tahun 8 bulan </v>
      </c>
      <c r="L531" s="164" t="s">
        <v>200</v>
      </c>
      <c r="M531" s="162">
        <v>45993</v>
      </c>
      <c r="N531" s="163" t="str">
        <f t="shared" ca="1" si="107"/>
        <v xml:space="preserve">0 Tahun 8 bulan </v>
      </c>
      <c r="O531" s="160"/>
      <c r="P531" s="160" t="s">
        <v>35</v>
      </c>
      <c r="Q531" s="160" t="str">
        <f t="shared" si="110"/>
        <v>Laki-Laki</v>
      </c>
      <c r="R531" s="160">
        <f t="shared" si="104"/>
        <v>1</v>
      </c>
      <c r="S531" s="160" t="str">
        <f>IF(R531="LOWONG","0","1")</f>
        <v>1</v>
      </c>
      <c r="T531" s="160">
        <f t="shared" si="106"/>
        <v>0</v>
      </c>
      <c r="U531" s="165"/>
      <c r="V531" s="164" t="s">
        <v>50</v>
      </c>
      <c r="W531" s="164"/>
      <c r="X531" s="164"/>
      <c r="Y531" s="164"/>
      <c r="Z531" s="164"/>
      <c r="AA531" s="164"/>
      <c r="AB531" s="165"/>
      <c r="AC531" s="165"/>
      <c r="AD531" s="166">
        <f t="shared" si="112"/>
        <v>32742</v>
      </c>
      <c r="AE531" s="163" t="str">
        <f t="shared" ca="1" si="111"/>
        <v>37 Tahun 0 bulan 10 Hari</v>
      </c>
      <c r="AF531" s="167">
        <f t="shared" si="113"/>
        <v>54667</v>
      </c>
      <c r="AG531" s="7"/>
    </row>
    <row r="532" spans="1:33" ht="32.15" customHeight="1" x14ac:dyDescent="0.35">
      <c r="A532" s="26">
        <f t="shared" si="115"/>
        <v>501</v>
      </c>
      <c r="B532" s="27" t="s">
        <v>1492</v>
      </c>
      <c r="C532" s="26"/>
      <c r="D532" s="50" t="s">
        <v>1541</v>
      </c>
      <c r="E532" s="51" t="s">
        <v>2903</v>
      </c>
      <c r="F532" s="39" t="s">
        <v>43</v>
      </c>
      <c r="G532" s="59" t="s">
        <v>2904</v>
      </c>
      <c r="H532" s="36" t="s">
        <v>2905</v>
      </c>
      <c r="I532" s="33" t="s">
        <v>1020</v>
      </c>
      <c r="J532" s="5">
        <v>46087</v>
      </c>
      <c r="K532" s="3" t="str">
        <f t="shared" ca="1" si="109"/>
        <v xml:space="preserve">0 Tahun 5 bulan </v>
      </c>
      <c r="L532" s="30" t="s">
        <v>200</v>
      </c>
      <c r="M532" s="5">
        <v>46087</v>
      </c>
      <c r="N532" s="3" t="str">
        <f t="shared" ca="1" si="107"/>
        <v xml:space="preserve">0 Tahun 5 bulan </v>
      </c>
      <c r="O532" s="4"/>
      <c r="P532" s="4" t="s">
        <v>35</v>
      </c>
      <c r="Q532" s="4" t="str">
        <f t="shared" si="110"/>
        <v>Laki-Laki</v>
      </c>
      <c r="R532" s="4">
        <f t="shared" si="104"/>
        <v>1</v>
      </c>
      <c r="S532" s="4" t="str">
        <f>IF(E532="LOWONG","0","1")</f>
        <v>1</v>
      </c>
      <c r="T532" s="4">
        <f t="shared" si="106"/>
        <v>0</v>
      </c>
      <c r="U532" s="29"/>
      <c r="V532" s="30"/>
      <c r="W532" s="30"/>
      <c r="X532" s="30"/>
      <c r="Y532" s="30"/>
      <c r="Z532" s="30"/>
      <c r="AA532" s="30"/>
      <c r="AB532" s="29"/>
      <c r="AC532" s="29"/>
      <c r="AD532" s="37">
        <f t="shared" si="112"/>
        <v>33712</v>
      </c>
      <c r="AE532" s="3" t="str">
        <f t="shared" ca="1" si="111"/>
        <v>34 Tahun 4 bulan 14 Hari</v>
      </c>
      <c r="AF532" s="38">
        <f t="shared" si="113"/>
        <v>55640</v>
      </c>
      <c r="AG532" s="7"/>
    </row>
    <row r="533" spans="1:33" ht="32.15" customHeight="1" x14ac:dyDescent="0.35">
      <c r="A533" s="26">
        <f t="shared" si="115"/>
        <v>502</v>
      </c>
      <c r="B533" s="27" t="s">
        <v>1492</v>
      </c>
      <c r="C533" s="26"/>
      <c r="D533" s="50" t="s">
        <v>1505</v>
      </c>
      <c r="E533" s="39" t="s">
        <v>1543</v>
      </c>
      <c r="F533" s="39" t="s">
        <v>43</v>
      </c>
      <c r="G533" s="40" t="s">
        <v>1544</v>
      </c>
      <c r="H533" s="36" t="s">
        <v>135</v>
      </c>
      <c r="I533" s="25" t="s">
        <v>46</v>
      </c>
      <c r="J533" s="5" t="s">
        <v>87</v>
      </c>
      <c r="K533" s="3" t="str">
        <f t="shared" ca="1" si="109"/>
        <v xml:space="preserve">4 Tahun 8 bulan </v>
      </c>
      <c r="L533" s="30" t="s">
        <v>88</v>
      </c>
      <c r="M533" s="5">
        <v>44561</v>
      </c>
      <c r="N533" s="3" t="str">
        <f t="shared" ca="1" si="107"/>
        <v xml:space="preserve">4 Tahun 8 bulan </v>
      </c>
      <c r="O533" s="4"/>
      <c r="P533" s="4" t="s">
        <v>35</v>
      </c>
      <c r="Q533" s="4" t="str">
        <f t="shared" si="110"/>
        <v>Perempuan</v>
      </c>
      <c r="R533" s="4">
        <f t="shared" si="104"/>
        <v>1</v>
      </c>
      <c r="S533" s="4" t="str">
        <f>IF(E533="LOWONG","0","1")</f>
        <v>1</v>
      </c>
      <c r="T533" s="4">
        <f t="shared" si="106"/>
        <v>0</v>
      </c>
      <c r="U533" s="29"/>
      <c r="V533" s="30"/>
      <c r="W533" s="30"/>
      <c r="X533" s="30"/>
      <c r="Y533" s="30"/>
      <c r="Z533" s="30"/>
      <c r="AA533" s="30"/>
      <c r="AB533" s="29"/>
      <c r="AC533" s="29"/>
      <c r="AD533" s="37">
        <f t="shared" si="112"/>
        <v>30024</v>
      </c>
      <c r="AE533" s="3" t="str">
        <f t="shared" ca="1" si="111"/>
        <v>44 Tahun 5 bulan 18 Hari</v>
      </c>
      <c r="AF533" s="38">
        <f t="shared" si="113"/>
        <v>51957</v>
      </c>
      <c r="AG533" s="7"/>
    </row>
    <row r="534" spans="1:33" ht="32.15" customHeight="1" x14ac:dyDescent="0.35">
      <c r="A534" s="26"/>
      <c r="B534" s="27" t="s">
        <v>1545</v>
      </c>
      <c r="C534" s="280" t="s">
        <v>1546</v>
      </c>
      <c r="D534" s="281"/>
      <c r="E534" s="271" t="str">
        <f ca="1">IF(J534="","",CONCATENATE(DATEDIF(J534,NOW(),"Y")," Tahun ",DATEDIF(J534,NOW(),"YM")," bulan "))</f>
        <v/>
      </c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2"/>
      <c r="AD534" s="272"/>
      <c r="AE534" s="272"/>
      <c r="AF534" s="273"/>
      <c r="AG534" s="7"/>
    </row>
    <row r="535" spans="1:33" ht="32.15" customHeight="1" x14ac:dyDescent="0.35">
      <c r="A535" s="26">
        <f>A533+1</f>
        <v>503</v>
      </c>
      <c r="B535" s="27" t="s">
        <v>1545</v>
      </c>
      <c r="C535" s="278" t="s">
        <v>1547</v>
      </c>
      <c r="D535" s="279"/>
      <c r="E535" s="24" t="s">
        <v>2870</v>
      </c>
      <c r="F535" s="39" t="s">
        <v>43</v>
      </c>
      <c r="G535" s="3" t="s">
        <v>2871</v>
      </c>
      <c r="H535" s="4" t="s">
        <v>303</v>
      </c>
      <c r="I535" s="4"/>
      <c r="J535" s="33"/>
      <c r="K535" s="3" t="str">
        <f t="shared" ca="1" si="109"/>
        <v/>
      </c>
      <c r="L535" s="30" t="s">
        <v>56</v>
      </c>
      <c r="M535" s="5"/>
      <c r="N535" s="3" t="str">
        <f t="shared" ca="1" si="107"/>
        <v/>
      </c>
      <c r="O535" s="4"/>
      <c r="P535" s="4" t="s">
        <v>35</v>
      </c>
      <c r="Q535" s="4" t="str">
        <f t="shared" si="110"/>
        <v>Laki-Laki</v>
      </c>
      <c r="R535" s="4">
        <f>R533</f>
        <v>1</v>
      </c>
      <c r="S535" s="4" t="str">
        <f>IF(E535="LOWONG","0","1")</f>
        <v>1</v>
      </c>
      <c r="T535" s="4">
        <f t="shared" ref="T535:T539" si="116">R535-S535</f>
        <v>0</v>
      </c>
      <c r="U535" s="29"/>
      <c r="V535" s="30" t="s">
        <v>50</v>
      </c>
      <c r="W535" s="30"/>
      <c r="X535" s="30"/>
      <c r="Y535" s="30"/>
      <c r="Z535" s="30"/>
      <c r="AA535" s="30"/>
      <c r="AB535" s="29"/>
      <c r="AC535" s="29"/>
      <c r="AD535" s="37">
        <f t="shared" si="112"/>
        <v>27773</v>
      </c>
      <c r="AE535" s="3" t="str">
        <f t="shared" ca="1" si="111"/>
        <v>50 Tahun 7 bulan 18 Hari</v>
      </c>
      <c r="AF535" s="38">
        <f t="shared" si="113"/>
        <v>49706</v>
      </c>
      <c r="AG535" s="7"/>
    </row>
    <row r="536" spans="1:33" ht="32.15" customHeight="1" x14ac:dyDescent="0.35">
      <c r="A536" s="26">
        <f t="shared" ref="A536:A540" si="117">A535+1</f>
        <v>504</v>
      </c>
      <c r="B536" s="27" t="s">
        <v>1545</v>
      </c>
      <c r="C536" s="256" t="s">
        <v>1548</v>
      </c>
      <c r="D536" s="257"/>
      <c r="E536" s="45" t="s">
        <v>2946</v>
      </c>
      <c r="F536" s="39" t="s">
        <v>43</v>
      </c>
      <c r="G536" s="4" t="s">
        <v>2882</v>
      </c>
      <c r="H536" s="4" t="s">
        <v>313</v>
      </c>
      <c r="I536" s="4" t="s">
        <v>450</v>
      </c>
      <c r="J536" s="33">
        <v>46087</v>
      </c>
      <c r="K536" s="3" t="str">
        <f t="shared" ca="1" si="109"/>
        <v xml:space="preserve">0 Tahun 5 bulan </v>
      </c>
      <c r="L536" s="30" t="str">
        <f>L488</f>
        <v>3A</v>
      </c>
      <c r="M536" s="96">
        <v>46087</v>
      </c>
      <c r="N536" s="3" t="str">
        <f t="shared" ca="1" si="107"/>
        <v xml:space="preserve">0 Tahun 5 bulan </v>
      </c>
      <c r="O536" s="36"/>
      <c r="P536" s="36" t="str">
        <f t="shared" ref="P536" si="118">P488</f>
        <v>Islam</v>
      </c>
      <c r="Q536" s="4" t="str">
        <f t="shared" si="110"/>
        <v>Laki-Laki</v>
      </c>
      <c r="R536" s="4">
        <f t="shared" si="104"/>
        <v>1</v>
      </c>
      <c r="S536" s="4" t="str">
        <f>IF(E536="LOWONG","0","1")</f>
        <v>1</v>
      </c>
      <c r="T536" s="4">
        <f t="shared" si="116"/>
        <v>0</v>
      </c>
      <c r="U536" s="29"/>
      <c r="V536" s="30" t="s">
        <v>50</v>
      </c>
      <c r="W536" s="30"/>
      <c r="X536" s="30"/>
      <c r="Y536" s="30"/>
      <c r="Z536" s="30"/>
      <c r="AA536" s="30"/>
      <c r="AB536" s="29"/>
      <c r="AC536" s="29"/>
      <c r="AD536" s="37">
        <f t="shared" si="112"/>
        <v>29514</v>
      </c>
      <c r="AE536" s="3" t="str">
        <f t="shared" ca="1" si="111"/>
        <v>45 Tahun 10 bulan 12 Hari</v>
      </c>
      <c r="AF536" s="38">
        <f t="shared" si="113"/>
        <v>51441</v>
      </c>
      <c r="AG536" s="7"/>
    </row>
    <row r="537" spans="1:33" ht="32.15" customHeight="1" x14ac:dyDescent="0.35">
      <c r="A537" s="26">
        <f t="shared" si="117"/>
        <v>505</v>
      </c>
      <c r="B537" s="27" t="s">
        <v>1545</v>
      </c>
      <c r="C537" s="26"/>
      <c r="D537" s="50" t="s">
        <v>1549</v>
      </c>
      <c r="E537" s="51" t="s">
        <v>1069</v>
      </c>
      <c r="F537" s="39" t="s">
        <v>43</v>
      </c>
      <c r="G537" s="4" t="s">
        <v>2976</v>
      </c>
      <c r="H537" s="4" t="s">
        <v>135</v>
      </c>
      <c r="I537" s="4" t="s">
        <v>2977</v>
      </c>
      <c r="J537" s="105">
        <v>46087</v>
      </c>
      <c r="K537" s="3" t="str">
        <f t="shared" ca="1" si="109"/>
        <v xml:space="preserve">0 Tahun 5 bulan </v>
      </c>
      <c r="L537" s="30" t="s">
        <v>200</v>
      </c>
      <c r="M537" s="105">
        <v>46087</v>
      </c>
      <c r="N537" s="3" t="str">
        <f t="shared" ca="1" si="107"/>
        <v xml:space="preserve">0 Tahun 5 bulan </v>
      </c>
      <c r="O537" s="4"/>
      <c r="P537" s="4">
        <f>P350</f>
        <v>0</v>
      </c>
      <c r="Q537" s="4" t="str">
        <f t="shared" si="110"/>
        <v>Laki-Laki</v>
      </c>
      <c r="R537" s="4">
        <f t="shared" si="104"/>
        <v>1</v>
      </c>
      <c r="S537" s="4" t="str">
        <f>IF(E537="LOWONG","0","1")</f>
        <v>1</v>
      </c>
      <c r="T537" s="4">
        <f t="shared" si="116"/>
        <v>0</v>
      </c>
      <c r="U537" s="29"/>
      <c r="V537" s="30"/>
      <c r="W537" s="30"/>
      <c r="X537" s="30"/>
      <c r="Y537" s="30"/>
      <c r="Z537" s="30"/>
      <c r="AA537" s="30"/>
      <c r="AB537" s="29"/>
      <c r="AC537" s="29"/>
      <c r="AD537" s="37">
        <f t="shared" si="112"/>
        <v>30459</v>
      </c>
      <c r="AE537" s="3" t="str">
        <f t="shared" ca="1" si="111"/>
        <v>43 Tahun 3 bulan 9 Hari</v>
      </c>
      <c r="AF537" s="38">
        <f t="shared" si="113"/>
        <v>52383</v>
      </c>
      <c r="AG537" s="7"/>
    </row>
    <row r="538" spans="1:33" ht="32.15" customHeight="1" x14ac:dyDescent="0.35">
      <c r="A538" s="26">
        <f t="shared" si="117"/>
        <v>506</v>
      </c>
      <c r="B538" s="27" t="s">
        <v>1545</v>
      </c>
      <c r="C538" s="26"/>
      <c r="D538" s="50" t="s">
        <v>1550</v>
      </c>
      <c r="E538" s="58" t="s">
        <v>108</v>
      </c>
      <c r="F538" s="83"/>
      <c r="G538" s="29"/>
      <c r="H538" s="29"/>
      <c r="I538" s="29"/>
      <c r="J538" s="88"/>
      <c r="K538" s="3" t="str">
        <f t="shared" ca="1" si="109"/>
        <v/>
      </c>
      <c r="L538" s="30" t="s">
        <v>88</v>
      </c>
      <c r="M538" s="88"/>
      <c r="N538" s="3" t="str">
        <f t="shared" ca="1" si="107"/>
        <v/>
      </c>
      <c r="O538" s="29"/>
      <c r="P538" s="29"/>
      <c r="Q538" s="4" t="str">
        <f t="shared" si="110"/>
        <v/>
      </c>
      <c r="R538" s="4">
        <f t="shared" ref="R538:R599" si="119">R537</f>
        <v>1</v>
      </c>
      <c r="S538" s="4" t="e">
        <f>IF(#REF!="LOWONG","0","1")</f>
        <v>#REF!</v>
      </c>
      <c r="T538" s="4" t="e">
        <f t="shared" si="116"/>
        <v>#REF!</v>
      </c>
      <c r="U538" s="29"/>
      <c r="V538" s="30"/>
      <c r="W538" s="30"/>
      <c r="X538" s="30"/>
      <c r="Y538" s="30"/>
      <c r="Z538" s="30"/>
      <c r="AA538" s="30"/>
      <c r="AB538" s="29"/>
      <c r="AC538" s="29"/>
      <c r="AD538" s="37" t="str">
        <f t="shared" si="112"/>
        <v/>
      </c>
      <c r="AE538" s="3" t="str">
        <f t="shared" ca="1" si="111"/>
        <v/>
      </c>
      <c r="AF538" s="38" t="str">
        <f t="shared" si="113"/>
        <v/>
      </c>
      <c r="AG538" s="7"/>
    </row>
    <row r="539" spans="1:33" ht="32.15" customHeight="1" x14ac:dyDescent="0.35">
      <c r="A539" s="26">
        <f t="shared" si="117"/>
        <v>507</v>
      </c>
      <c r="B539" s="27" t="s">
        <v>1545</v>
      </c>
      <c r="C539" s="26"/>
      <c r="D539" s="50" t="s">
        <v>1551</v>
      </c>
      <c r="E539" s="45" t="s">
        <v>108</v>
      </c>
      <c r="F539" s="45"/>
      <c r="G539" s="44"/>
      <c r="H539" s="4"/>
      <c r="I539" s="36"/>
      <c r="J539" s="84"/>
      <c r="K539" s="3" t="str">
        <f t="shared" ca="1" si="109"/>
        <v/>
      </c>
      <c r="L539" s="30" t="s">
        <v>88</v>
      </c>
      <c r="M539" s="84"/>
      <c r="N539" s="3" t="str">
        <f t="shared" ca="1" si="107"/>
        <v/>
      </c>
      <c r="O539" s="36"/>
      <c r="P539" s="4"/>
      <c r="Q539" s="4" t="str">
        <f t="shared" si="110"/>
        <v/>
      </c>
      <c r="R539" s="4">
        <f t="shared" si="119"/>
        <v>1</v>
      </c>
      <c r="S539" s="4" t="str">
        <f t="shared" ref="S539:S544" si="120">IF(E539="LOWONG","0","1")</f>
        <v>0</v>
      </c>
      <c r="T539" s="4">
        <f t="shared" si="116"/>
        <v>1</v>
      </c>
      <c r="U539" s="29"/>
      <c r="V539" s="30" t="s">
        <v>50</v>
      </c>
      <c r="W539" s="30"/>
      <c r="X539" s="30"/>
      <c r="Y539" s="30"/>
      <c r="Z539" s="30"/>
      <c r="AA539" s="30"/>
      <c r="AB539" s="29"/>
      <c r="AC539" s="29"/>
      <c r="AD539" s="37" t="str">
        <f t="shared" si="112"/>
        <v/>
      </c>
      <c r="AE539" s="3" t="str">
        <f t="shared" ca="1" si="111"/>
        <v/>
      </c>
      <c r="AF539" s="38" t="str">
        <f t="shared" si="113"/>
        <v/>
      </c>
      <c r="AG539" s="7"/>
    </row>
    <row r="540" spans="1:33" ht="32.15" customHeight="1" x14ac:dyDescent="0.35">
      <c r="A540" s="26">
        <f t="shared" si="117"/>
        <v>508</v>
      </c>
      <c r="B540" s="27" t="s">
        <v>1545</v>
      </c>
      <c r="C540" s="256" t="s">
        <v>1552</v>
      </c>
      <c r="D540" s="257"/>
      <c r="E540" s="24" t="s">
        <v>1553</v>
      </c>
      <c r="F540" s="24" t="s">
        <v>43</v>
      </c>
      <c r="G540" s="52" t="s">
        <v>2842</v>
      </c>
      <c r="H540" s="4" t="s">
        <v>887</v>
      </c>
      <c r="I540" s="25" t="s">
        <v>759</v>
      </c>
      <c r="J540" s="81">
        <v>45993</v>
      </c>
      <c r="K540" s="3" t="str">
        <f t="shared" ca="1" si="109"/>
        <v xml:space="preserve">0 Tahun 8 bulan </v>
      </c>
      <c r="L540" s="30" t="s">
        <v>346</v>
      </c>
      <c r="M540" s="5"/>
      <c r="N540" s="3" t="str">
        <f t="shared" ca="1" si="107"/>
        <v/>
      </c>
      <c r="O540" s="24"/>
      <c r="P540" s="4" t="s">
        <v>35</v>
      </c>
      <c r="Q540" s="4" t="str">
        <f t="shared" si="110"/>
        <v>Laki-Laki</v>
      </c>
      <c r="R540" s="4">
        <f>R533</f>
        <v>1</v>
      </c>
      <c r="S540" s="4" t="str">
        <f t="shared" si="120"/>
        <v>1</v>
      </c>
      <c r="T540" s="4">
        <f t="shared" si="106"/>
        <v>0</v>
      </c>
      <c r="U540" s="29"/>
      <c r="V540" s="30" t="s">
        <v>50</v>
      </c>
      <c r="W540" s="30"/>
      <c r="X540" s="30"/>
      <c r="Y540" s="30"/>
      <c r="Z540" s="30"/>
      <c r="AA540" s="30"/>
      <c r="AB540" s="29"/>
      <c r="AC540" s="29"/>
      <c r="AD540" s="37">
        <f t="shared" si="112"/>
        <v>31310</v>
      </c>
      <c r="AE540" s="3" t="str">
        <f t="shared" ca="1" si="111"/>
        <v>40 Tahun 11 bulan 12 Hari</v>
      </c>
      <c r="AF540" s="38">
        <f t="shared" si="113"/>
        <v>53236</v>
      </c>
      <c r="AG540" s="7"/>
    </row>
    <row r="541" spans="1:33" ht="39" customHeight="1" x14ac:dyDescent="0.35">
      <c r="A541" s="26">
        <f t="shared" si="115"/>
        <v>509</v>
      </c>
      <c r="B541" s="27" t="s">
        <v>1545</v>
      </c>
      <c r="C541" s="26"/>
      <c r="D541" s="50" t="s">
        <v>1554</v>
      </c>
      <c r="E541" s="51" t="s">
        <v>1177</v>
      </c>
      <c r="F541" s="24" t="s">
        <v>43</v>
      </c>
      <c r="G541" s="52" t="s">
        <v>1178</v>
      </c>
      <c r="H541" s="36" t="s">
        <v>1555</v>
      </c>
      <c r="I541" s="33" t="s">
        <v>1556</v>
      </c>
      <c r="J541" s="81">
        <v>46087</v>
      </c>
      <c r="K541" s="3" t="str">
        <f t="shared" ca="1" si="109"/>
        <v xml:space="preserve">0 Tahun 5 bulan </v>
      </c>
      <c r="L541" s="30" t="s">
        <v>200</v>
      </c>
      <c r="M541" s="5" t="s">
        <v>1557</v>
      </c>
      <c r="N541" s="3" t="str">
        <f t="shared" ca="1" si="107"/>
        <v xml:space="preserve">5 Tahun 8 bulan </v>
      </c>
      <c r="O541" s="4"/>
      <c r="P541" s="4" t="s">
        <v>35</v>
      </c>
      <c r="Q541" s="4" t="str">
        <f t="shared" si="110"/>
        <v/>
      </c>
      <c r="R541" s="4">
        <f t="shared" si="119"/>
        <v>1</v>
      </c>
      <c r="S541" s="4" t="str">
        <f t="shared" si="120"/>
        <v>1</v>
      </c>
      <c r="T541" s="4">
        <f t="shared" si="106"/>
        <v>0</v>
      </c>
      <c r="U541" s="29"/>
      <c r="V541" s="30"/>
      <c r="W541" s="30"/>
      <c r="X541" s="30"/>
      <c r="Y541" s="30"/>
      <c r="Z541" s="30"/>
      <c r="AA541" s="30"/>
      <c r="AB541" s="29"/>
      <c r="AC541" s="29"/>
      <c r="AD541" s="37">
        <f t="shared" si="112"/>
        <v>30060</v>
      </c>
      <c r="AE541" s="3" t="str">
        <f t="shared" ca="1" si="111"/>
        <v>44 Tahun 4 bulan 13 Hari</v>
      </c>
      <c r="AF541" s="38">
        <f t="shared" si="113"/>
        <v>51987</v>
      </c>
      <c r="AG541" s="7"/>
    </row>
    <row r="542" spans="1:33" ht="37.5" customHeight="1" x14ac:dyDescent="0.35">
      <c r="A542" s="26">
        <f t="shared" si="115"/>
        <v>510</v>
      </c>
      <c r="B542" s="27" t="s">
        <v>1545</v>
      </c>
      <c r="C542" s="26"/>
      <c r="D542" s="50" t="s">
        <v>1558</v>
      </c>
      <c r="E542" s="45" t="s">
        <v>2906</v>
      </c>
      <c r="F542" s="24" t="s">
        <v>43</v>
      </c>
      <c r="G542" s="44" t="s">
        <v>2907</v>
      </c>
      <c r="H542" s="4" t="s">
        <v>148</v>
      </c>
      <c r="I542" s="36" t="s">
        <v>1961</v>
      </c>
      <c r="J542" s="81">
        <v>46087</v>
      </c>
      <c r="K542" s="3" t="str">
        <f t="shared" ca="1" si="109"/>
        <v xml:space="preserve">0 Tahun 5 bulan </v>
      </c>
      <c r="L542" s="30" t="s">
        <v>200</v>
      </c>
      <c r="M542" s="81">
        <v>46087</v>
      </c>
      <c r="N542" s="3" t="str">
        <f t="shared" ca="1" si="107"/>
        <v xml:space="preserve">0 Tahun 5 bulan </v>
      </c>
      <c r="O542" s="36"/>
      <c r="P542" s="4" t="s">
        <v>35</v>
      </c>
      <c r="Q542" s="4" t="str">
        <f t="shared" si="110"/>
        <v>Perempuan</v>
      </c>
      <c r="R542" s="4">
        <f t="shared" si="119"/>
        <v>1</v>
      </c>
      <c r="S542" s="4" t="str">
        <f t="shared" si="120"/>
        <v>1</v>
      </c>
      <c r="T542" s="4">
        <f t="shared" si="106"/>
        <v>0</v>
      </c>
      <c r="U542" s="29"/>
      <c r="V542" s="30" t="s">
        <v>50</v>
      </c>
      <c r="W542" s="30"/>
      <c r="X542" s="30"/>
      <c r="Y542" s="30"/>
      <c r="Z542" s="30"/>
      <c r="AA542" s="30"/>
      <c r="AB542" s="29"/>
      <c r="AC542" s="29"/>
      <c r="AD542" s="37">
        <f t="shared" si="112"/>
        <v>25167</v>
      </c>
      <c r="AE542" s="3" t="str">
        <f t="shared" ca="1" si="111"/>
        <v>57 Tahun 9 bulan 7 Hari</v>
      </c>
      <c r="AF542" s="38">
        <f t="shared" si="113"/>
        <v>47088</v>
      </c>
      <c r="AG542" s="11" t="s">
        <v>3144</v>
      </c>
    </row>
    <row r="543" spans="1:33" ht="32.15" customHeight="1" x14ac:dyDescent="0.35">
      <c r="A543" s="26">
        <f t="shared" si="115"/>
        <v>511</v>
      </c>
      <c r="B543" s="27" t="s">
        <v>1545</v>
      </c>
      <c r="C543" s="26"/>
      <c r="D543" s="50" t="s">
        <v>1551</v>
      </c>
      <c r="E543" s="24" t="s">
        <v>1559</v>
      </c>
      <c r="F543" s="24" t="s">
        <v>43</v>
      </c>
      <c r="G543" s="3" t="s">
        <v>1560</v>
      </c>
      <c r="H543" s="4" t="s">
        <v>1031</v>
      </c>
      <c r="I543" s="33" t="s">
        <v>1561</v>
      </c>
      <c r="J543" s="5" t="s">
        <v>87</v>
      </c>
      <c r="K543" s="3" t="str">
        <f t="shared" ca="1" si="109"/>
        <v xml:space="preserve">4 Tahun 8 bulan </v>
      </c>
      <c r="L543" s="30" t="s">
        <v>88</v>
      </c>
      <c r="M543" s="5">
        <v>44561</v>
      </c>
      <c r="N543" s="3" t="str">
        <f t="shared" ca="1" si="107"/>
        <v xml:space="preserve">4 Tahun 8 bulan </v>
      </c>
      <c r="O543" s="4"/>
      <c r="P543" s="4" t="s">
        <v>35</v>
      </c>
      <c r="Q543" s="4" t="str">
        <f t="shared" si="110"/>
        <v>Laki-Laki</v>
      </c>
      <c r="R543" s="4">
        <f t="shared" si="119"/>
        <v>1</v>
      </c>
      <c r="S543" s="4" t="str">
        <f t="shared" si="120"/>
        <v>1</v>
      </c>
      <c r="T543" s="4">
        <f t="shared" si="106"/>
        <v>0</v>
      </c>
      <c r="U543" s="29"/>
      <c r="V543" s="30" t="s">
        <v>50</v>
      </c>
      <c r="W543" s="30"/>
      <c r="X543" s="30"/>
      <c r="Y543" s="30"/>
      <c r="Z543" s="30"/>
      <c r="AA543" s="30"/>
      <c r="AB543" s="29"/>
      <c r="AC543" s="29"/>
      <c r="AD543" s="37">
        <f t="shared" si="112"/>
        <v>33106</v>
      </c>
      <c r="AE543" s="3" t="str">
        <f t="shared" ca="1" si="111"/>
        <v>36 Tahun 0 bulan 11 Hari</v>
      </c>
      <c r="AF543" s="38">
        <f t="shared" si="113"/>
        <v>55032</v>
      </c>
      <c r="AG543" s="7"/>
    </row>
    <row r="544" spans="1:33" ht="32.15" customHeight="1" x14ac:dyDescent="0.35">
      <c r="A544" s="26">
        <f t="shared" si="115"/>
        <v>512</v>
      </c>
      <c r="B544" s="27" t="s">
        <v>1545</v>
      </c>
      <c r="C544" s="256" t="s">
        <v>1562</v>
      </c>
      <c r="D544" s="257"/>
      <c r="E544" s="24" t="s">
        <v>1563</v>
      </c>
      <c r="F544" s="24" t="s">
        <v>43</v>
      </c>
      <c r="G544" s="4" t="s">
        <v>1583</v>
      </c>
      <c r="H544" s="4" t="s">
        <v>385</v>
      </c>
      <c r="I544" s="33" t="s">
        <v>759</v>
      </c>
      <c r="J544" s="5">
        <v>45993</v>
      </c>
      <c r="K544" s="3" t="str">
        <f t="shared" ca="1" si="109"/>
        <v xml:space="preserve">0 Tahun 8 bulan </v>
      </c>
      <c r="L544" s="30" t="s">
        <v>346</v>
      </c>
      <c r="M544" s="5"/>
      <c r="N544" s="3" t="str">
        <f t="shared" ca="1" si="107"/>
        <v/>
      </c>
      <c r="O544" s="35"/>
      <c r="P544" s="4" t="s">
        <v>35</v>
      </c>
      <c r="Q544" s="4" t="str">
        <f t="shared" si="110"/>
        <v>Perempuan</v>
      </c>
      <c r="R544" s="4">
        <f t="shared" si="119"/>
        <v>1</v>
      </c>
      <c r="S544" s="4" t="str">
        <f t="shared" si="120"/>
        <v>1</v>
      </c>
      <c r="T544" s="4">
        <f t="shared" si="106"/>
        <v>0</v>
      </c>
      <c r="U544" s="29"/>
      <c r="V544" s="30" t="s">
        <v>50</v>
      </c>
      <c r="W544" s="30"/>
      <c r="X544" s="30"/>
      <c r="Y544" s="30"/>
      <c r="Z544" s="30"/>
      <c r="AA544" s="30"/>
      <c r="AB544" s="29"/>
      <c r="AC544" s="29"/>
      <c r="AD544" s="37">
        <f t="shared" si="112"/>
        <v>30367</v>
      </c>
      <c r="AE544" s="3" t="str">
        <f t="shared" ca="1" si="111"/>
        <v>43 Tahun 6 bulan 12 Hari</v>
      </c>
      <c r="AF544" s="38">
        <f t="shared" si="113"/>
        <v>52291</v>
      </c>
      <c r="AG544" s="7"/>
    </row>
    <row r="545" spans="1:32" s="7" customFormat="1" ht="39.75" customHeight="1" x14ac:dyDescent="0.35">
      <c r="A545" s="26">
        <f t="shared" si="115"/>
        <v>513</v>
      </c>
      <c r="B545" s="27" t="s">
        <v>1545</v>
      </c>
      <c r="C545" s="26"/>
      <c r="D545" s="50" t="s">
        <v>1564</v>
      </c>
      <c r="E545" s="24" t="s">
        <v>2908</v>
      </c>
      <c r="F545" s="24" t="s">
        <v>43</v>
      </c>
      <c r="G545" s="3" t="s">
        <v>1585</v>
      </c>
      <c r="H545" s="4" t="s">
        <v>2909</v>
      </c>
      <c r="I545" s="41" t="s">
        <v>1656</v>
      </c>
      <c r="J545" s="81">
        <v>46087</v>
      </c>
      <c r="K545" s="3" t="str">
        <f t="shared" ca="1" si="109"/>
        <v xml:space="preserve">0 Tahun 5 bulan </v>
      </c>
      <c r="L545" s="30" t="s">
        <v>200</v>
      </c>
      <c r="M545" s="5">
        <v>46087</v>
      </c>
      <c r="N545" s="3" t="str">
        <f t="shared" ca="1" si="107"/>
        <v xml:space="preserve">0 Tahun 5 bulan </v>
      </c>
      <c r="O545" s="4"/>
      <c r="P545" s="4" t="s">
        <v>35</v>
      </c>
      <c r="Q545" s="4" t="str">
        <f t="shared" si="110"/>
        <v>Laki-Laki</v>
      </c>
      <c r="R545" s="4">
        <f t="shared" si="119"/>
        <v>1</v>
      </c>
      <c r="S545" s="4" t="e">
        <f>IF(#REF!="LOWONG","0","1")</f>
        <v>#REF!</v>
      </c>
      <c r="T545" s="4" t="e">
        <f t="shared" si="106"/>
        <v>#REF!</v>
      </c>
      <c r="U545" s="29"/>
      <c r="V545" s="30"/>
      <c r="W545" s="30"/>
      <c r="X545" s="30"/>
      <c r="Y545" s="30"/>
      <c r="Z545" s="30"/>
      <c r="AA545" s="30"/>
      <c r="AB545" s="29"/>
      <c r="AC545" s="29"/>
      <c r="AD545" s="37">
        <f t="shared" si="112"/>
        <v>28434</v>
      </c>
      <c r="AE545" s="3" t="str">
        <f t="shared" ca="1" si="111"/>
        <v>48 Tahun 9 bulan 27 Hari</v>
      </c>
      <c r="AF545" s="38">
        <f t="shared" si="113"/>
        <v>50375</v>
      </c>
    </row>
    <row r="546" spans="1:32" s="7" customFormat="1" ht="40.5" customHeight="1" x14ac:dyDescent="0.35">
      <c r="A546" s="26">
        <f t="shared" si="115"/>
        <v>514</v>
      </c>
      <c r="B546" s="27" t="s">
        <v>1545</v>
      </c>
      <c r="C546" s="26"/>
      <c r="D546" s="50" t="s">
        <v>1566</v>
      </c>
      <c r="E546" s="51" t="s">
        <v>2939</v>
      </c>
      <c r="F546" s="51" t="s">
        <v>43</v>
      </c>
      <c r="G546" s="4" t="s">
        <v>2940</v>
      </c>
      <c r="H546" s="4" t="s">
        <v>2941</v>
      </c>
      <c r="I546" s="33" t="s">
        <v>2942</v>
      </c>
      <c r="J546" s="5">
        <v>46260</v>
      </c>
      <c r="K546" s="3" t="str">
        <f t="shared" ca="1" si="109"/>
        <v xml:space="preserve">0 Tahun 0 bulan </v>
      </c>
      <c r="L546" s="30" t="s">
        <v>200</v>
      </c>
      <c r="M546" s="5">
        <v>46260</v>
      </c>
      <c r="N546" s="3" t="str">
        <f t="shared" ca="1" si="107"/>
        <v xml:space="preserve">0 Tahun 0 bulan </v>
      </c>
      <c r="O546" s="4"/>
      <c r="P546" s="4" t="s">
        <v>35</v>
      </c>
      <c r="Q546" s="4" t="str">
        <f t="shared" si="110"/>
        <v>Laki-Laki</v>
      </c>
      <c r="R546" s="4">
        <f t="shared" si="119"/>
        <v>1</v>
      </c>
      <c r="S546" s="4" t="str">
        <f t="shared" ref="S546:S555" si="121">IF(E546="LOWONG","0","1")</f>
        <v>1</v>
      </c>
      <c r="T546" s="4">
        <f t="shared" si="106"/>
        <v>0</v>
      </c>
      <c r="U546" s="29"/>
      <c r="V546" s="30"/>
      <c r="W546" s="30"/>
      <c r="X546" s="30"/>
      <c r="Y546" s="30"/>
      <c r="Z546" s="30"/>
      <c r="AA546" s="30"/>
      <c r="AB546" s="29"/>
      <c r="AC546" s="29"/>
      <c r="AD546" s="37">
        <f t="shared" si="112"/>
        <v>36451</v>
      </c>
      <c r="AE546" s="3" t="str">
        <f t="shared" ca="1" si="111"/>
        <v>26 Tahun 10 bulan 14 Hari</v>
      </c>
      <c r="AF546" s="38">
        <f t="shared" si="113"/>
        <v>58380</v>
      </c>
    </row>
    <row r="547" spans="1:32" s="7" customFormat="1" ht="32.15" customHeight="1" x14ac:dyDescent="0.35">
      <c r="A547" s="26">
        <f t="shared" si="115"/>
        <v>515</v>
      </c>
      <c r="B547" s="27" t="s">
        <v>1545</v>
      </c>
      <c r="C547" s="26"/>
      <c r="D547" s="50" t="s">
        <v>1551</v>
      </c>
      <c r="E547" s="24" t="s">
        <v>1567</v>
      </c>
      <c r="F547" s="24" t="s">
        <v>43</v>
      </c>
      <c r="G547" s="4" t="s">
        <v>1568</v>
      </c>
      <c r="H547" s="4" t="s">
        <v>181</v>
      </c>
      <c r="I547" s="33" t="s">
        <v>46</v>
      </c>
      <c r="J547" s="5" t="s">
        <v>87</v>
      </c>
      <c r="K547" s="3" t="str">
        <f t="shared" ca="1" si="109"/>
        <v xml:space="preserve">4 Tahun 8 bulan </v>
      </c>
      <c r="L547" s="30" t="s">
        <v>88</v>
      </c>
      <c r="M547" s="5">
        <v>44560</v>
      </c>
      <c r="N547" s="3" t="str">
        <f t="shared" ca="1" si="107"/>
        <v xml:space="preserve">4 Tahun 8 bulan </v>
      </c>
      <c r="O547" s="4"/>
      <c r="P547" s="4" t="s">
        <v>35</v>
      </c>
      <c r="Q547" s="4" t="str">
        <f t="shared" si="110"/>
        <v>Laki-Laki</v>
      </c>
      <c r="R547" s="4">
        <f t="shared" si="119"/>
        <v>1</v>
      </c>
      <c r="S547" s="4" t="str">
        <f t="shared" si="121"/>
        <v>1</v>
      </c>
      <c r="T547" s="4">
        <f t="shared" si="106"/>
        <v>0</v>
      </c>
      <c r="U547" s="29"/>
      <c r="V547" s="30" t="s">
        <v>50</v>
      </c>
      <c r="W547" s="30"/>
      <c r="X547" s="30"/>
      <c r="Y547" s="30"/>
      <c r="Z547" s="30"/>
      <c r="AA547" s="30"/>
      <c r="AB547" s="29"/>
      <c r="AC547" s="29"/>
      <c r="AD547" s="37">
        <f t="shared" si="112"/>
        <v>30575</v>
      </c>
      <c r="AE547" s="3" t="str">
        <f t="shared" ca="1" si="111"/>
        <v>42 Tahun 11 bulan 16 Hari</v>
      </c>
      <c r="AF547" s="38">
        <f t="shared" si="113"/>
        <v>52505</v>
      </c>
    </row>
    <row r="548" spans="1:32" s="7" customFormat="1" ht="32.15" customHeight="1" x14ac:dyDescent="0.35">
      <c r="A548" s="26">
        <f t="shared" si="115"/>
        <v>516</v>
      </c>
      <c r="B548" s="27" t="s">
        <v>1545</v>
      </c>
      <c r="C548" s="256" t="s">
        <v>1569</v>
      </c>
      <c r="D548" s="257"/>
      <c r="E548" s="24" t="s">
        <v>1570</v>
      </c>
      <c r="F548" s="24" t="s">
        <v>43</v>
      </c>
      <c r="G548" s="4" t="s">
        <v>1571</v>
      </c>
      <c r="H548" s="4" t="s">
        <v>1031</v>
      </c>
      <c r="I548" s="4" t="s">
        <v>46</v>
      </c>
      <c r="J548" s="33">
        <v>45916</v>
      </c>
      <c r="K548" s="3" t="str">
        <f t="shared" ca="1" si="109"/>
        <v xml:space="preserve">0 Tahun 11 bulan </v>
      </c>
      <c r="L548" s="30" t="s">
        <v>346</v>
      </c>
      <c r="M548" s="106">
        <v>45916</v>
      </c>
      <c r="N548" s="3" t="str">
        <f t="shared" ca="1" si="107"/>
        <v xml:space="preserve">0 Tahun 11 bulan </v>
      </c>
      <c r="O548" s="24"/>
      <c r="P548" s="4" t="s">
        <v>35</v>
      </c>
      <c r="Q548" s="4" t="s">
        <v>591</v>
      </c>
      <c r="R548" s="4">
        <f>R541</f>
        <v>1</v>
      </c>
      <c r="S548" s="4" t="str">
        <f t="shared" si="121"/>
        <v>1</v>
      </c>
      <c r="T548" s="4">
        <f t="shared" si="106"/>
        <v>0</v>
      </c>
      <c r="U548" s="29"/>
      <c r="V548" s="30" t="s">
        <v>50</v>
      </c>
      <c r="W548" s="30"/>
      <c r="X548" s="30"/>
      <c r="Y548" s="30"/>
      <c r="Z548" s="30"/>
      <c r="AA548" s="30"/>
      <c r="AB548" s="29"/>
      <c r="AC548" s="29"/>
      <c r="AD548" s="37">
        <f t="shared" si="112"/>
        <v>28154</v>
      </c>
      <c r="AE548" s="3" t="str">
        <f t="shared" ca="1" si="111"/>
        <v>49 Tahun 7 bulan 3 Hari</v>
      </c>
      <c r="AF548" s="38">
        <f t="shared" si="113"/>
        <v>50072</v>
      </c>
    </row>
    <row r="549" spans="1:32" s="7" customFormat="1" ht="39" customHeight="1" x14ac:dyDescent="0.35">
      <c r="A549" s="26">
        <f t="shared" si="115"/>
        <v>517</v>
      </c>
      <c r="B549" s="27" t="s">
        <v>1545</v>
      </c>
      <c r="C549" s="26"/>
      <c r="D549" s="50" t="s">
        <v>1572</v>
      </c>
      <c r="E549" s="51" t="s">
        <v>1565</v>
      </c>
      <c r="F549" s="24" t="s">
        <v>43</v>
      </c>
      <c r="G549" s="4" t="s">
        <v>1573</v>
      </c>
      <c r="H549" s="36" t="s">
        <v>259</v>
      </c>
      <c r="I549" s="33" t="s">
        <v>46</v>
      </c>
      <c r="J549" s="5">
        <v>45993</v>
      </c>
      <c r="K549" s="3" t="str">
        <f t="shared" ca="1" si="109"/>
        <v xml:space="preserve">0 Tahun 8 bulan </v>
      </c>
      <c r="L549" s="30" t="s">
        <v>200</v>
      </c>
      <c r="M549" s="5" t="s">
        <v>565</v>
      </c>
      <c r="N549" s="3" t="str">
        <f t="shared" ca="1" si="107"/>
        <v xml:space="preserve">5 Tahun 9 bulan </v>
      </c>
      <c r="O549" s="4"/>
      <c r="P549" s="4" t="s">
        <v>35</v>
      </c>
      <c r="Q549" s="4" t="str">
        <f t="shared" si="110"/>
        <v>Perempuan</v>
      </c>
      <c r="R549" s="4">
        <f t="shared" ref="R549:R554" si="122">R548</f>
        <v>1</v>
      </c>
      <c r="S549" s="4" t="str">
        <f t="shared" si="121"/>
        <v>1</v>
      </c>
      <c r="T549" s="4">
        <f t="shared" si="106"/>
        <v>0</v>
      </c>
      <c r="U549" s="29"/>
      <c r="V549" s="30"/>
      <c r="W549" s="30"/>
      <c r="X549" s="30"/>
      <c r="Y549" s="30"/>
      <c r="Z549" s="30"/>
      <c r="AA549" s="30"/>
      <c r="AB549" s="29"/>
      <c r="AC549" s="29"/>
      <c r="AD549" s="37">
        <f t="shared" si="112"/>
        <v>31021</v>
      </c>
      <c r="AE549" s="3" t="str">
        <f t="shared" ca="1" si="111"/>
        <v>41 Tahun 8 bulan 27 Hari</v>
      </c>
      <c r="AF549" s="38">
        <f t="shared" si="113"/>
        <v>52963</v>
      </c>
    </row>
    <row r="550" spans="1:32" s="7" customFormat="1" ht="37.5" customHeight="1" x14ac:dyDescent="0.35">
      <c r="A550" s="26">
        <f t="shared" si="115"/>
        <v>518</v>
      </c>
      <c r="B550" s="27" t="s">
        <v>1545</v>
      </c>
      <c r="C550" s="26"/>
      <c r="D550" s="50" t="s">
        <v>1574</v>
      </c>
      <c r="E550" s="51" t="s">
        <v>1575</v>
      </c>
      <c r="F550" s="24" t="s">
        <v>43</v>
      </c>
      <c r="G550" s="4" t="s">
        <v>1576</v>
      </c>
      <c r="H550" s="36" t="s">
        <v>135</v>
      </c>
      <c r="I550" s="33" t="s">
        <v>1577</v>
      </c>
      <c r="J550" s="5">
        <v>45993</v>
      </c>
      <c r="K550" s="3" t="str">
        <f t="shared" ca="1" si="109"/>
        <v xml:space="preserve">0 Tahun 8 bulan </v>
      </c>
      <c r="L550" s="30" t="s">
        <v>200</v>
      </c>
      <c r="M550" s="5" t="s">
        <v>1578</v>
      </c>
      <c r="N550" s="3" t="str">
        <f t="shared" ca="1" si="107"/>
        <v xml:space="preserve">3 Tahun 2 bulan </v>
      </c>
      <c r="O550" s="4"/>
      <c r="P550" s="4" t="s">
        <v>35</v>
      </c>
      <c r="Q550" s="4" t="str">
        <f t="shared" si="110"/>
        <v>Laki-Laki</v>
      </c>
      <c r="R550" s="4">
        <f t="shared" si="122"/>
        <v>1</v>
      </c>
      <c r="S550" s="4" t="str">
        <f t="shared" si="121"/>
        <v>1</v>
      </c>
      <c r="T550" s="4">
        <f t="shared" si="106"/>
        <v>0</v>
      </c>
      <c r="U550" s="29"/>
      <c r="V550" s="30" t="s">
        <v>50</v>
      </c>
      <c r="W550" s="30"/>
      <c r="X550" s="30"/>
      <c r="Y550" s="30"/>
      <c r="Z550" s="30"/>
      <c r="AA550" s="30"/>
      <c r="AB550" s="29"/>
      <c r="AC550" s="29"/>
      <c r="AD550" s="37">
        <f t="shared" si="112"/>
        <v>29373</v>
      </c>
      <c r="AE550" s="3" t="str">
        <f t="shared" ca="1" si="111"/>
        <v>46 Tahun 3 bulan 0 Hari</v>
      </c>
      <c r="AF550" s="38">
        <f t="shared" si="113"/>
        <v>51318</v>
      </c>
    </row>
    <row r="551" spans="1:32" s="7" customFormat="1" ht="32.15" customHeight="1" x14ac:dyDescent="0.35">
      <c r="A551" s="26">
        <f t="shared" si="115"/>
        <v>519</v>
      </c>
      <c r="B551" s="27" t="s">
        <v>1545</v>
      </c>
      <c r="C551" s="26"/>
      <c r="D551" s="50" t="s">
        <v>1551</v>
      </c>
      <c r="E551" s="24" t="s">
        <v>108</v>
      </c>
      <c r="F551" s="24"/>
      <c r="G551" s="3"/>
      <c r="H551" s="4"/>
      <c r="I551" s="33"/>
      <c r="J551" s="49"/>
      <c r="K551" s="3" t="str">
        <f t="shared" ca="1" si="109"/>
        <v/>
      </c>
      <c r="L551" s="30" t="s">
        <v>88</v>
      </c>
      <c r="M551" s="49"/>
      <c r="N551" s="3" t="str">
        <f t="shared" ca="1" si="107"/>
        <v/>
      </c>
      <c r="O551" s="4"/>
      <c r="P551" s="4"/>
      <c r="Q551" s="4" t="str">
        <f t="shared" si="110"/>
        <v/>
      </c>
      <c r="R551" s="4">
        <f t="shared" si="122"/>
        <v>1</v>
      </c>
      <c r="S551" s="4" t="str">
        <f t="shared" si="121"/>
        <v>0</v>
      </c>
      <c r="T551" s="4">
        <f t="shared" si="106"/>
        <v>1</v>
      </c>
      <c r="U551" s="29"/>
      <c r="V551" s="30" t="s">
        <v>50</v>
      </c>
      <c r="W551" s="30"/>
      <c r="X551" s="30"/>
      <c r="Y551" s="30"/>
      <c r="Z551" s="30"/>
      <c r="AA551" s="30"/>
      <c r="AB551" s="29"/>
      <c r="AC551" s="29"/>
      <c r="AD551" s="37" t="str">
        <f t="shared" si="112"/>
        <v/>
      </c>
      <c r="AE551" s="3" t="str">
        <f t="shared" ca="1" si="111"/>
        <v/>
      </c>
      <c r="AF551" s="38" t="str">
        <f t="shared" si="113"/>
        <v/>
      </c>
    </row>
    <row r="552" spans="1:32" s="7" customFormat="1" ht="32.15" customHeight="1" x14ac:dyDescent="0.35">
      <c r="A552" s="26">
        <f t="shared" si="115"/>
        <v>520</v>
      </c>
      <c r="B552" s="27" t="s">
        <v>1545</v>
      </c>
      <c r="C552" s="256" t="s">
        <v>1579</v>
      </c>
      <c r="D552" s="257"/>
      <c r="E552" s="24" t="s">
        <v>1580</v>
      </c>
      <c r="F552" s="24" t="s">
        <v>43</v>
      </c>
      <c r="G552" s="4" t="s">
        <v>1581</v>
      </c>
      <c r="H552" s="4" t="s">
        <v>1063</v>
      </c>
      <c r="I552" s="4" t="s">
        <v>46</v>
      </c>
      <c r="J552" s="5">
        <v>45916</v>
      </c>
      <c r="K552" s="3" t="str">
        <f t="shared" ca="1" si="109"/>
        <v xml:space="preserve">0 Tahun 11 bulan </v>
      </c>
      <c r="L552" s="30" t="s">
        <v>346</v>
      </c>
      <c r="M552" s="5">
        <v>45916</v>
      </c>
      <c r="N552" s="3" t="str">
        <f t="shared" ca="1" si="107"/>
        <v xml:space="preserve">0 Tahun 11 bulan </v>
      </c>
      <c r="O552" s="35"/>
      <c r="P552" s="25">
        <f t="shared" ref="P552" si="123">P234</f>
        <v>0</v>
      </c>
      <c r="Q552" s="4" t="str">
        <f t="shared" si="110"/>
        <v>Perempuan</v>
      </c>
      <c r="R552" s="4">
        <f t="shared" si="122"/>
        <v>1</v>
      </c>
      <c r="S552" s="4" t="str">
        <f t="shared" si="121"/>
        <v>1</v>
      </c>
      <c r="T552" s="4">
        <f t="shared" si="106"/>
        <v>0</v>
      </c>
      <c r="U552" s="29"/>
      <c r="V552" s="30" t="s">
        <v>50</v>
      </c>
      <c r="W552" s="30"/>
      <c r="X552" s="30"/>
      <c r="Y552" s="30"/>
      <c r="Z552" s="30"/>
      <c r="AA552" s="30"/>
      <c r="AB552" s="29"/>
      <c r="AC552" s="29"/>
      <c r="AD552" s="37">
        <f t="shared" si="112"/>
        <v>27421</v>
      </c>
      <c r="AE552" s="3" t="str">
        <f t="shared" ca="1" si="111"/>
        <v>51 Tahun 7 bulan 5 Hari</v>
      </c>
      <c r="AF552" s="38">
        <f t="shared" si="113"/>
        <v>49341</v>
      </c>
    </row>
    <row r="553" spans="1:32" s="7" customFormat="1" ht="39.75" customHeight="1" x14ac:dyDescent="0.35">
      <c r="A553" s="26">
        <f t="shared" si="115"/>
        <v>521</v>
      </c>
      <c r="B553" s="27" t="s">
        <v>1545</v>
      </c>
      <c r="C553" s="26"/>
      <c r="D553" s="50" t="s">
        <v>1582</v>
      </c>
      <c r="E553" s="51" t="s">
        <v>3090</v>
      </c>
      <c r="F553" s="51" t="s">
        <v>43</v>
      </c>
      <c r="G553" s="4" t="s">
        <v>3091</v>
      </c>
      <c r="H553" s="4" t="s">
        <v>3092</v>
      </c>
      <c r="I553" s="33"/>
      <c r="J553" s="5">
        <v>46260</v>
      </c>
      <c r="K553" s="3" t="str">
        <f t="shared" ca="1" si="109"/>
        <v xml:space="preserve">0 Tahun 0 bulan </v>
      </c>
      <c r="L553" s="30" t="s">
        <v>200</v>
      </c>
      <c r="M553" s="5">
        <v>46260</v>
      </c>
      <c r="N553" s="3" t="str">
        <f t="shared" ca="1" si="107"/>
        <v xml:space="preserve">0 Tahun 0 bulan </v>
      </c>
      <c r="O553" s="4"/>
      <c r="P553" s="4" t="s">
        <v>35</v>
      </c>
      <c r="Q553" s="4" t="str">
        <f t="shared" si="110"/>
        <v>Laki-Laki</v>
      </c>
      <c r="R553" s="4">
        <f t="shared" si="122"/>
        <v>1</v>
      </c>
      <c r="S553" s="4" t="str">
        <f t="shared" si="121"/>
        <v>1</v>
      </c>
      <c r="T553" s="4">
        <f t="shared" si="106"/>
        <v>0</v>
      </c>
      <c r="U553" s="29"/>
      <c r="V553" s="30"/>
      <c r="W553" s="30"/>
      <c r="X553" s="30"/>
      <c r="Y553" s="30"/>
      <c r="Z553" s="30"/>
      <c r="AA553" s="30"/>
      <c r="AB553" s="29"/>
      <c r="AC553" s="29"/>
      <c r="AD553" s="37">
        <f t="shared" si="112"/>
        <v>34580</v>
      </c>
      <c r="AE553" s="3" t="str">
        <f t="shared" ca="1" si="111"/>
        <v>31 Tahun 11 bulan 29 Hari</v>
      </c>
      <c r="AF553" s="38">
        <f t="shared" si="113"/>
        <v>56523</v>
      </c>
    </row>
    <row r="554" spans="1:32" s="7" customFormat="1" ht="40.5" customHeight="1" x14ac:dyDescent="0.35">
      <c r="A554" s="26">
        <f t="shared" si="115"/>
        <v>522</v>
      </c>
      <c r="B554" s="27" t="s">
        <v>1545</v>
      </c>
      <c r="C554" s="26"/>
      <c r="D554" s="50" t="s">
        <v>1584</v>
      </c>
      <c r="E554" s="51" t="s">
        <v>848</v>
      </c>
      <c r="F554" s="51" t="s">
        <v>43</v>
      </c>
      <c r="G554" s="52" t="s">
        <v>849</v>
      </c>
      <c r="H554" s="4" t="s">
        <v>106</v>
      </c>
      <c r="I554" s="33" t="s">
        <v>2910</v>
      </c>
      <c r="J554" s="5">
        <v>46087</v>
      </c>
      <c r="K554" s="3" t="str">
        <f t="shared" ca="1" si="109"/>
        <v xml:space="preserve">0 Tahun 5 bulan </v>
      </c>
      <c r="L554" s="30" t="s">
        <v>200</v>
      </c>
      <c r="M554" s="5">
        <v>46087</v>
      </c>
      <c r="N554" s="3" t="str">
        <f t="shared" ca="1" si="107"/>
        <v xml:space="preserve">0 Tahun 5 bulan </v>
      </c>
      <c r="O554" s="4"/>
      <c r="P554" s="4" t="s">
        <v>35</v>
      </c>
      <c r="Q554" s="4" t="str">
        <f t="shared" si="110"/>
        <v>Laki-Laki</v>
      </c>
      <c r="R554" s="4">
        <f t="shared" si="122"/>
        <v>1</v>
      </c>
      <c r="S554" s="4" t="str">
        <f t="shared" si="121"/>
        <v>1</v>
      </c>
      <c r="T554" s="4">
        <f t="shared" si="106"/>
        <v>0</v>
      </c>
      <c r="U554" s="29"/>
      <c r="V554" s="30"/>
      <c r="W554" s="30"/>
      <c r="X554" s="30"/>
      <c r="Y554" s="30"/>
      <c r="Z554" s="30"/>
      <c r="AA554" s="30"/>
      <c r="AB554" s="29"/>
      <c r="AC554" s="29"/>
      <c r="AD554" s="37">
        <f t="shared" si="112"/>
        <v>29282</v>
      </c>
      <c r="AE554" s="3" t="str">
        <f t="shared" ca="1" si="111"/>
        <v>46 Tahun 5 bulan 30 Hari</v>
      </c>
      <c r="AF554" s="38">
        <f t="shared" si="113"/>
        <v>51227</v>
      </c>
    </row>
    <row r="555" spans="1:32" s="7" customFormat="1" ht="32.15" customHeight="1" x14ac:dyDescent="0.35">
      <c r="A555" s="26">
        <f t="shared" si="115"/>
        <v>523</v>
      </c>
      <c r="B555" s="27" t="s">
        <v>1545</v>
      </c>
      <c r="C555" s="26"/>
      <c r="D555" s="50" t="s">
        <v>1551</v>
      </c>
      <c r="E555" s="24" t="s">
        <v>108</v>
      </c>
      <c r="F555" s="24"/>
      <c r="G555" s="4"/>
      <c r="H555" s="4"/>
      <c r="I555" s="33"/>
      <c r="J555" s="49"/>
      <c r="K555" s="3" t="str">
        <f t="shared" ca="1" si="109"/>
        <v/>
      </c>
      <c r="L555" s="30" t="s">
        <v>88</v>
      </c>
      <c r="M555" s="49"/>
      <c r="N555" s="3" t="str">
        <f t="shared" ca="1" si="107"/>
        <v/>
      </c>
      <c r="O555" s="4"/>
      <c r="P555" s="4"/>
      <c r="Q555" s="4" t="str">
        <f t="shared" si="110"/>
        <v/>
      </c>
      <c r="R555" s="4">
        <f t="shared" si="119"/>
        <v>1</v>
      </c>
      <c r="S555" s="4" t="str">
        <f t="shared" si="121"/>
        <v>0</v>
      </c>
      <c r="T555" s="4">
        <f t="shared" si="106"/>
        <v>1</v>
      </c>
      <c r="U555" s="29"/>
      <c r="V555" s="30" t="s">
        <v>50</v>
      </c>
      <c r="W555" s="30"/>
      <c r="X555" s="30"/>
      <c r="Y555" s="30"/>
      <c r="Z555" s="30"/>
      <c r="AA555" s="30"/>
      <c r="AB555" s="29"/>
      <c r="AC555" s="29"/>
      <c r="AD555" s="37" t="str">
        <f t="shared" si="112"/>
        <v/>
      </c>
      <c r="AE555" s="3" t="str">
        <f t="shared" ca="1" si="111"/>
        <v/>
      </c>
      <c r="AF555" s="38" t="str">
        <f t="shared" si="113"/>
        <v/>
      </c>
    </row>
    <row r="556" spans="1:32" s="7" customFormat="1" ht="32.15" customHeight="1" x14ac:dyDescent="0.35">
      <c r="A556" s="26"/>
      <c r="B556" s="27" t="s">
        <v>1587</v>
      </c>
      <c r="C556" s="269" t="s">
        <v>1588</v>
      </c>
      <c r="D556" s="270"/>
      <c r="E556" s="24"/>
      <c r="F556" s="24"/>
      <c r="G556" s="4"/>
      <c r="H556" s="4"/>
      <c r="I556" s="33"/>
      <c r="J556" s="5"/>
      <c r="K556" s="3" t="str">
        <f t="shared" ca="1" si="109"/>
        <v/>
      </c>
      <c r="L556" s="30"/>
      <c r="M556" s="5"/>
      <c r="N556" s="3" t="str">
        <f t="shared" ca="1" si="107"/>
        <v/>
      </c>
      <c r="O556" s="4"/>
      <c r="P556" s="4"/>
      <c r="Q556" s="4"/>
      <c r="R556" s="4"/>
      <c r="S556" s="4"/>
      <c r="T556" s="4"/>
      <c r="U556" s="29"/>
      <c r="V556" s="30"/>
      <c r="W556" s="30"/>
      <c r="X556" s="30"/>
      <c r="Y556" s="30"/>
      <c r="Z556" s="29"/>
      <c r="AA556" s="29"/>
      <c r="AB556" s="29"/>
      <c r="AC556" s="29"/>
      <c r="AD556" s="37" t="str">
        <f t="shared" si="112"/>
        <v/>
      </c>
      <c r="AE556" s="3" t="str">
        <f t="shared" ca="1" si="111"/>
        <v/>
      </c>
      <c r="AF556" s="38" t="str">
        <f t="shared" si="113"/>
        <v/>
      </c>
    </row>
    <row r="557" spans="1:32" s="7" customFormat="1" ht="32.15" customHeight="1" x14ac:dyDescent="0.35">
      <c r="A557" s="26">
        <f>A555+1</f>
        <v>524</v>
      </c>
      <c r="B557" s="27" t="s">
        <v>1587</v>
      </c>
      <c r="C557" s="278" t="s">
        <v>1589</v>
      </c>
      <c r="D557" s="279"/>
      <c r="E557" s="24" t="s">
        <v>2868</v>
      </c>
      <c r="F557" s="24" t="s">
        <v>43</v>
      </c>
      <c r="G557" s="3" t="s">
        <v>2869</v>
      </c>
      <c r="H557" s="4" t="s">
        <v>2922</v>
      </c>
      <c r="I557" s="33" t="s">
        <v>2923</v>
      </c>
      <c r="J557" s="5">
        <v>46087</v>
      </c>
      <c r="K557" s="3" t="str">
        <f t="shared" ca="1" si="109"/>
        <v xml:space="preserve">0 Tahun 5 bulan </v>
      </c>
      <c r="L557" s="30" t="s">
        <v>56</v>
      </c>
      <c r="M557" s="5">
        <v>46087</v>
      </c>
      <c r="N557" s="3" t="str">
        <f t="shared" ca="1" si="107"/>
        <v xml:space="preserve">0 Tahun 5 bulan </v>
      </c>
      <c r="O557" s="4" t="s">
        <v>81</v>
      </c>
      <c r="P557" s="4" t="s">
        <v>35</v>
      </c>
      <c r="Q557" s="4" t="str">
        <f t="shared" si="110"/>
        <v>Laki-Laki</v>
      </c>
      <c r="R557" s="4">
        <f>R547</f>
        <v>1</v>
      </c>
      <c r="S557" s="4" t="str">
        <f t="shared" ref="S557:S571" si="124">IF(E557="LOWONG","0","1")</f>
        <v>1</v>
      </c>
      <c r="T557" s="4">
        <f t="shared" si="106"/>
        <v>0</v>
      </c>
      <c r="U557" s="107" t="s">
        <v>32</v>
      </c>
      <c r="V557" s="30" t="s">
        <v>50</v>
      </c>
      <c r="W557" s="65">
        <v>86.17</v>
      </c>
      <c r="X557" s="30">
        <f>30/32*100</f>
        <v>93.75</v>
      </c>
      <c r="Y557" s="30">
        <f>3/4*100</f>
        <v>75</v>
      </c>
      <c r="Z557" s="25" t="s">
        <v>1590</v>
      </c>
      <c r="AA557" s="30">
        <v>2022</v>
      </c>
      <c r="AB557" s="35" t="s">
        <v>1591</v>
      </c>
      <c r="AC557" s="35"/>
      <c r="AD557" s="37">
        <f t="shared" si="112"/>
        <v>27491</v>
      </c>
      <c r="AE557" s="3" t="str">
        <f t="shared" ca="1" si="111"/>
        <v>51 Tahun 4 bulan 25 Hari</v>
      </c>
      <c r="AF557" s="38">
        <f t="shared" si="113"/>
        <v>49430</v>
      </c>
    </row>
    <row r="558" spans="1:32" s="7" customFormat="1" ht="32.15" customHeight="1" x14ac:dyDescent="0.35">
      <c r="A558" s="26">
        <f t="shared" si="115"/>
        <v>525</v>
      </c>
      <c r="B558" s="27" t="s">
        <v>1587</v>
      </c>
      <c r="C558" s="256" t="s">
        <v>1592</v>
      </c>
      <c r="D558" s="257"/>
      <c r="E558" s="24" t="s">
        <v>3023</v>
      </c>
      <c r="F558" s="24" t="s">
        <v>43</v>
      </c>
      <c r="G558" s="3" t="s">
        <v>1593</v>
      </c>
      <c r="H558" s="4" t="s">
        <v>887</v>
      </c>
      <c r="I558" s="4" t="s">
        <v>1594</v>
      </c>
      <c r="J558" s="5">
        <v>45916</v>
      </c>
      <c r="K558" s="3" t="str">
        <f t="shared" ca="1" si="109"/>
        <v xml:space="preserve">0 Tahun 11 bulan </v>
      </c>
      <c r="L558" s="30" t="s">
        <v>79</v>
      </c>
      <c r="M558" s="5">
        <v>45916</v>
      </c>
      <c r="N558" s="3" t="str">
        <f t="shared" ca="1" si="107"/>
        <v xml:space="preserve">0 Tahun 11 bulan </v>
      </c>
      <c r="O558" s="4"/>
      <c r="P558" s="4" t="s">
        <v>35</v>
      </c>
      <c r="Q558" s="4" t="s">
        <v>591</v>
      </c>
      <c r="R558" s="4">
        <f t="shared" si="119"/>
        <v>1</v>
      </c>
      <c r="S558" s="4" t="str">
        <f t="shared" si="124"/>
        <v>1</v>
      </c>
      <c r="T558" s="4">
        <f t="shared" si="106"/>
        <v>0</v>
      </c>
      <c r="U558" s="29"/>
      <c r="V558" s="30" t="s">
        <v>50</v>
      </c>
      <c r="W558" s="30"/>
      <c r="X558" s="30"/>
      <c r="Y558" s="30"/>
      <c r="Z558" s="30"/>
      <c r="AA558" s="30"/>
      <c r="AB558" s="29"/>
      <c r="AC558" s="29"/>
      <c r="AD558" s="37">
        <f t="shared" si="112"/>
        <v>30667</v>
      </c>
      <c r="AE558" s="3" t="str">
        <f t="shared" ca="1" si="111"/>
        <v>42 Tahun 8 bulan 15 Hari</v>
      </c>
      <c r="AF558" s="38">
        <f t="shared" si="113"/>
        <v>52597</v>
      </c>
    </row>
    <row r="559" spans="1:32" s="7" customFormat="1" ht="32.15" customHeight="1" x14ac:dyDescent="0.35">
      <c r="A559" s="26">
        <f t="shared" si="115"/>
        <v>526</v>
      </c>
      <c r="B559" s="27" t="s">
        <v>1587</v>
      </c>
      <c r="C559" s="26"/>
      <c r="D559" s="50" t="s">
        <v>1595</v>
      </c>
      <c r="E559" s="51" t="s">
        <v>1596</v>
      </c>
      <c r="F559" s="24" t="s">
        <v>43</v>
      </c>
      <c r="G559" s="66" t="s">
        <v>1597</v>
      </c>
      <c r="H559" s="4" t="s">
        <v>1598</v>
      </c>
      <c r="I559" s="33" t="s">
        <v>107</v>
      </c>
      <c r="J559" s="5" t="s">
        <v>338</v>
      </c>
      <c r="K559" s="3" t="str">
        <f t="shared" ca="1" si="109"/>
        <v xml:space="preserve">2 Tahun 11 bulan </v>
      </c>
      <c r="L559" s="30" t="s">
        <v>200</v>
      </c>
      <c r="M559" s="5" t="s">
        <v>338</v>
      </c>
      <c r="N559" s="3" t="str">
        <f t="shared" ref="N559:N622" ca="1" si="125">IF(M559="","",CONCATENATE(DATEDIF(M559,NOW(),"Y")," Tahun ",DATEDIF(M559,NOW(),"YM")," bulan "))</f>
        <v xml:space="preserve">2 Tahun 11 bulan </v>
      </c>
      <c r="O559" s="4"/>
      <c r="P559" s="4" t="s">
        <v>35</v>
      </c>
      <c r="Q559" s="4" t="str">
        <f t="shared" si="110"/>
        <v>Perempuan</v>
      </c>
      <c r="R559" s="4">
        <f t="shared" si="119"/>
        <v>1</v>
      </c>
      <c r="S559" s="4" t="str">
        <f t="shared" si="124"/>
        <v>1</v>
      </c>
      <c r="T559" s="4">
        <f t="shared" si="106"/>
        <v>0</v>
      </c>
      <c r="U559" s="29"/>
      <c r="V559" s="30"/>
      <c r="W559" s="30"/>
      <c r="X559" s="30"/>
      <c r="Y559" s="30"/>
      <c r="Z559" s="30"/>
      <c r="AA559" s="30"/>
      <c r="AB559" s="29"/>
      <c r="AC559" s="29"/>
      <c r="AD559" s="37">
        <f t="shared" si="112"/>
        <v>31360</v>
      </c>
      <c r="AE559" s="3" t="str">
        <f t="shared" ca="1" si="111"/>
        <v>40 Tahun 9 bulan 23 Hari</v>
      </c>
      <c r="AF559" s="38">
        <f t="shared" si="113"/>
        <v>53297</v>
      </c>
    </row>
    <row r="560" spans="1:32" s="7" customFormat="1" ht="37.5" customHeight="1" x14ac:dyDescent="0.35">
      <c r="A560" s="26">
        <f t="shared" si="115"/>
        <v>527</v>
      </c>
      <c r="B560" s="27" t="s">
        <v>1587</v>
      </c>
      <c r="C560" s="26"/>
      <c r="D560" s="50" t="s">
        <v>1599</v>
      </c>
      <c r="E560" s="24" t="s">
        <v>1600</v>
      </c>
      <c r="F560" s="24" t="s">
        <v>43</v>
      </c>
      <c r="G560" s="5" t="s">
        <v>1601</v>
      </c>
      <c r="H560" s="36" t="s">
        <v>85</v>
      </c>
      <c r="I560" s="36" t="s">
        <v>86</v>
      </c>
      <c r="J560" s="5" t="s">
        <v>386</v>
      </c>
      <c r="K560" s="3" t="str">
        <f t="shared" ca="1" si="109"/>
        <v xml:space="preserve">5 Tahun 5 bulan </v>
      </c>
      <c r="L560" s="30" t="s">
        <v>200</v>
      </c>
      <c r="M560" s="5" t="s">
        <v>386</v>
      </c>
      <c r="N560" s="3" t="str">
        <f t="shared" ca="1" si="125"/>
        <v xml:space="preserve">5 Tahun 5 bulan </v>
      </c>
      <c r="O560" s="4"/>
      <c r="P560" s="4" t="s">
        <v>35</v>
      </c>
      <c r="Q560" s="4" t="str">
        <f t="shared" si="110"/>
        <v>Laki-Laki</v>
      </c>
      <c r="R560" s="4">
        <f t="shared" si="119"/>
        <v>1</v>
      </c>
      <c r="S560" s="4" t="str">
        <f t="shared" si="124"/>
        <v>1</v>
      </c>
      <c r="T560" s="4">
        <f t="shared" si="106"/>
        <v>0</v>
      </c>
      <c r="U560" s="29"/>
      <c r="V560" s="30" t="s">
        <v>50</v>
      </c>
      <c r="W560" s="30"/>
      <c r="X560" s="30"/>
      <c r="Y560" s="30"/>
      <c r="Z560" s="30"/>
      <c r="AA560" s="30"/>
      <c r="AB560" s="29"/>
      <c r="AC560" s="29"/>
      <c r="AD560" s="37">
        <f t="shared" si="112"/>
        <v>27572</v>
      </c>
      <c r="AE560" s="3" t="str">
        <f t="shared" ca="1" si="111"/>
        <v>51 Tahun 2 bulan 5 Hari</v>
      </c>
      <c r="AF560" s="38">
        <f t="shared" si="113"/>
        <v>49491</v>
      </c>
    </row>
    <row r="561" spans="1:32" s="7" customFormat="1" ht="32.15" customHeight="1" x14ac:dyDescent="0.35">
      <c r="A561" s="26">
        <f t="shared" si="115"/>
        <v>528</v>
      </c>
      <c r="B561" s="27" t="s">
        <v>1587</v>
      </c>
      <c r="C561" s="256" t="s">
        <v>1602</v>
      </c>
      <c r="D561" s="257"/>
      <c r="E561" s="24" t="s">
        <v>1603</v>
      </c>
      <c r="F561" s="24" t="s">
        <v>43</v>
      </c>
      <c r="G561" s="4" t="s">
        <v>1604</v>
      </c>
      <c r="H561" s="4" t="s">
        <v>188</v>
      </c>
      <c r="I561" s="41" t="s">
        <v>46</v>
      </c>
      <c r="J561" s="5" t="s">
        <v>275</v>
      </c>
      <c r="K561" s="3" t="str">
        <f t="shared" ca="1" si="109"/>
        <v xml:space="preserve">5 Tahun 10 bulan </v>
      </c>
      <c r="L561" s="30" t="s">
        <v>346</v>
      </c>
      <c r="M561" s="5" t="s">
        <v>275</v>
      </c>
      <c r="N561" s="3" t="str">
        <f t="shared" ca="1" si="125"/>
        <v xml:space="preserve">5 Tahun 10 bulan </v>
      </c>
      <c r="O561" s="4"/>
      <c r="P561" s="4" t="s">
        <v>35</v>
      </c>
      <c r="Q561" s="4" t="str">
        <f t="shared" si="110"/>
        <v>Laki-Laki</v>
      </c>
      <c r="R561" s="4">
        <f t="shared" si="119"/>
        <v>1</v>
      </c>
      <c r="S561" s="4" t="str">
        <f t="shared" si="124"/>
        <v>1</v>
      </c>
      <c r="T561" s="4">
        <f t="shared" si="106"/>
        <v>0</v>
      </c>
      <c r="U561" s="29"/>
      <c r="V561" s="30" t="s">
        <v>50</v>
      </c>
      <c r="W561" s="30"/>
      <c r="X561" s="30"/>
      <c r="Y561" s="30"/>
      <c r="Z561" s="30"/>
      <c r="AA561" s="30"/>
      <c r="AB561" s="29"/>
      <c r="AC561" s="29"/>
      <c r="AD561" s="37">
        <f t="shared" si="112"/>
        <v>29138</v>
      </c>
      <c r="AE561" s="3" t="str">
        <f t="shared" ca="1" si="111"/>
        <v>46 Tahun 10 bulan 22 Hari</v>
      </c>
      <c r="AF561" s="38">
        <f t="shared" si="113"/>
        <v>51075</v>
      </c>
    </row>
    <row r="562" spans="1:32" s="7" customFormat="1" ht="40.5" customHeight="1" x14ac:dyDescent="0.35">
      <c r="A562" s="26">
        <f t="shared" si="115"/>
        <v>529</v>
      </c>
      <c r="B562" s="27" t="s">
        <v>1587</v>
      </c>
      <c r="C562" s="26"/>
      <c r="D562" s="50" t="s">
        <v>1605</v>
      </c>
      <c r="E562" s="24" t="s">
        <v>1606</v>
      </c>
      <c r="F562" s="24" t="s">
        <v>43</v>
      </c>
      <c r="G562" s="3" t="s">
        <v>1607</v>
      </c>
      <c r="H562" s="4" t="s">
        <v>192</v>
      </c>
      <c r="I562" s="33" t="s">
        <v>107</v>
      </c>
      <c r="J562" s="5" t="s">
        <v>87</v>
      </c>
      <c r="K562" s="3" t="str">
        <f t="shared" ca="1" si="109"/>
        <v xml:space="preserve">4 Tahun 8 bulan </v>
      </c>
      <c r="L562" s="30" t="s">
        <v>88</v>
      </c>
      <c r="M562" s="5" t="s">
        <v>87</v>
      </c>
      <c r="N562" s="3" t="str">
        <f t="shared" ca="1" si="125"/>
        <v xml:space="preserve">4 Tahun 8 bulan </v>
      </c>
      <c r="O562" s="4"/>
      <c r="P562" s="4" t="s">
        <v>35</v>
      </c>
      <c r="Q562" s="4" t="str">
        <f t="shared" si="110"/>
        <v/>
      </c>
      <c r="R562" s="4">
        <f t="shared" si="119"/>
        <v>1</v>
      </c>
      <c r="S562" s="4" t="str">
        <f t="shared" si="124"/>
        <v>1</v>
      </c>
      <c r="T562" s="4">
        <f t="shared" si="106"/>
        <v>0</v>
      </c>
      <c r="U562" s="29"/>
      <c r="V562" s="30" t="s">
        <v>50</v>
      </c>
      <c r="W562" s="30"/>
      <c r="X562" s="30"/>
      <c r="Y562" s="30"/>
      <c r="Z562" s="30"/>
      <c r="AA562" s="30"/>
      <c r="AB562" s="29"/>
      <c r="AC562" s="29"/>
      <c r="AD562" s="37" t="e">
        <f t="shared" si="112"/>
        <v>#VALUE!</v>
      </c>
      <c r="AE562" s="3" t="e">
        <f t="shared" ca="1" si="111"/>
        <v>#VALUE!</v>
      </c>
      <c r="AF562" s="38" t="e">
        <f t="shared" si="113"/>
        <v>#VALUE!</v>
      </c>
    </row>
    <row r="563" spans="1:32" s="7" customFormat="1" ht="43.5" customHeight="1" x14ac:dyDescent="0.35">
      <c r="A563" s="26">
        <f t="shared" si="115"/>
        <v>530</v>
      </c>
      <c r="B563" s="27" t="s">
        <v>1587</v>
      </c>
      <c r="C563" s="26"/>
      <c r="D563" s="50" t="s">
        <v>1605</v>
      </c>
      <c r="E563" s="24" t="s">
        <v>1608</v>
      </c>
      <c r="F563" s="24" t="s">
        <v>43</v>
      </c>
      <c r="G563" s="3" t="s">
        <v>1609</v>
      </c>
      <c r="H563" s="36" t="s">
        <v>574</v>
      </c>
      <c r="I563" s="33" t="s">
        <v>86</v>
      </c>
      <c r="J563" s="5" t="s">
        <v>87</v>
      </c>
      <c r="K563" s="3" t="str">
        <f t="shared" ca="1" si="109"/>
        <v xml:space="preserve">4 Tahun 8 bulan </v>
      </c>
      <c r="L563" s="30" t="s">
        <v>88</v>
      </c>
      <c r="M563" s="5" t="s">
        <v>87</v>
      </c>
      <c r="N563" s="3" t="str">
        <f t="shared" ca="1" si="125"/>
        <v xml:space="preserve">4 Tahun 8 bulan </v>
      </c>
      <c r="O563" s="4"/>
      <c r="P563" s="4" t="s">
        <v>35</v>
      </c>
      <c r="Q563" s="4" t="str">
        <f t="shared" si="110"/>
        <v>Laki-Laki</v>
      </c>
      <c r="R563" s="4">
        <f t="shared" si="119"/>
        <v>1</v>
      </c>
      <c r="S563" s="4" t="str">
        <f t="shared" si="124"/>
        <v>1</v>
      </c>
      <c r="T563" s="4">
        <f t="shared" si="106"/>
        <v>0</v>
      </c>
      <c r="U563" s="29"/>
      <c r="V563" s="30" t="s">
        <v>50</v>
      </c>
      <c r="W563" s="30"/>
      <c r="X563" s="30"/>
      <c r="Y563" s="30"/>
      <c r="Z563" s="30"/>
      <c r="AA563" s="30"/>
      <c r="AB563" s="29"/>
      <c r="AC563" s="29"/>
      <c r="AD563" s="37">
        <f t="shared" si="112"/>
        <v>31581</v>
      </c>
      <c r="AE563" s="3" t="str">
        <f t="shared" ca="1" si="111"/>
        <v>40 Tahun 2 bulan 14 Hari</v>
      </c>
      <c r="AF563" s="38">
        <f t="shared" si="113"/>
        <v>53509</v>
      </c>
    </row>
    <row r="564" spans="1:32" s="7" customFormat="1" ht="39.75" customHeight="1" x14ac:dyDescent="0.35">
      <c r="A564" s="26">
        <f t="shared" si="115"/>
        <v>531</v>
      </c>
      <c r="B564" s="27" t="s">
        <v>1587</v>
      </c>
      <c r="C564" s="26"/>
      <c r="D564" s="50" t="s">
        <v>1610</v>
      </c>
      <c r="E564" s="39" t="s">
        <v>1611</v>
      </c>
      <c r="F564" s="24" t="s">
        <v>43</v>
      </c>
      <c r="G564" s="25" t="s">
        <v>1612</v>
      </c>
      <c r="H564" s="36" t="s">
        <v>241</v>
      </c>
      <c r="I564" s="25" t="s">
        <v>46</v>
      </c>
      <c r="J564" s="5" t="s">
        <v>87</v>
      </c>
      <c r="K564" s="3" t="str">
        <f t="shared" ca="1" si="109"/>
        <v xml:space="preserve">4 Tahun 8 bulan </v>
      </c>
      <c r="L564" s="30" t="s">
        <v>88</v>
      </c>
      <c r="M564" s="5" t="s">
        <v>87</v>
      </c>
      <c r="N564" s="3" t="str">
        <f t="shared" ca="1" si="125"/>
        <v xml:space="preserve">4 Tahun 8 bulan </v>
      </c>
      <c r="O564" s="35"/>
      <c r="P564" s="4" t="s">
        <v>35</v>
      </c>
      <c r="Q564" s="4" t="str">
        <f t="shared" si="110"/>
        <v>Laki-Laki</v>
      </c>
      <c r="R564" s="4">
        <f t="shared" si="119"/>
        <v>1</v>
      </c>
      <c r="S564" s="4" t="str">
        <f t="shared" si="124"/>
        <v>1</v>
      </c>
      <c r="T564" s="4">
        <f t="shared" si="106"/>
        <v>0</v>
      </c>
      <c r="U564" s="29"/>
      <c r="V564" s="30" t="s">
        <v>50</v>
      </c>
      <c r="W564" s="30"/>
      <c r="X564" s="30"/>
      <c r="Y564" s="30"/>
      <c r="Z564" s="30"/>
      <c r="AA564" s="30"/>
      <c r="AB564" s="29"/>
      <c r="AC564" s="29"/>
      <c r="AD564" s="37">
        <f t="shared" si="112"/>
        <v>29787</v>
      </c>
      <c r="AE564" s="3" t="str">
        <f t="shared" ca="1" si="111"/>
        <v>45 Tahun 1 bulan 12 Hari</v>
      </c>
      <c r="AF564" s="38">
        <f t="shared" si="113"/>
        <v>51714</v>
      </c>
    </row>
    <row r="565" spans="1:32" s="7" customFormat="1" ht="32.15" customHeight="1" x14ac:dyDescent="0.35">
      <c r="A565" s="26">
        <f t="shared" si="115"/>
        <v>532</v>
      </c>
      <c r="B565" s="27" t="s">
        <v>1587</v>
      </c>
      <c r="C565" s="256" t="s">
        <v>1613</v>
      </c>
      <c r="D565" s="257"/>
      <c r="E565" s="24" t="s">
        <v>1617</v>
      </c>
      <c r="F565" s="24" t="s">
        <v>71</v>
      </c>
      <c r="G565" s="3" t="s">
        <v>1618</v>
      </c>
      <c r="H565" s="4" t="s">
        <v>385</v>
      </c>
      <c r="I565" s="25" t="s">
        <v>46</v>
      </c>
      <c r="J565" s="5">
        <v>46260</v>
      </c>
      <c r="K565" s="3" t="str">
        <f t="shared" ca="1" si="109"/>
        <v xml:space="preserve">0 Tahun 0 bulan </v>
      </c>
      <c r="L565" s="30" t="s">
        <v>346</v>
      </c>
      <c r="M565" s="5">
        <v>46260</v>
      </c>
      <c r="N565" s="3" t="str">
        <f t="shared" ca="1" si="125"/>
        <v xml:space="preserve">0 Tahun 0 bulan </v>
      </c>
      <c r="O565" s="4" t="s">
        <v>1616</v>
      </c>
      <c r="P565" s="4" t="s">
        <v>35</v>
      </c>
      <c r="Q565" s="4" t="str">
        <f t="shared" si="110"/>
        <v>Perempuan</v>
      </c>
      <c r="R565" s="4">
        <f t="shared" si="119"/>
        <v>1</v>
      </c>
      <c r="S565" s="4" t="str">
        <f t="shared" si="124"/>
        <v>1</v>
      </c>
      <c r="T565" s="4">
        <f t="shared" si="106"/>
        <v>0</v>
      </c>
      <c r="U565" s="29"/>
      <c r="V565" s="30" t="s">
        <v>50</v>
      </c>
      <c r="W565" s="30"/>
      <c r="X565" s="30"/>
      <c r="Y565" s="30"/>
      <c r="Z565" s="30"/>
      <c r="AA565" s="30"/>
      <c r="AB565" s="29"/>
      <c r="AC565" s="29"/>
      <c r="AD565" s="37">
        <f t="shared" si="112"/>
        <v>28720</v>
      </c>
      <c r="AE565" s="3" t="str">
        <f t="shared" ca="1" si="111"/>
        <v>48 Tahun 0 bulan 14 Hari</v>
      </c>
      <c r="AF565" s="38">
        <f t="shared" si="113"/>
        <v>50649</v>
      </c>
    </row>
    <row r="566" spans="1:32" s="7" customFormat="1" ht="32.15" customHeight="1" x14ac:dyDescent="0.35">
      <c r="A566" s="26">
        <f t="shared" si="115"/>
        <v>533</v>
      </c>
      <c r="B566" s="27" t="s">
        <v>1587</v>
      </c>
      <c r="C566" s="26"/>
      <c r="D566" s="50" t="s">
        <v>1605</v>
      </c>
      <c r="E566" s="39" t="s">
        <v>108</v>
      </c>
      <c r="F566" s="39"/>
      <c r="G566" s="73"/>
      <c r="H566" s="4"/>
      <c r="I566" s="33"/>
      <c r="J566" s="5"/>
      <c r="K566" s="3" t="str">
        <f t="shared" ca="1" si="109"/>
        <v/>
      </c>
      <c r="L566" s="30" t="s">
        <v>88</v>
      </c>
      <c r="M566" s="5"/>
      <c r="N566" s="3" t="str">
        <f t="shared" ca="1" si="125"/>
        <v/>
      </c>
      <c r="O566" s="4"/>
      <c r="P566" s="4"/>
      <c r="Q566" s="4" t="str">
        <f t="shared" si="110"/>
        <v/>
      </c>
      <c r="R566" s="4">
        <f t="shared" si="119"/>
        <v>1</v>
      </c>
      <c r="S566" s="4" t="str">
        <f t="shared" si="124"/>
        <v>0</v>
      </c>
      <c r="T566" s="4">
        <f t="shared" si="106"/>
        <v>1</v>
      </c>
      <c r="U566" s="29"/>
      <c r="V566" s="30"/>
      <c r="W566" s="30"/>
      <c r="X566" s="30"/>
      <c r="Y566" s="30"/>
      <c r="Z566" s="30"/>
      <c r="AA566" s="30"/>
      <c r="AB566" s="29"/>
      <c r="AC566" s="29"/>
      <c r="AD566" s="37" t="str">
        <f t="shared" si="112"/>
        <v/>
      </c>
      <c r="AE566" s="3" t="str">
        <f t="shared" ca="1" si="111"/>
        <v/>
      </c>
      <c r="AF566" s="38" t="str">
        <f t="shared" si="113"/>
        <v/>
      </c>
    </row>
    <row r="567" spans="1:32" s="7" customFormat="1" ht="32.15" customHeight="1" x14ac:dyDescent="0.35">
      <c r="A567" s="26">
        <f t="shared" si="115"/>
        <v>534</v>
      </c>
      <c r="B567" s="27" t="s">
        <v>1587</v>
      </c>
      <c r="C567" s="26"/>
      <c r="D567" s="50" t="s">
        <v>1605</v>
      </c>
      <c r="E567" s="51" t="s">
        <v>1617</v>
      </c>
      <c r="F567" s="24" t="s">
        <v>43</v>
      </c>
      <c r="G567" s="66" t="s">
        <v>1618</v>
      </c>
      <c r="H567" s="4" t="s">
        <v>385</v>
      </c>
      <c r="I567" s="33" t="s">
        <v>46</v>
      </c>
      <c r="J567" s="5">
        <v>44561</v>
      </c>
      <c r="K567" s="3" t="str">
        <f t="shared" ca="1" si="109"/>
        <v xml:space="preserve">4 Tahun 8 bulan </v>
      </c>
      <c r="L567" s="30" t="s">
        <v>88</v>
      </c>
      <c r="M567" s="5">
        <v>44561</v>
      </c>
      <c r="N567" s="3" t="str">
        <f t="shared" ca="1" si="125"/>
        <v xml:space="preserve">4 Tahun 8 bulan </v>
      </c>
      <c r="O567" s="4" t="s">
        <v>1619</v>
      </c>
      <c r="P567" s="4" t="s">
        <v>35</v>
      </c>
      <c r="Q567" s="4" t="str">
        <f t="shared" si="110"/>
        <v>Perempuan</v>
      </c>
      <c r="R567" s="4">
        <f t="shared" si="119"/>
        <v>1</v>
      </c>
      <c r="S567" s="4" t="str">
        <f t="shared" si="124"/>
        <v>1</v>
      </c>
      <c r="T567" s="4">
        <f t="shared" si="106"/>
        <v>0</v>
      </c>
      <c r="U567" s="29"/>
      <c r="V567" s="30"/>
      <c r="W567" s="30"/>
      <c r="X567" s="30"/>
      <c r="Y567" s="30"/>
      <c r="Z567" s="30"/>
      <c r="AA567" s="30"/>
      <c r="AB567" s="29"/>
      <c r="AC567" s="29"/>
      <c r="AD567" s="37">
        <f t="shared" si="112"/>
        <v>28720</v>
      </c>
      <c r="AE567" s="3" t="str">
        <f t="shared" ca="1" si="111"/>
        <v>48 Tahun 0 bulan 14 Hari</v>
      </c>
      <c r="AF567" s="38">
        <f t="shared" si="113"/>
        <v>50649</v>
      </c>
    </row>
    <row r="568" spans="1:32" s="7" customFormat="1" ht="32.15" customHeight="1" x14ac:dyDescent="0.35">
      <c r="A568" s="26">
        <f t="shared" si="115"/>
        <v>535</v>
      </c>
      <c r="B568" s="27" t="s">
        <v>1587</v>
      </c>
      <c r="C568" s="256" t="s">
        <v>1620</v>
      </c>
      <c r="D568" s="257"/>
      <c r="E568" s="24" t="s">
        <v>1621</v>
      </c>
      <c r="F568" s="24" t="s">
        <v>43</v>
      </c>
      <c r="G568" s="3" t="s">
        <v>168</v>
      </c>
      <c r="H568" s="4" t="s">
        <v>135</v>
      </c>
      <c r="I568" s="33" t="s">
        <v>759</v>
      </c>
      <c r="J568" s="5">
        <v>45993</v>
      </c>
      <c r="K568" s="3" t="str">
        <f t="shared" ca="1" si="109"/>
        <v xml:space="preserve">0 Tahun 8 bulan </v>
      </c>
      <c r="L568" s="30" t="s">
        <v>346</v>
      </c>
      <c r="M568" s="5"/>
      <c r="N568" s="3" t="str">
        <f t="shared" ca="1" si="125"/>
        <v/>
      </c>
      <c r="O568" s="4"/>
      <c r="P568" s="4" t="s">
        <v>35</v>
      </c>
      <c r="Q568" s="4" t="str">
        <f t="shared" si="110"/>
        <v>Laki-Laki</v>
      </c>
      <c r="R568" s="4">
        <f t="shared" si="119"/>
        <v>1</v>
      </c>
      <c r="S568" s="4" t="str">
        <f t="shared" si="124"/>
        <v>1</v>
      </c>
      <c r="T568" s="4">
        <f t="shared" si="106"/>
        <v>0</v>
      </c>
      <c r="U568" s="29"/>
      <c r="V568" s="30" t="s">
        <v>50</v>
      </c>
      <c r="W568" s="30"/>
      <c r="X568" s="30"/>
      <c r="Y568" s="30"/>
      <c r="Z568" s="30"/>
      <c r="AA568" s="30"/>
      <c r="AB568" s="29"/>
      <c r="AC568" s="29"/>
      <c r="AD568" s="37">
        <f t="shared" si="112"/>
        <v>29887</v>
      </c>
      <c r="AE568" s="3" t="str">
        <f t="shared" ca="1" si="111"/>
        <v>44 Tahun 10 bulan 4 Hari</v>
      </c>
      <c r="AF568" s="38">
        <f t="shared" si="113"/>
        <v>51806</v>
      </c>
    </row>
    <row r="569" spans="1:32" s="7" customFormat="1" ht="32.15" customHeight="1" x14ac:dyDescent="0.35">
      <c r="A569" s="26">
        <f t="shared" si="115"/>
        <v>536</v>
      </c>
      <c r="B569" s="27" t="s">
        <v>1587</v>
      </c>
      <c r="C569" s="26"/>
      <c r="D569" s="50" t="s">
        <v>1605</v>
      </c>
      <c r="E569" s="24" t="s">
        <v>1622</v>
      </c>
      <c r="F569" s="24" t="s">
        <v>43</v>
      </c>
      <c r="G569" s="3" t="s">
        <v>1623</v>
      </c>
      <c r="H569" s="4" t="s">
        <v>337</v>
      </c>
      <c r="I569" s="33" t="s">
        <v>251</v>
      </c>
      <c r="J569" s="5" t="s">
        <v>87</v>
      </c>
      <c r="K569" s="3" t="str">
        <f t="shared" ca="1" si="109"/>
        <v xml:space="preserve">4 Tahun 8 bulan </v>
      </c>
      <c r="L569" s="30" t="s">
        <v>88</v>
      </c>
      <c r="M569" s="5" t="s">
        <v>87</v>
      </c>
      <c r="N569" s="3" t="str">
        <f t="shared" ca="1" si="125"/>
        <v xml:space="preserve">4 Tahun 8 bulan </v>
      </c>
      <c r="O569" s="4"/>
      <c r="P569" s="4" t="s">
        <v>35</v>
      </c>
      <c r="Q569" s="4" t="str">
        <f t="shared" si="110"/>
        <v>Laki-Laki</v>
      </c>
      <c r="R569" s="4">
        <f t="shared" si="119"/>
        <v>1</v>
      </c>
      <c r="S569" s="4" t="str">
        <f t="shared" si="124"/>
        <v>1</v>
      </c>
      <c r="T569" s="4">
        <f t="shared" si="106"/>
        <v>0</v>
      </c>
      <c r="U569" s="29"/>
      <c r="V569" s="30" t="s">
        <v>50</v>
      </c>
      <c r="W569" s="30"/>
      <c r="X569" s="30"/>
      <c r="Y569" s="30"/>
      <c r="Z569" s="30"/>
      <c r="AA569" s="30"/>
      <c r="AB569" s="29"/>
      <c r="AC569" s="29"/>
      <c r="AD569" s="37">
        <f t="shared" si="112"/>
        <v>29203</v>
      </c>
      <c r="AE569" s="3" t="str">
        <f t="shared" ca="1" si="111"/>
        <v>46 Tahun 8 bulan 18 Hari</v>
      </c>
      <c r="AF569" s="38">
        <f t="shared" si="113"/>
        <v>51136</v>
      </c>
    </row>
    <row r="570" spans="1:32" s="7" customFormat="1" ht="32.15" customHeight="1" x14ac:dyDescent="0.35">
      <c r="A570" s="26">
        <f t="shared" si="115"/>
        <v>537</v>
      </c>
      <c r="B570" s="27" t="s">
        <v>1587</v>
      </c>
      <c r="C570" s="26"/>
      <c r="D570" s="50" t="s">
        <v>1605</v>
      </c>
      <c r="E570" s="51" t="s">
        <v>1624</v>
      </c>
      <c r="F570" s="24" t="s">
        <v>43</v>
      </c>
      <c r="G570" s="66" t="s">
        <v>1625</v>
      </c>
      <c r="H570" s="4" t="s">
        <v>192</v>
      </c>
      <c r="I570" s="33" t="s">
        <v>107</v>
      </c>
      <c r="J570" s="95">
        <v>44561</v>
      </c>
      <c r="K570" s="3" t="str">
        <f t="shared" ca="1" si="109"/>
        <v xml:space="preserve">4 Tahun 8 bulan </v>
      </c>
      <c r="L570" s="30" t="s">
        <v>88</v>
      </c>
      <c r="M570" s="95">
        <v>44561</v>
      </c>
      <c r="N570" s="3" t="str">
        <f t="shared" ca="1" si="125"/>
        <v xml:space="preserve">4 Tahun 8 bulan </v>
      </c>
      <c r="O570" s="4"/>
      <c r="P570" s="4" t="s">
        <v>35</v>
      </c>
      <c r="Q570" s="4" t="str">
        <f t="shared" si="110"/>
        <v>Perempuan</v>
      </c>
      <c r="R570" s="4">
        <f t="shared" si="119"/>
        <v>1</v>
      </c>
      <c r="S570" s="4" t="str">
        <f t="shared" si="124"/>
        <v>1</v>
      </c>
      <c r="T570" s="4">
        <f t="shared" si="106"/>
        <v>0</v>
      </c>
      <c r="U570" s="29"/>
      <c r="V570" s="30" t="s">
        <v>50</v>
      </c>
      <c r="W570" s="30"/>
      <c r="X570" s="30"/>
      <c r="Y570" s="30"/>
      <c r="Z570" s="30"/>
      <c r="AA570" s="30"/>
      <c r="AB570" s="29"/>
      <c r="AC570" s="29"/>
      <c r="AD570" s="37">
        <f t="shared" si="112"/>
        <v>32691</v>
      </c>
      <c r="AE570" s="3" t="str">
        <f t="shared" ca="1" si="111"/>
        <v>37 Tahun 1 bulan 30 Hari</v>
      </c>
      <c r="AF570" s="38">
        <f t="shared" si="113"/>
        <v>54636</v>
      </c>
    </row>
    <row r="571" spans="1:32" s="7" customFormat="1" ht="32.15" customHeight="1" x14ac:dyDescent="0.35">
      <c r="A571" s="26">
        <f t="shared" si="115"/>
        <v>538</v>
      </c>
      <c r="B571" s="27" t="s">
        <v>1587</v>
      </c>
      <c r="C571" s="26"/>
      <c r="D571" s="50" t="s">
        <v>1626</v>
      </c>
      <c r="E571" s="79" t="s">
        <v>1627</v>
      </c>
      <c r="F571" s="24" t="s">
        <v>43</v>
      </c>
      <c r="G571" s="4" t="s">
        <v>1085</v>
      </c>
      <c r="H571" s="4" t="s">
        <v>574</v>
      </c>
      <c r="I571" s="33" t="s">
        <v>86</v>
      </c>
      <c r="J571" s="5" t="s">
        <v>87</v>
      </c>
      <c r="K571" s="3" t="str">
        <f t="shared" ca="1" si="109"/>
        <v xml:space="preserve">4 Tahun 8 bulan </v>
      </c>
      <c r="L571" s="30" t="s">
        <v>88</v>
      </c>
      <c r="M571" s="5" t="s">
        <v>87</v>
      </c>
      <c r="N571" s="3" t="str">
        <f t="shared" ca="1" si="125"/>
        <v xml:space="preserve">4 Tahun 8 bulan </v>
      </c>
      <c r="O571" s="4"/>
      <c r="P571" s="4" t="s">
        <v>35</v>
      </c>
      <c r="Q571" s="4" t="str">
        <f t="shared" si="110"/>
        <v>Perempuan</v>
      </c>
      <c r="R571" s="4">
        <f t="shared" si="119"/>
        <v>1</v>
      </c>
      <c r="S571" s="4" t="str">
        <f t="shared" si="124"/>
        <v>1</v>
      </c>
      <c r="T571" s="4">
        <f t="shared" ref="T571:T636" si="126">R571-S571</f>
        <v>0</v>
      </c>
      <c r="U571" s="29"/>
      <c r="V571" s="30" t="s">
        <v>50</v>
      </c>
      <c r="W571" s="30"/>
      <c r="X571" s="30"/>
      <c r="Y571" s="30"/>
      <c r="Z571" s="30"/>
      <c r="AA571" s="30"/>
      <c r="AB571" s="29"/>
      <c r="AC571" s="29"/>
      <c r="AD571" s="37">
        <f t="shared" si="112"/>
        <v>27939</v>
      </c>
      <c r="AE571" s="3" t="str">
        <f t="shared" ca="1" si="111"/>
        <v>50 Tahun 2 bulan 4 Hari</v>
      </c>
      <c r="AF571" s="38">
        <f t="shared" si="113"/>
        <v>49857</v>
      </c>
    </row>
    <row r="572" spans="1:32" s="7" customFormat="1" ht="32.15" customHeight="1" x14ac:dyDescent="0.35">
      <c r="A572" s="26"/>
      <c r="B572" s="27" t="s">
        <v>1628</v>
      </c>
      <c r="C572" s="280" t="s">
        <v>1629</v>
      </c>
      <c r="D572" s="281"/>
      <c r="E572" s="271" t="str">
        <f ca="1">IF(J572="","",CONCATENATE(DATEDIF(J572,NOW(),"Y")," Tahun ",DATEDIF(J572,NOW(),"YM")," bulan "))</f>
        <v/>
      </c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  <c r="AB572" s="272"/>
      <c r="AC572" s="272"/>
      <c r="AD572" s="272"/>
      <c r="AE572" s="272"/>
      <c r="AF572" s="273"/>
    </row>
    <row r="573" spans="1:32" s="7" customFormat="1" ht="32.15" customHeight="1" x14ac:dyDescent="0.35">
      <c r="A573" s="26">
        <f>A571+1</f>
        <v>539</v>
      </c>
      <c r="B573" s="27" t="s">
        <v>1628</v>
      </c>
      <c r="C573" s="278" t="s">
        <v>3025</v>
      </c>
      <c r="D573" s="279"/>
      <c r="E573" s="24" t="s">
        <v>1630</v>
      </c>
      <c r="F573" s="24" t="s">
        <v>43</v>
      </c>
      <c r="G573" s="3" t="s">
        <v>72</v>
      </c>
      <c r="H573" s="4" t="s">
        <v>181</v>
      </c>
      <c r="I573" s="25" t="s">
        <v>630</v>
      </c>
      <c r="J573" s="5" t="s">
        <v>325</v>
      </c>
      <c r="K573" s="3" t="str">
        <f t="shared" ca="1" si="109"/>
        <v xml:space="preserve">1 Tahun 9 bulan </v>
      </c>
      <c r="L573" s="30" t="s">
        <v>56</v>
      </c>
      <c r="M573" s="5" t="s">
        <v>325</v>
      </c>
      <c r="N573" s="3" t="str">
        <f t="shared" ca="1" si="125"/>
        <v xml:space="preserve">1 Tahun 9 bulan </v>
      </c>
      <c r="O573" s="4" t="s">
        <v>81</v>
      </c>
      <c r="P573" s="4" t="s">
        <v>35</v>
      </c>
      <c r="Q573" s="4" t="str">
        <f t="shared" si="110"/>
        <v>Laki-Laki</v>
      </c>
      <c r="R573" s="4">
        <f>R571</f>
        <v>1</v>
      </c>
      <c r="S573" s="4" t="str">
        <f t="shared" ref="S573:S585" si="127">IF(E573="LOWONG","0","1")</f>
        <v>1</v>
      </c>
      <c r="T573" s="4">
        <f t="shared" si="126"/>
        <v>0</v>
      </c>
      <c r="U573" s="29"/>
      <c r="V573" s="30" t="s">
        <v>50</v>
      </c>
      <c r="W573" s="30"/>
      <c r="X573" s="30"/>
      <c r="Y573" s="30"/>
      <c r="Z573" s="30"/>
      <c r="AA573" s="30"/>
      <c r="AB573" s="29"/>
      <c r="AC573" s="29"/>
      <c r="AD573" s="37">
        <f t="shared" si="112"/>
        <v>28694</v>
      </c>
      <c r="AE573" s="3" t="str">
        <f t="shared" ca="1" si="111"/>
        <v>48 Tahun 1 bulan 9 Hari</v>
      </c>
      <c r="AF573" s="38">
        <f t="shared" si="113"/>
        <v>50618</v>
      </c>
    </row>
    <row r="574" spans="1:32" s="7" customFormat="1" ht="32.15" customHeight="1" x14ac:dyDescent="0.35">
      <c r="A574" s="26">
        <f t="shared" si="115"/>
        <v>540</v>
      </c>
      <c r="B574" s="27" t="s">
        <v>1628</v>
      </c>
      <c r="C574" s="256" t="s">
        <v>1631</v>
      </c>
      <c r="D574" s="257"/>
      <c r="E574" s="24" t="s">
        <v>1632</v>
      </c>
      <c r="F574" s="24" t="s">
        <v>43</v>
      </c>
      <c r="G574" s="3" t="s">
        <v>1633</v>
      </c>
      <c r="H574" s="4" t="s">
        <v>830</v>
      </c>
      <c r="I574" s="41" t="s">
        <v>1634</v>
      </c>
      <c r="J574" s="5" t="s">
        <v>127</v>
      </c>
      <c r="K574" s="3" t="str">
        <f t="shared" ca="1" si="109"/>
        <v xml:space="preserve">5 Tahun 6 bulan </v>
      </c>
      <c r="L574" s="30" t="s">
        <v>79</v>
      </c>
      <c r="M574" s="5" t="s">
        <v>127</v>
      </c>
      <c r="N574" s="3" t="str">
        <f t="shared" ca="1" si="125"/>
        <v xml:space="preserve">5 Tahun 6 bulan </v>
      </c>
      <c r="O574" s="4" t="s">
        <v>128</v>
      </c>
      <c r="P574" s="4" t="s">
        <v>35</v>
      </c>
      <c r="Q574" s="4" t="str">
        <f t="shared" si="110"/>
        <v>Laki-Laki</v>
      </c>
      <c r="R574" s="4">
        <f t="shared" si="119"/>
        <v>1</v>
      </c>
      <c r="S574" s="4" t="str">
        <f t="shared" si="127"/>
        <v>1</v>
      </c>
      <c r="T574" s="4">
        <f t="shared" si="126"/>
        <v>0</v>
      </c>
      <c r="U574" s="29"/>
      <c r="V574" s="30" t="s">
        <v>50</v>
      </c>
      <c r="W574" s="30"/>
      <c r="X574" s="30"/>
      <c r="Y574" s="30"/>
      <c r="Z574" s="30"/>
      <c r="AA574" s="30"/>
      <c r="AB574" s="29"/>
      <c r="AC574" s="29"/>
      <c r="AD574" s="37">
        <f t="shared" si="112"/>
        <v>28671</v>
      </c>
      <c r="AE574" s="3" t="str">
        <f t="shared" ca="1" si="111"/>
        <v>48 Tahun 2 bulan 2 Hari</v>
      </c>
      <c r="AF574" s="38">
        <f t="shared" si="113"/>
        <v>50587</v>
      </c>
    </row>
    <row r="575" spans="1:32" s="7" customFormat="1" ht="32.15" customHeight="1" x14ac:dyDescent="0.35">
      <c r="A575" s="26">
        <f t="shared" si="115"/>
        <v>541</v>
      </c>
      <c r="B575" s="27" t="s">
        <v>1628</v>
      </c>
      <c r="C575" s="26"/>
      <c r="D575" s="50" t="s">
        <v>1635</v>
      </c>
      <c r="E575" s="24" t="s">
        <v>1636</v>
      </c>
      <c r="F575" s="24" t="s">
        <v>43</v>
      </c>
      <c r="G575" s="4" t="s">
        <v>1637</v>
      </c>
      <c r="H575" s="36" t="s">
        <v>85</v>
      </c>
      <c r="I575" s="41" t="s">
        <v>350</v>
      </c>
      <c r="J575" s="5" t="s">
        <v>386</v>
      </c>
      <c r="K575" s="3" t="str">
        <f t="shared" ca="1" si="109"/>
        <v xml:space="preserve">5 Tahun 5 bulan </v>
      </c>
      <c r="L575" s="30" t="s">
        <v>200</v>
      </c>
      <c r="M575" s="5" t="s">
        <v>386</v>
      </c>
      <c r="N575" s="3" t="str">
        <f t="shared" ca="1" si="125"/>
        <v xml:space="preserve">5 Tahun 5 bulan </v>
      </c>
      <c r="O575" s="4"/>
      <c r="P575" s="4" t="s">
        <v>35</v>
      </c>
      <c r="Q575" s="4" t="str">
        <f t="shared" si="110"/>
        <v>Laki-Laki</v>
      </c>
      <c r="R575" s="4">
        <f t="shared" si="119"/>
        <v>1</v>
      </c>
      <c r="S575" s="4" t="str">
        <f t="shared" si="127"/>
        <v>1</v>
      </c>
      <c r="T575" s="4">
        <f t="shared" si="126"/>
        <v>0</v>
      </c>
      <c r="U575" s="29"/>
      <c r="V575" s="30" t="s">
        <v>50</v>
      </c>
      <c r="W575" s="30"/>
      <c r="X575" s="30"/>
      <c r="Y575" s="30"/>
      <c r="Z575" s="30"/>
      <c r="AA575" s="30"/>
      <c r="AB575" s="29"/>
      <c r="AC575" s="29"/>
      <c r="AD575" s="37">
        <f t="shared" si="112"/>
        <v>26515</v>
      </c>
      <c r="AE575" s="3" t="str">
        <f t="shared" ca="1" si="111"/>
        <v>54 Tahun 0 bulan 28 Hari</v>
      </c>
      <c r="AF575" s="38">
        <f t="shared" si="113"/>
        <v>48458</v>
      </c>
    </row>
    <row r="576" spans="1:32" s="7" customFormat="1" ht="32.15" customHeight="1" x14ac:dyDescent="0.35">
      <c r="A576" s="26">
        <f t="shared" si="115"/>
        <v>542</v>
      </c>
      <c r="B576" s="27" t="s">
        <v>1628</v>
      </c>
      <c r="C576" s="26"/>
      <c r="D576" s="50" t="s">
        <v>1638</v>
      </c>
      <c r="E576" s="24" t="s">
        <v>1639</v>
      </c>
      <c r="F576" s="24" t="s">
        <v>43</v>
      </c>
      <c r="G576" s="4" t="s">
        <v>1640</v>
      </c>
      <c r="H576" s="36" t="s">
        <v>85</v>
      </c>
      <c r="I576" s="33" t="s">
        <v>1641</v>
      </c>
      <c r="J576" s="5" t="s">
        <v>87</v>
      </c>
      <c r="K576" s="3" t="str">
        <f t="shared" ca="1" si="109"/>
        <v xml:space="preserve">4 Tahun 8 bulan </v>
      </c>
      <c r="L576" s="30" t="s">
        <v>88</v>
      </c>
      <c r="M576" s="5">
        <v>44561</v>
      </c>
      <c r="N576" s="3" t="str">
        <f t="shared" ca="1" si="125"/>
        <v xml:space="preserve">4 Tahun 8 bulan </v>
      </c>
      <c r="O576" s="4"/>
      <c r="P576" s="4" t="s">
        <v>35</v>
      </c>
      <c r="Q576" s="4" t="str">
        <f t="shared" si="110"/>
        <v>Perempuan</v>
      </c>
      <c r="R576" s="4">
        <f t="shared" si="119"/>
        <v>1</v>
      </c>
      <c r="S576" s="4" t="str">
        <f t="shared" si="127"/>
        <v>1</v>
      </c>
      <c r="T576" s="4">
        <f t="shared" si="126"/>
        <v>0</v>
      </c>
      <c r="U576" s="29"/>
      <c r="V576" s="30"/>
      <c r="W576" s="30"/>
      <c r="X576" s="30"/>
      <c r="Y576" s="30"/>
      <c r="Z576" s="30"/>
      <c r="AA576" s="30"/>
      <c r="AB576" s="29"/>
      <c r="AC576" s="29"/>
      <c r="AD576" s="37">
        <f t="shared" si="112"/>
        <v>29517</v>
      </c>
      <c r="AE576" s="3" t="str">
        <f t="shared" ca="1" si="111"/>
        <v>45 Tahun 10 bulan 9 Hari</v>
      </c>
      <c r="AF576" s="38">
        <f t="shared" si="113"/>
        <v>51441</v>
      </c>
    </row>
    <row r="577" spans="1:32" s="7" customFormat="1" ht="32.15" customHeight="1" x14ac:dyDescent="0.35">
      <c r="A577" s="26">
        <f t="shared" si="115"/>
        <v>543</v>
      </c>
      <c r="B577" s="27" t="s">
        <v>1628</v>
      </c>
      <c r="C577" s="256" t="s">
        <v>1642</v>
      </c>
      <c r="D577" s="257"/>
      <c r="E577" s="45" t="s">
        <v>1643</v>
      </c>
      <c r="F577" s="24" t="s">
        <v>43</v>
      </c>
      <c r="G577" s="44" t="s">
        <v>1644</v>
      </c>
      <c r="H577" s="4" t="s">
        <v>385</v>
      </c>
      <c r="I577" s="36" t="s">
        <v>1645</v>
      </c>
      <c r="J577" s="82" t="s">
        <v>338</v>
      </c>
      <c r="K577" s="3" t="str">
        <f t="shared" ca="1" si="109"/>
        <v xml:space="preserve">2 Tahun 11 bulan </v>
      </c>
      <c r="L577" s="30" t="s">
        <v>346</v>
      </c>
      <c r="M577" s="82" t="s">
        <v>338</v>
      </c>
      <c r="N577" s="3" t="str">
        <f t="shared" ca="1" si="125"/>
        <v xml:space="preserve">2 Tahun 11 bulan </v>
      </c>
      <c r="O577" s="36"/>
      <c r="P577" s="4" t="s">
        <v>35</v>
      </c>
      <c r="Q577" s="4" t="str">
        <f t="shared" si="110"/>
        <v>Laki-Laki</v>
      </c>
      <c r="R577" s="4">
        <f t="shared" si="119"/>
        <v>1</v>
      </c>
      <c r="S577" s="4" t="str">
        <f t="shared" si="127"/>
        <v>1</v>
      </c>
      <c r="T577" s="4">
        <f t="shared" si="126"/>
        <v>0</v>
      </c>
      <c r="U577" s="29"/>
      <c r="V577" s="30" t="s">
        <v>50</v>
      </c>
      <c r="W577" s="30"/>
      <c r="X577" s="30"/>
      <c r="Y577" s="30"/>
      <c r="Z577" s="30"/>
      <c r="AA577" s="30"/>
      <c r="AB577" s="29"/>
      <c r="AC577" s="29"/>
      <c r="AD577" s="37">
        <f t="shared" si="112"/>
        <v>26836</v>
      </c>
      <c r="AE577" s="3" t="str">
        <f t="shared" ca="1" si="111"/>
        <v>53 Tahun 2 bulan 11 Hari</v>
      </c>
      <c r="AF577" s="38">
        <f t="shared" si="113"/>
        <v>48761</v>
      </c>
    </row>
    <row r="578" spans="1:32" s="7" customFormat="1" ht="32.15" customHeight="1" x14ac:dyDescent="0.35">
      <c r="A578" s="26">
        <f t="shared" si="115"/>
        <v>544</v>
      </c>
      <c r="B578" s="27" t="s">
        <v>1628</v>
      </c>
      <c r="C578" s="26"/>
      <c r="D578" s="67" t="s">
        <v>1646</v>
      </c>
      <c r="E578" s="45" t="s">
        <v>1647</v>
      </c>
      <c r="F578" s="24" t="s">
        <v>43</v>
      </c>
      <c r="G578" s="44" t="s">
        <v>1648</v>
      </c>
      <c r="H578" s="36" t="s">
        <v>85</v>
      </c>
      <c r="I578" s="33" t="s">
        <v>107</v>
      </c>
      <c r="J578" s="5" t="s">
        <v>87</v>
      </c>
      <c r="K578" s="3" t="str">
        <f t="shared" ca="1" si="109"/>
        <v xml:space="preserve">4 Tahun 8 bulan </v>
      </c>
      <c r="L578" s="30" t="s">
        <v>88</v>
      </c>
      <c r="M578" s="5">
        <v>44561</v>
      </c>
      <c r="N578" s="3" t="str">
        <f t="shared" ca="1" si="125"/>
        <v xml:space="preserve">4 Tahun 8 bulan </v>
      </c>
      <c r="O578" s="4"/>
      <c r="P578" s="4" t="s">
        <v>35</v>
      </c>
      <c r="Q578" s="4" t="str">
        <f t="shared" si="110"/>
        <v>Laki-Laki</v>
      </c>
      <c r="R578" s="4">
        <f t="shared" si="119"/>
        <v>1</v>
      </c>
      <c r="S578" s="4" t="str">
        <f t="shared" si="127"/>
        <v>1</v>
      </c>
      <c r="T578" s="4">
        <f t="shared" si="126"/>
        <v>0</v>
      </c>
      <c r="U578" s="29"/>
      <c r="V578" s="30" t="s">
        <v>50</v>
      </c>
      <c r="W578" s="30"/>
      <c r="X578" s="30"/>
      <c r="Y578" s="30"/>
      <c r="Z578" s="30"/>
      <c r="AA578" s="30"/>
      <c r="AB578" s="29"/>
      <c r="AC578" s="29"/>
      <c r="AD578" s="37">
        <f t="shared" si="112"/>
        <v>28425</v>
      </c>
      <c r="AE578" s="3" t="str">
        <f t="shared" ca="1" si="111"/>
        <v>48 Tahun 10 bulan 5 Hari</v>
      </c>
      <c r="AF578" s="38">
        <f t="shared" si="113"/>
        <v>50345</v>
      </c>
    </row>
    <row r="579" spans="1:32" s="7" customFormat="1" ht="32.15" customHeight="1" x14ac:dyDescent="0.35">
      <c r="A579" s="26">
        <f t="shared" si="115"/>
        <v>545</v>
      </c>
      <c r="B579" s="27" t="s">
        <v>1628</v>
      </c>
      <c r="C579" s="26"/>
      <c r="D579" s="67" t="s">
        <v>1649</v>
      </c>
      <c r="E579" s="39" t="s">
        <v>108</v>
      </c>
      <c r="F579" s="39"/>
      <c r="G579" s="25"/>
      <c r="H579" s="4"/>
      <c r="I579" s="36"/>
      <c r="J579" s="49"/>
      <c r="K579" s="3" t="str">
        <f t="shared" ca="1" si="109"/>
        <v/>
      </c>
      <c r="L579" s="30" t="s">
        <v>88</v>
      </c>
      <c r="M579" s="49"/>
      <c r="N579" s="3" t="str">
        <f t="shared" ca="1" si="125"/>
        <v/>
      </c>
      <c r="O579" s="35"/>
      <c r="P579" s="4"/>
      <c r="Q579" s="4" t="str">
        <f t="shared" si="110"/>
        <v/>
      </c>
      <c r="R579" s="4">
        <f t="shared" si="119"/>
        <v>1</v>
      </c>
      <c r="S579" s="4" t="str">
        <f t="shared" si="127"/>
        <v>0</v>
      </c>
      <c r="T579" s="4">
        <f t="shared" si="126"/>
        <v>1</v>
      </c>
      <c r="U579" s="29"/>
      <c r="V579" s="30"/>
      <c r="W579" s="30"/>
      <c r="X579" s="30"/>
      <c r="Y579" s="30"/>
      <c r="Z579" s="30"/>
      <c r="AA579" s="30"/>
      <c r="AB579" s="29"/>
      <c r="AC579" s="29"/>
      <c r="AD579" s="37" t="str">
        <f t="shared" si="112"/>
        <v/>
      </c>
      <c r="AE579" s="3" t="str">
        <f t="shared" ca="1" si="111"/>
        <v/>
      </c>
      <c r="AF579" s="38" t="str">
        <f t="shared" si="113"/>
        <v/>
      </c>
    </row>
    <row r="580" spans="1:32" s="7" customFormat="1" ht="32.15" customHeight="1" x14ac:dyDescent="0.35">
      <c r="A580" s="26">
        <f t="shared" si="115"/>
        <v>546</v>
      </c>
      <c r="B580" s="27" t="s">
        <v>1628</v>
      </c>
      <c r="C580" s="256" t="s">
        <v>1650</v>
      </c>
      <c r="D580" s="257"/>
      <c r="E580" s="24" t="s">
        <v>429</v>
      </c>
      <c r="F580" s="24" t="s">
        <v>43</v>
      </c>
      <c r="G580" s="3" t="s">
        <v>430</v>
      </c>
      <c r="H580" s="4" t="s">
        <v>135</v>
      </c>
      <c r="I580" s="33" t="s">
        <v>2826</v>
      </c>
      <c r="J580" s="5">
        <v>45993</v>
      </c>
      <c r="K580" s="3" t="str">
        <f t="shared" ca="1" si="109"/>
        <v xml:space="preserve">0 Tahun 8 bulan </v>
      </c>
      <c r="L580" s="30" t="s">
        <v>346</v>
      </c>
      <c r="M580" s="5"/>
      <c r="N580" s="3" t="str">
        <f t="shared" ca="1" si="125"/>
        <v/>
      </c>
      <c r="O580" s="4"/>
      <c r="P580" s="4" t="s">
        <v>968</v>
      </c>
      <c r="Q580" s="4" t="str">
        <f t="shared" si="110"/>
        <v>Laki-Laki</v>
      </c>
      <c r="R580" s="4">
        <f t="shared" si="119"/>
        <v>1</v>
      </c>
      <c r="S580" s="4" t="str">
        <f t="shared" si="127"/>
        <v>1</v>
      </c>
      <c r="T580" s="4">
        <f t="shared" si="126"/>
        <v>0</v>
      </c>
      <c r="U580" s="29"/>
      <c r="V580" s="30" t="s">
        <v>50</v>
      </c>
      <c r="W580" s="30"/>
      <c r="X580" s="30"/>
      <c r="Y580" s="30"/>
      <c r="Z580" s="30"/>
      <c r="AA580" s="30"/>
      <c r="AB580" s="29"/>
      <c r="AC580" s="29"/>
      <c r="AD580" s="37">
        <f t="shared" si="112"/>
        <v>28280</v>
      </c>
      <c r="AE580" s="3" t="str">
        <f t="shared" ca="1" si="111"/>
        <v>49 Tahun 2 bulan 28 Hari</v>
      </c>
      <c r="AF580" s="38">
        <f t="shared" si="113"/>
        <v>50222</v>
      </c>
    </row>
    <row r="581" spans="1:32" s="7" customFormat="1" ht="32.15" customHeight="1" x14ac:dyDescent="0.35">
      <c r="A581" s="26">
        <f t="shared" si="115"/>
        <v>547</v>
      </c>
      <c r="B581" s="27" t="s">
        <v>1628</v>
      </c>
      <c r="C581" s="26"/>
      <c r="D581" s="67" t="s">
        <v>1649</v>
      </c>
      <c r="E581" s="24" t="s">
        <v>108</v>
      </c>
      <c r="F581" s="24"/>
      <c r="G581" s="4"/>
      <c r="H581" s="4"/>
      <c r="I581" s="41"/>
      <c r="J581" s="91"/>
      <c r="K581" s="3" t="str">
        <f t="shared" ca="1" si="109"/>
        <v/>
      </c>
      <c r="L581" s="30" t="s">
        <v>88</v>
      </c>
      <c r="M581" s="91"/>
      <c r="N581" s="3" t="str">
        <f t="shared" ca="1" si="125"/>
        <v/>
      </c>
      <c r="O581" s="4"/>
      <c r="P581" s="4"/>
      <c r="Q581" s="4" t="str">
        <f t="shared" si="110"/>
        <v/>
      </c>
      <c r="R581" s="4">
        <f t="shared" si="119"/>
        <v>1</v>
      </c>
      <c r="S581" s="4" t="str">
        <f t="shared" si="127"/>
        <v>0</v>
      </c>
      <c r="T581" s="4">
        <f t="shared" si="126"/>
        <v>1</v>
      </c>
      <c r="U581" s="29"/>
      <c r="V581" s="30" t="s">
        <v>50</v>
      </c>
      <c r="W581" s="30"/>
      <c r="X581" s="30"/>
      <c r="Y581" s="30"/>
      <c r="Z581" s="30"/>
      <c r="AA581" s="30"/>
      <c r="AB581" s="29"/>
      <c r="AC581" s="29"/>
      <c r="AD581" s="37" t="str">
        <f t="shared" si="112"/>
        <v/>
      </c>
      <c r="AE581" s="3" t="str">
        <f t="shared" ca="1" si="111"/>
        <v/>
      </c>
      <c r="AF581" s="38" t="str">
        <f t="shared" si="113"/>
        <v/>
      </c>
    </row>
    <row r="582" spans="1:32" s="7" customFormat="1" ht="32.15" customHeight="1" x14ac:dyDescent="0.35">
      <c r="A582" s="26">
        <f t="shared" si="115"/>
        <v>548</v>
      </c>
      <c r="B582" s="27" t="s">
        <v>1628</v>
      </c>
      <c r="C582" s="26"/>
      <c r="D582" s="67" t="s">
        <v>1646</v>
      </c>
      <c r="E582" s="24" t="s">
        <v>1651</v>
      </c>
      <c r="F582" s="24" t="s">
        <v>43</v>
      </c>
      <c r="G582" s="4" t="s">
        <v>1652</v>
      </c>
      <c r="H582" s="4" t="s">
        <v>106</v>
      </c>
      <c r="I582" s="4" t="s">
        <v>350</v>
      </c>
      <c r="J582" s="5" t="s">
        <v>87</v>
      </c>
      <c r="K582" s="3" t="str">
        <f t="shared" ca="1" si="109"/>
        <v xml:space="preserve">4 Tahun 8 bulan </v>
      </c>
      <c r="L582" s="30" t="s">
        <v>88</v>
      </c>
      <c r="M582" s="5" t="s">
        <v>87</v>
      </c>
      <c r="N582" s="3" t="str">
        <f t="shared" ca="1" si="125"/>
        <v xml:space="preserve">4 Tahun 8 bulan </v>
      </c>
      <c r="O582" s="36"/>
      <c r="P582" s="4" t="s">
        <v>35</v>
      </c>
      <c r="Q582" s="4" t="str">
        <f t="shared" si="110"/>
        <v/>
      </c>
      <c r="R582" s="4">
        <f t="shared" si="119"/>
        <v>1</v>
      </c>
      <c r="S582" s="4" t="str">
        <f t="shared" si="127"/>
        <v>1</v>
      </c>
      <c r="T582" s="4">
        <f t="shared" si="126"/>
        <v>0</v>
      </c>
      <c r="U582" s="29"/>
      <c r="V582" s="30" t="s">
        <v>50</v>
      </c>
      <c r="W582" s="30"/>
      <c r="X582" s="30"/>
      <c r="Y582" s="30"/>
      <c r="Z582" s="30"/>
      <c r="AA582" s="30"/>
      <c r="AB582" s="29"/>
      <c r="AC582" s="29"/>
      <c r="AD582" s="37">
        <f t="shared" si="112"/>
        <v>27152</v>
      </c>
      <c r="AE582" s="3" t="str">
        <f t="shared" ca="1" si="111"/>
        <v>52 Tahun 3 bulan 29 Hari</v>
      </c>
      <c r="AF582" s="38">
        <f t="shared" si="113"/>
        <v>49096</v>
      </c>
    </row>
    <row r="583" spans="1:32" s="7" customFormat="1" ht="32.15" customHeight="1" x14ac:dyDescent="0.35">
      <c r="A583" s="26">
        <f t="shared" si="115"/>
        <v>549</v>
      </c>
      <c r="B583" s="27" t="s">
        <v>1628</v>
      </c>
      <c r="C583" s="256" t="s">
        <v>1653</v>
      </c>
      <c r="D583" s="257"/>
      <c r="E583" s="39" t="s">
        <v>1654</v>
      </c>
      <c r="F583" s="24" t="s">
        <v>43</v>
      </c>
      <c r="G583" s="25" t="s">
        <v>1655</v>
      </c>
      <c r="H583" s="4" t="s">
        <v>419</v>
      </c>
      <c r="I583" s="33" t="s">
        <v>1656</v>
      </c>
      <c r="J583" s="5" t="s">
        <v>953</v>
      </c>
      <c r="K583" s="3" t="str">
        <f t="shared" ref="K583:K646" ca="1" si="128">IF(J583="","",CONCATENATE(DATEDIF(J583,NOW(),"Y")," Tahun ",DATEDIF(J583,NOW(),"YM")," bulan "))</f>
        <v xml:space="preserve">3 Tahun 9 bulan </v>
      </c>
      <c r="L583" s="30" t="s">
        <v>346</v>
      </c>
      <c r="M583" s="5" t="s">
        <v>953</v>
      </c>
      <c r="N583" s="3" t="str">
        <f t="shared" ca="1" si="125"/>
        <v xml:space="preserve">3 Tahun 9 bulan </v>
      </c>
      <c r="O583" s="35"/>
      <c r="P583" s="4" t="s">
        <v>35</v>
      </c>
      <c r="Q583" s="4" t="str">
        <f t="shared" ref="Q583:Q646" si="129">CONCATENATE(IF(MID(G583,17,1)="1","Laki-Laki",IF(MID(G583,17,1)="2","Perempuan",)))</f>
        <v>Laki-Laki</v>
      </c>
      <c r="R583" s="4">
        <f t="shared" si="119"/>
        <v>1</v>
      </c>
      <c r="S583" s="4" t="str">
        <f t="shared" si="127"/>
        <v>1</v>
      </c>
      <c r="T583" s="4">
        <f t="shared" si="126"/>
        <v>0</v>
      </c>
      <c r="U583" s="29"/>
      <c r="V583" s="30" t="s">
        <v>50</v>
      </c>
      <c r="W583" s="30"/>
      <c r="X583" s="30"/>
      <c r="Y583" s="30"/>
      <c r="Z583" s="30"/>
      <c r="AA583" s="30"/>
      <c r="AB583" s="29"/>
      <c r="AC583" s="29"/>
      <c r="AD583" s="37">
        <f t="shared" si="112"/>
        <v>29429</v>
      </c>
      <c r="AE583" s="3" t="str">
        <f t="shared" ref="AE583:AE646" ca="1" si="130">IF(TRIM(AD583)="", "", CONCATENATE(DATEDIF(AD583,NOW(),"Y")," Tahun ",DATEDIF(AD583,NOW(),"YM")," bulan ",DATEDIF(AD583,NOW(),"MD")," Hari"))</f>
        <v>46 Tahun 1 bulan 5 Hari</v>
      </c>
      <c r="AF583" s="38">
        <f t="shared" si="113"/>
        <v>51349</v>
      </c>
    </row>
    <row r="584" spans="1:32" s="7" customFormat="1" ht="32.15" customHeight="1" x14ac:dyDescent="0.35">
      <c r="A584" s="26">
        <f t="shared" si="115"/>
        <v>550</v>
      </c>
      <c r="B584" s="27" t="s">
        <v>1628</v>
      </c>
      <c r="C584" s="26"/>
      <c r="D584" s="67" t="s">
        <v>1646</v>
      </c>
      <c r="E584" s="24" t="s">
        <v>1657</v>
      </c>
      <c r="F584" s="24" t="s">
        <v>43</v>
      </c>
      <c r="G584" s="4" t="s">
        <v>1658</v>
      </c>
      <c r="H584" s="4" t="s">
        <v>662</v>
      </c>
      <c r="I584" s="33" t="s">
        <v>107</v>
      </c>
      <c r="J584" s="5">
        <v>44561</v>
      </c>
      <c r="K584" s="3" t="str">
        <f t="shared" ca="1" si="128"/>
        <v xml:space="preserve">4 Tahun 8 bulan </v>
      </c>
      <c r="L584" s="30" t="s">
        <v>88</v>
      </c>
      <c r="M584" s="5">
        <v>44561</v>
      </c>
      <c r="N584" s="3" t="str">
        <f t="shared" ca="1" si="125"/>
        <v xml:space="preserve">4 Tahun 8 bulan </v>
      </c>
      <c r="O584" s="4"/>
      <c r="P584" s="4" t="s">
        <v>35</v>
      </c>
      <c r="Q584" s="4" t="str">
        <f t="shared" si="129"/>
        <v/>
      </c>
      <c r="R584" s="4">
        <f t="shared" si="119"/>
        <v>1</v>
      </c>
      <c r="S584" s="4" t="str">
        <f t="shared" si="127"/>
        <v>1</v>
      </c>
      <c r="T584" s="4">
        <f t="shared" si="126"/>
        <v>0</v>
      </c>
      <c r="U584" s="29"/>
      <c r="V584" s="30" t="s">
        <v>50</v>
      </c>
      <c r="W584" s="30"/>
      <c r="X584" s="30"/>
      <c r="Y584" s="30"/>
      <c r="Z584" s="30"/>
      <c r="AA584" s="30"/>
      <c r="AB584" s="29"/>
      <c r="AC584" s="29"/>
      <c r="AD584" s="37">
        <f t="shared" ref="AD584:AD647" si="131">IF(TRIM(G584)="", "", DATE(LEFT(G584,4),MID(G584,5,2),MID(G584,7,2)))</f>
        <v>31528</v>
      </c>
      <c r="AE584" s="3" t="str">
        <f t="shared" ca="1" si="130"/>
        <v>40 Tahun 4 bulan 6 Hari</v>
      </c>
      <c r="AF584" s="38">
        <f t="shared" ref="AF584:AF647" si="132">IF(TRIM(AD584)="","",DATE(YEAR(AD584)+60,MONTH(AD584)+1,1))</f>
        <v>53448</v>
      </c>
    </row>
    <row r="585" spans="1:32" s="7" customFormat="1" ht="32.15" customHeight="1" x14ac:dyDescent="0.35">
      <c r="A585" s="26">
        <f t="shared" si="115"/>
        <v>551</v>
      </c>
      <c r="B585" s="27" t="s">
        <v>1628</v>
      </c>
      <c r="C585" s="26"/>
      <c r="D585" s="67" t="s">
        <v>1649</v>
      </c>
      <c r="E585" s="39" t="s">
        <v>108</v>
      </c>
      <c r="F585" s="39"/>
      <c r="G585" s="25"/>
      <c r="H585" s="4"/>
      <c r="I585" s="33"/>
      <c r="J585" s="49"/>
      <c r="K585" s="3" t="str">
        <f t="shared" ca="1" si="128"/>
        <v/>
      </c>
      <c r="L585" s="30" t="s">
        <v>88</v>
      </c>
      <c r="M585" s="49"/>
      <c r="N585" s="3" t="str">
        <f t="shared" ca="1" si="125"/>
        <v/>
      </c>
      <c r="O585" s="35"/>
      <c r="P585" s="4"/>
      <c r="Q585" s="4" t="str">
        <f t="shared" si="129"/>
        <v/>
      </c>
      <c r="R585" s="4">
        <f t="shared" si="119"/>
        <v>1</v>
      </c>
      <c r="S585" s="4" t="str">
        <f t="shared" si="127"/>
        <v>0</v>
      </c>
      <c r="T585" s="4">
        <f t="shared" si="126"/>
        <v>1</v>
      </c>
      <c r="U585" s="29"/>
      <c r="V585" s="30"/>
      <c r="W585" s="30"/>
      <c r="X585" s="30"/>
      <c r="Y585" s="30"/>
      <c r="Z585" s="30"/>
      <c r="AA585" s="30"/>
      <c r="AB585" s="29"/>
      <c r="AC585" s="29"/>
      <c r="AD585" s="37" t="str">
        <f t="shared" si="131"/>
        <v/>
      </c>
      <c r="AE585" s="3" t="str">
        <f t="shared" ca="1" si="130"/>
        <v/>
      </c>
      <c r="AF585" s="38" t="str">
        <f t="shared" si="132"/>
        <v/>
      </c>
    </row>
    <row r="586" spans="1:32" s="7" customFormat="1" ht="32.15" customHeight="1" x14ac:dyDescent="0.35">
      <c r="A586" s="26"/>
      <c r="B586" s="27" t="s">
        <v>1659</v>
      </c>
      <c r="C586" s="280" t="s">
        <v>1660</v>
      </c>
      <c r="D586" s="281"/>
      <c r="E586" s="271" t="str">
        <f ca="1">IF(J586="","",CONCATENATE(DATEDIF(J586,NOW(),"Y")," Tahun ",DATEDIF(J586,NOW(),"YM")," bulan "))</f>
        <v/>
      </c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2"/>
      <c r="AD586" s="272"/>
      <c r="AE586" s="272"/>
      <c r="AF586" s="273"/>
    </row>
    <row r="587" spans="1:32" s="7" customFormat="1" ht="32.15" customHeight="1" x14ac:dyDescent="0.35">
      <c r="A587" s="26">
        <f>A585+1</f>
        <v>552</v>
      </c>
      <c r="B587" s="27" t="s">
        <v>1659</v>
      </c>
      <c r="C587" s="278" t="s">
        <v>1661</v>
      </c>
      <c r="D587" s="279"/>
      <c r="E587" s="24" t="s">
        <v>1662</v>
      </c>
      <c r="F587" s="24" t="s">
        <v>43</v>
      </c>
      <c r="G587" s="3" t="s">
        <v>1663</v>
      </c>
      <c r="H587" s="4" t="s">
        <v>291</v>
      </c>
      <c r="I587" s="41" t="s">
        <v>46</v>
      </c>
      <c r="J587" s="5" t="s">
        <v>68</v>
      </c>
      <c r="K587" s="3" t="str">
        <f t="shared" ca="1" si="128"/>
        <v xml:space="preserve">2 Tahun 3 bulan </v>
      </c>
      <c r="L587" s="30" t="s">
        <v>56</v>
      </c>
      <c r="M587" s="5" t="s">
        <v>680</v>
      </c>
      <c r="N587" s="3" t="str">
        <f t="shared" ca="1" si="125"/>
        <v xml:space="preserve">4 Tahun 9 bulan </v>
      </c>
      <c r="O587" s="4"/>
      <c r="P587" s="4"/>
      <c r="Q587" s="4" t="str">
        <f t="shared" si="129"/>
        <v>Laki-Laki</v>
      </c>
      <c r="R587" s="4">
        <f>R585</f>
        <v>1</v>
      </c>
      <c r="S587" s="4" t="str">
        <f>IF(E587="LOWONG","0","1")</f>
        <v>1</v>
      </c>
      <c r="T587" s="4">
        <f t="shared" si="126"/>
        <v>0</v>
      </c>
      <c r="U587" s="29"/>
      <c r="V587" s="30"/>
      <c r="W587" s="30"/>
      <c r="X587" s="30"/>
      <c r="Y587" s="30"/>
      <c r="Z587" s="30"/>
      <c r="AA587" s="30"/>
      <c r="AB587" s="29"/>
      <c r="AC587" s="29"/>
      <c r="AD587" s="37">
        <f t="shared" si="131"/>
        <v>26468</v>
      </c>
      <c r="AE587" s="3" t="str">
        <f t="shared" ca="1" si="130"/>
        <v>54 Tahun 2 bulan 14 Hari</v>
      </c>
      <c r="AF587" s="38">
        <f t="shared" si="132"/>
        <v>48396</v>
      </c>
    </row>
    <row r="588" spans="1:32" s="7" customFormat="1" ht="32.15" customHeight="1" x14ac:dyDescent="0.35">
      <c r="A588" s="26">
        <f t="shared" si="115"/>
        <v>553</v>
      </c>
      <c r="B588" s="27" t="s">
        <v>1659</v>
      </c>
      <c r="C588" s="62" t="s">
        <v>1664</v>
      </c>
      <c r="D588" s="63"/>
      <c r="E588" s="39" t="s">
        <v>1665</v>
      </c>
      <c r="F588" s="24" t="s">
        <v>43</v>
      </c>
      <c r="G588" s="40" t="s">
        <v>2845</v>
      </c>
      <c r="H588" s="4" t="s">
        <v>880</v>
      </c>
      <c r="I588" s="41" t="s">
        <v>759</v>
      </c>
      <c r="J588" s="5">
        <v>45993</v>
      </c>
      <c r="K588" s="3" t="str">
        <f t="shared" ca="1" si="128"/>
        <v xml:space="preserve">0 Tahun 8 bulan </v>
      </c>
      <c r="L588" s="30" t="s">
        <v>79</v>
      </c>
      <c r="M588" s="5"/>
      <c r="N588" s="3" t="str">
        <f t="shared" ca="1" si="125"/>
        <v/>
      </c>
      <c r="O588" s="25"/>
      <c r="P588" s="4"/>
      <c r="Q588" s="4" t="str">
        <f t="shared" si="129"/>
        <v>Laki-Laki</v>
      </c>
      <c r="R588" s="4">
        <f t="shared" si="119"/>
        <v>1</v>
      </c>
      <c r="S588" s="4" t="str">
        <f>IF(E588="LOWONG","0","1")</f>
        <v>1</v>
      </c>
      <c r="T588" s="4">
        <f t="shared" si="126"/>
        <v>0</v>
      </c>
      <c r="U588" s="29"/>
      <c r="V588" s="30" t="s">
        <v>50</v>
      </c>
      <c r="W588" s="30"/>
      <c r="X588" s="30"/>
      <c r="Y588" s="30"/>
      <c r="Z588" s="30"/>
      <c r="AA588" s="30"/>
      <c r="AB588" s="29"/>
      <c r="AC588" s="29"/>
      <c r="AD588" s="37">
        <f t="shared" si="131"/>
        <v>25535</v>
      </c>
      <c r="AE588" s="3" t="str">
        <f t="shared" ca="1" si="130"/>
        <v>56 Tahun 9 bulan 4 Hari</v>
      </c>
      <c r="AF588" s="38">
        <f t="shared" si="132"/>
        <v>47453</v>
      </c>
    </row>
    <row r="589" spans="1:32" s="7" customFormat="1" ht="32.15" customHeight="1" x14ac:dyDescent="0.35">
      <c r="A589" s="26">
        <f t="shared" si="115"/>
        <v>554</v>
      </c>
      <c r="B589" s="27" t="s">
        <v>1659</v>
      </c>
      <c r="C589" s="108"/>
      <c r="D589" s="67" t="s">
        <v>1666</v>
      </c>
      <c r="E589" s="39" t="s">
        <v>108</v>
      </c>
      <c r="F589" s="83"/>
      <c r="G589" s="29"/>
      <c r="H589" s="29"/>
      <c r="I589" s="29"/>
      <c r="J589" s="88"/>
      <c r="K589" s="3" t="str">
        <f t="shared" ca="1" si="128"/>
        <v/>
      </c>
      <c r="L589" s="30" t="s">
        <v>88</v>
      </c>
      <c r="M589" s="49"/>
      <c r="N589" s="3" t="str">
        <f t="shared" ca="1" si="125"/>
        <v/>
      </c>
      <c r="O589" s="4"/>
      <c r="P589" s="4"/>
      <c r="Q589" s="4" t="str">
        <f t="shared" si="129"/>
        <v/>
      </c>
      <c r="R589" s="4">
        <f t="shared" si="119"/>
        <v>1</v>
      </c>
      <c r="S589" s="4" t="str">
        <f>IF(E46="LOWONG","0","1")</f>
        <v>1</v>
      </c>
      <c r="T589" s="4">
        <f t="shared" si="126"/>
        <v>0</v>
      </c>
      <c r="U589" s="29"/>
      <c r="V589" s="30" t="s">
        <v>50</v>
      </c>
      <c r="W589" s="30"/>
      <c r="X589" s="30"/>
      <c r="Y589" s="30"/>
      <c r="Z589" s="30"/>
      <c r="AA589" s="30"/>
      <c r="AB589" s="29"/>
      <c r="AC589" s="29"/>
      <c r="AD589" s="37" t="str">
        <f t="shared" si="131"/>
        <v/>
      </c>
      <c r="AE589" s="3" t="str">
        <f t="shared" ca="1" si="130"/>
        <v/>
      </c>
      <c r="AF589" s="38" t="str">
        <f t="shared" si="132"/>
        <v/>
      </c>
    </row>
    <row r="590" spans="1:32" s="7" customFormat="1" ht="32.15" customHeight="1" x14ac:dyDescent="0.35">
      <c r="A590" s="26">
        <f t="shared" si="115"/>
        <v>555</v>
      </c>
      <c r="B590" s="27" t="s">
        <v>1659</v>
      </c>
      <c r="C590" s="108"/>
      <c r="D590" s="67" t="s">
        <v>1667</v>
      </c>
      <c r="E590" s="24" t="s">
        <v>1668</v>
      </c>
      <c r="F590" s="24" t="s">
        <v>43</v>
      </c>
      <c r="G590" s="4" t="s">
        <v>1669</v>
      </c>
      <c r="H590" s="4" t="s">
        <v>458</v>
      </c>
      <c r="I590" s="41" t="s">
        <v>55</v>
      </c>
      <c r="J590" s="5" t="s">
        <v>386</v>
      </c>
      <c r="K590" s="3" t="str">
        <f t="shared" ca="1" si="128"/>
        <v xml:space="preserve">5 Tahun 5 bulan </v>
      </c>
      <c r="L590" s="30" t="s">
        <v>200</v>
      </c>
      <c r="M590" s="5" t="s">
        <v>386</v>
      </c>
      <c r="N590" s="3" t="str">
        <f t="shared" ca="1" si="125"/>
        <v xml:space="preserve">5 Tahun 5 bulan </v>
      </c>
      <c r="O590" s="4"/>
      <c r="P590" s="4" t="s">
        <v>35</v>
      </c>
      <c r="Q590" s="4" t="str">
        <f t="shared" si="129"/>
        <v>Perempuan</v>
      </c>
      <c r="R590" s="4">
        <f t="shared" si="119"/>
        <v>1</v>
      </c>
      <c r="S590" s="4" t="str">
        <f t="shared" ref="S590:S599" si="133">IF(E590="LOWONG","0","1")</f>
        <v>1</v>
      </c>
      <c r="T590" s="4">
        <f t="shared" si="126"/>
        <v>0</v>
      </c>
      <c r="U590" s="29"/>
      <c r="V590" s="30"/>
      <c r="W590" s="30"/>
      <c r="X590" s="30"/>
      <c r="Y590" s="30"/>
      <c r="Z590" s="30"/>
      <c r="AA590" s="30"/>
      <c r="AB590" s="29"/>
      <c r="AC590" s="29"/>
      <c r="AD590" s="37">
        <f t="shared" si="131"/>
        <v>30013</v>
      </c>
      <c r="AE590" s="3" t="str">
        <f t="shared" ca="1" si="130"/>
        <v>44 Tahun 5 bulan 29 Hari</v>
      </c>
      <c r="AF590" s="38">
        <f t="shared" si="132"/>
        <v>51957</v>
      </c>
    </row>
    <row r="591" spans="1:32" s="7" customFormat="1" ht="35.25" customHeight="1" x14ac:dyDescent="0.35">
      <c r="A591" s="26">
        <f t="shared" si="115"/>
        <v>556</v>
      </c>
      <c r="B591" s="27" t="s">
        <v>1659</v>
      </c>
      <c r="C591" s="256" t="s">
        <v>1670</v>
      </c>
      <c r="D591" s="257"/>
      <c r="E591" s="45" t="s">
        <v>322</v>
      </c>
      <c r="F591" s="24" t="s">
        <v>43</v>
      </c>
      <c r="G591" s="44" t="s">
        <v>323</v>
      </c>
      <c r="H591" s="36" t="s">
        <v>303</v>
      </c>
      <c r="I591" s="36" t="s">
        <v>324</v>
      </c>
      <c r="J591" s="5">
        <v>46260</v>
      </c>
      <c r="K591" s="3" t="str">
        <f t="shared" ca="1" si="128"/>
        <v xml:space="preserve">0 Tahun 0 bulan </v>
      </c>
      <c r="L591" s="30" t="s">
        <v>346</v>
      </c>
      <c r="M591" s="5"/>
      <c r="N591" s="3" t="str">
        <f t="shared" ca="1" si="125"/>
        <v/>
      </c>
      <c r="O591" s="36" t="s">
        <v>1671</v>
      </c>
      <c r="P591" s="4" t="s">
        <v>35</v>
      </c>
      <c r="Q591" s="4" t="str">
        <f t="shared" si="129"/>
        <v>Laki-Laki</v>
      </c>
      <c r="R591" s="4">
        <f t="shared" si="119"/>
        <v>1</v>
      </c>
      <c r="S591" s="4" t="str">
        <f t="shared" si="133"/>
        <v>1</v>
      </c>
      <c r="T591" s="4">
        <f t="shared" si="126"/>
        <v>0</v>
      </c>
      <c r="U591" s="29"/>
      <c r="V591" s="30" t="s">
        <v>50</v>
      </c>
      <c r="W591" s="30"/>
      <c r="X591" s="30"/>
      <c r="Y591" s="30"/>
      <c r="Z591" s="30"/>
      <c r="AA591" s="30"/>
      <c r="AB591" s="29"/>
      <c r="AC591" s="29"/>
      <c r="AD591" s="37">
        <f t="shared" si="131"/>
        <v>30501</v>
      </c>
      <c r="AE591" s="3" t="str">
        <f t="shared" ca="1" si="130"/>
        <v>43 Tahun 1 bulan 28 Hari</v>
      </c>
      <c r="AF591" s="38">
        <f t="shared" si="132"/>
        <v>52444</v>
      </c>
    </row>
    <row r="592" spans="1:32" s="7" customFormat="1" ht="32.15" customHeight="1" x14ac:dyDescent="0.35">
      <c r="A592" s="26">
        <f t="shared" si="115"/>
        <v>557</v>
      </c>
      <c r="B592" s="27" t="s">
        <v>1659</v>
      </c>
      <c r="C592" s="108"/>
      <c r="D592" s="67" t="s">
        <v>1672</v>
      </c>
      <c r="E592" s="45" t="s">
        <v>1673</v>
      </c>
      <c r="F592" s="24" t="s">
        <v>43</v>
      </c>
      <c r="G592" s="44" t="s">
        <v>1674</v>
      </c>
      <c r="H592" s="4" t="s">
        <v>554</v>
      </c>
      <c r="I592" s="41" t="s">
        <v>55</v>
      </c>
      <c r="J592" s="5">
        <v>44561</v>
      </c>
      <c r="K592" s="3" t="str">
        <f t="shared" ca="1" si="128"/>
        <v xml:space="preserve">4 Tahun 8 bulan </v>
      </c>
      <c r="L592" s="30" t="s">
        <v>88</v>
      </c>
      <c r="M592" s="5">
        <v>44561</v>
      </c>
      <c r="N592" s="3" t="str">
        <f t="shared" ca="1" si="125"/>
        <v xml:space="preserve">4 Tahun 8 bulan </v>
      </c>
      <c r="O592" s="60"/>
      <c r="P592" s="4" t="s">
        <v>35</v>
      </c>
      <c r="Q592" s="4" t="str">
        <f t="shared" si="129"/>
        <v>Perempuan</v>
      </c>
      <c r="R592" s="4">
        <f t="shared" si="119"/>
        <v>1</v>
      </c>
      <c r="S592" s="4" t="str">
        <f t="shared" si="133"/>
        <v>1</v>
      </c>
      <c r="T592" s="4">
        <f t="shared" si="126"/>
        <v>0</v>
      </c>
      <c r="U592" s="29"/>
      <c r="V592" s="30" t="s">
        <v>50</v>
      </c>
      <c r="W592" s="30"/>
      <c r="X592" s="30"/>
      <c r="Y592" s="30"/>
      <c r="Z592" s="30"/>
      <c r="AA592" s="30"/>
      <c r="AB592" s="29"/>
      <c r="AC592" s="29"/>
      <c r="AD592" s="37">
        <f t="shared" si="131"/>
        <v>27941</v>
      </c>
      <c r="AE592" s="3" t="str">
        <f t="shared" ca="1" si="130"/>
        <v>50 Tahun 2 bulan 2 Hari</v>
      </c>
      <c r="AF592" s="38">
        <f t="shared" si="132"/>
        <v>49857</v>
      </c>
    </row>
    <row r="593" spans="1:33" ht="32.15" customHeight="1" x14ac:dyDescent="0.35">
      <c r="A593" s="26">
        <f t="shared" si="115"/>
        <v>558</v>
      </c>
      <c r="B593" s="27" t="s">
        <v>1659</v>
      </c>
      <c r="C593" s="26"/>
      <c r="D593" s="67" t="s">
        <v>1672</v>
      </c>
      <c r="E593" s="39" t="s">
        <v>1675</v>
      </c>
      <c r="F593" s="24" t="s">
        <v>43</v>
      </c>
      <c r="G593" s="25" t="s">
        <v>1676</v>
      </c>
      <c r="H593" s="4" t="s">
        <v>241</v>
      </c>
      <c r="I593" s="36" t="s">
        <v>184</v>
      </c>
      <c r="J593" s="5">
        <v>44561</v>
      </c>
      <c r="K593" s="3" t="str">
        <f t="shared" ca="1" si="128"/>
        <v xml:space="preserve">4 Tahun 8 bulan </v>
      </c>
      <c r="L593" s="30" t="s">
        <v>88</v>
      </c>
      <c r="M593" s="5">
        <v>44561</v>
      </c>
      <c r="N593" s="3" t="str">
        <f t="shared" ca="1" si="125"/>
        <v xml:space="preserve">4 Tahun 8 bulan </v>
      </c>
      <c r="O593" s="35"/>
      <c r="P593" s="4" t="s">
        <v>35</v>
      </c>
      <c r="Q593" s="4" t="str">
        <f t="shared" si="129"/>
        <v>Laki-Laki</v>
      </c>
      <c r="R593" s="4">
        <f t="shared" si="119"/>
        <v>1</v>
      </c>
      <c r="S593" s="4" t="str">
        <f t="shared" si="133"/>
        <v>1</v>
      </c>
      <c r="T593" s="4">
        <f t="shared" si="126"/>
        <v>0</v>
      </c>
      <c r="U593" s="29"/>
      <c r="V593" s="30" t="s">
        <v>50</v>
      </c>
      <c r="W593" s="30"/>
      <c r="X593" s="30"/>
      <c r="Y593" s="30"/>
      <c r="Z593" s="30"/>
      <c r="AA593" s="30"/>
      <c r="AB593" s="29"/>
      <c r="AC593" s="29"/>
      <c r="AD593" s="37">
        <f t="shared" si="131"/>
        <v>28951</v>
      </c>
      <c r="AE593" s="3" t="str">
        <f t="shared" ca="1" si="130"/>
        <v>47 Tahun 4 bulan 26 Hari</v>
      </c>
      <c r="AF593" s="38">
        <f t="shared" si="132"/>
        <v>50891</v>
      </c>
      <c r="AG593" s="7"/>
    </row>
    <row r="594" spans="1:33" ht="32.15" customHeight="1" x14ac:dyDescent="0.35">
      <c r="A594" s="26">
        <f t="shared" ref="A594:A634" si="134">A593+1</f>
        <v>559</v>
      </c>
      <c r="B594" s="27" t="s">
        <v>1659</v>
      </c>
      <c r="C594" s="256" t="s">
        <v>1677</v>
      </c>
      <c r="D594" s="257"/>
      <c r="E594" s="24" t="s">
        <v>1678</v>
      </c>
      <c r="F594" s="24" t="s">
        <v>43</v>
      </c>
      <c r="G594" s="3" t="s">
        <v>1679</v>
      </c>
      <c r="H594" s="4" t="s">
        <v>259</v>
      </c>
      <c r="I594" s="33" t="s">
        <v>55</v>
      </c>
      <c r="J594" s="5" t="s">
        <v>127</v>
      </c>
      <c r="K594" s="3" t="str">
        <f t="shared" ca="1" si="128"/>
        <v xml:space="preserve">5 Tahun 6 bulan </v>
      </c>
      <c r="L594" s="30" t="s">
        <v>346</v>
      </c>
      <c r="M594" s="5" t="s">
        <v>127</v>
      </c>
      <c r="N594" s="3" t="str">
        <f t="shared" ca="1" si="125"/>
        <v xml:space="preserve">5 Tahun 6 bulan </v>
      </c>
      <c r="O594" s="4"/>
      <c r="P594" s="4" t="s">
        <v>35</v>
      </c>
      <c r="Q594" s="4" t="str">
        <f t="shared" si="129"/>
        <v>Perempuan</v>
      </c>
      <c r="R594" s="4">
        <f t="shared" si="119"/>
        <v>1</v>
      </c>
      <c r="S594" s="4" t="str">
        <f t="shared" si="133"/>
        <v>1</v>
      </c>
      <c r="T594" s="4">
        <f t="shared" si="126"/>
        <v>0</v>
      </c>
      <c r="U594" s="29"/>
      <c r="V594" s="30"/>
      <c r="W594" s="30"/>
      <c r="X594" s="30"/>
      <c r="Y594" s="30"/>
      <c r="Z594" s="30"/>
      <c r="AA594" s="30"/>
      <c r="AB594" s="29"/>
      <c r="AC594" s="29"/>
      <c r="AD594" s="37">
        <f t="shared" si="131"/>
        <v>27371</v>
      </c>
      <c r="AE594" s="3" t="str">
        <f t="shared" ca="1" si="130"/>
        <v>51 Tahun 8 bulan 24 Hari</v>
      </c>
      <c r="AF594" s="38">
        <f t="shared" si="132"/>
        <v>49310</v>
      </c>
      <c r="AG594" s="7"/>
    </row>
    <row r="595" spans="1:33" ht="32.15" customHeight="1" x14ac:dyDescent="0.35">
      <c r="A595" s="26">
        <f t="shared" si="134"/>
        <v>560</v>
      </c>
      <c r="B595" s="27" t="s">
        <v>1659</v>
      </c>
      <c r="C595" s="26"/>
      <c r="D595" s="67" t="s">
        <v>1672</v>
      </c>
      <c r="E595" s="24" t="s">
        <v>1680</v>
      </c>
      <c r="F595" s="24" t="s">
        <v>43</v>
      </c>
      <c r="G595" s="4" t="s">
        <v>1681</v>
      </c>
      <c r="H595" s="4" t="s">
        <v>662</v>
      </c>
      <c r="I595" s="33" t="s">
        <v>55</v>
      </c>
      <c r="J595" s="5">
        <v>44561</v>
      </c>
      <c r="K595" s="3" t="str">
        <f t="shared" ca="1" si="128"/>
        <v xml:space="preserve">4 Tahun 8 bulan </v>
      </c>
      <c r="L595" s="30" t="s">
        <v>88</v>
      </c>
      <c r="M595" s="5">
        <v>44561</v>
      </c>
      <c r="N595" s="3" t="str">
        <f t="shared" ca="1" si="125"/>
        <v xml:space="preserve">4 Tahun 8 bulan </v>
      </c>
      <c r="O595" s="4"/>
      <c r="P595" s="4" t="s">
        <v>35</v>
      </c>
      <c r="Q595" s="4" t="str">
        <f t="shared" si="129"/>
        <v>Perempuan</v>
      </c>
      <c r="R595" s="4">
        <f t="shared" si="119"/>
        <v>1</v>
      </c>
      <c r="S595" s="4" t="str">
        <f t="shared" si="133"/>
        <v>1</v>
      </c>
      <c r="T595" s="4">
        <f t="shared" si="126"/>
        <v>0</v>
      </c>
      <c r="U595" s="29"/>
      <c r="V595" s="30"/>
      <c r="W595" s="30"/>
      <c r="X595" s="30"/>
      <c r="Y595" s="30"/>
      <c r="Z595" s="30"/>
      <c r="AA595" s="30"/>
      <c r="AB595" s="29"/>
      <c r="AC595" s="29"/>
      <c r="AD595" s="37">
        <f t="shared" si="131"/>
        <v>29798</v>
      </c>
      <c r="AE595" s="3" t="str">
        <f t="shared" ca="1" si="130"/>
        <v>45 Tahun 1 bulan 1 Hari</v>
      </c>
      <c r="AF595" s="38">
        <f t="shared" si="132"/>
        <v>51714</v>
      </c>
      <c r="AG595" s="7"/>
    </row>
    <row r="596" spans="1:33" ht="32.15" customHeight="1" x14ac:dyDescent="0.35">
      <c r="A596" s="26">
        <f t="shared" si="134"/>
        <v>561</v>
      </c>
      <c r="B596" s="27" t="s">
        <v>1659</v>
      </c>
      <c r="C596" s="26"/>
      <c r="D596" s="67" t="s">
        <v>1672</v>
      </c>
      <c r="E596" s="24" t="s">
        <v>1682</v>
      </c>
      <c r="F596" s="24" t="s">
        <v>43</v>
      </c>
      <c r="G596" s="4" t="s">
        <v>1683</v>
      </c>
      <c r="H596" s="4" t="s">
        <v>94</v>
      </c>
      <c r="I596" s="36" t="s">
        <v>61</v>
      </c>
      <c r="J596" s="5">
        <v>44561</v>
      </c>
      <c r="K596" s="3" t="str">
        <f t="shared" ca="1" si="128"/>
        <v xml:space="preserve">4 Tahun 8 bulan </v>
      </c>
      <c r="L596" s="30" t="s">
        <v>88</v>
      </c>
      <c r="M596" s="5">
        <v>44561</v>
      </c>
      <c r="N596" s="3" t="str">
        <f t="shared" ca="1" si="125"/>
        <v xml:space="preserve">4 Tahun 8 bulan </v>
      </c>
      <c r="O596" s="4"/>
      <c r="P596" s="4" t="s">
        <v>35</v>
      </c>
      <c r="Q596" s="4" t="str">
        <f t="shared" si="129"/>
        <v>Perempuan</v>
      </c>
      <c r="R596" s="4">
        <f t="shared" si="119"/>
        <v>1</v>
      </c>
      <c r="S596" s="4" t="str">
        <f t="shared" si="133"/>
        <v>1</v>
      </c>
      <c r="T596" s="4">
        <f t="shared" si="126"/>
        <v>0</v>
      </c>
      <c r="U596" s="29"/>
      <c r="V596" s="30"/>
      <c r="W596" s="30"/>
      <c r="X596" s="30"/>
      <c r="Y596" s="30"/>
      <c r="Z596" s="30"/>
      <c r="AA596" s="30"/>
      <c r="AB596" s="29"/>
      <c r="AC596" s="29"/>
      <c r="AD596" s="37">
        <f t="shared" si="131"/>
        <v>28341</v>
      </c>
      <c r="AE596" s="3" t="str">
        <f t="shared" ca="1" si="130"/>
        <v>49 Tahun 0 bulan 28 Hari</v>
      </c>
      <c r="AF596" s="38">
        <f t="shared" si="132"/>
        <v>50284</v>
      </c>
      <c r="AG596" s="7"/>
    </row>
    <row r="597" spans="1:33" ht="32.15" customHeight="1" x14ac:dyDescent="0.35">
      <c r="A597" s="26">
        <f t="shared" si="134"/>
        <v>562</v>
      </c>
      <c r="B597" s="27" t="s">
        <v>1659</v>
      </c>
      <c r="C597" s="256" t="s">
        <v>1684</v>
      </c>
      <c r="D597" s="257"/>
      <c r="E597" s="39" t="s">
        <v>1685</v>
      </c>
      <c r="F597" s="24" t="s">
        <v>43</v>
      </c>
      <c r="G597" s="25" t="s">
        <v>1686</v>
      </c>
      <c r="H597" s="25" t="s">
        <v>891</v>
      </c>
      <c r="I597" s="25" t="s">
        <v>46</v>
      </c>
      <c r="J597" s="5">
        <v>45916</v>
      </c>
      <c r="K597" s="3" t="str">
        <f t="shared" ca="1" si="128"/>
        <v xml:space="preserve">0 Tahun 11 bulan </v>
      </c>
      <c r="L597" s="30" t="s">
        <v>346</v>
      </c>
      <c r="M597" s="5">
        <v>45916</v>
      </c>
      <c r="N597" s="3" t="str">
        <f t="shared" ca="1" si="125"/>
        <v xml:space="preserve">0 Tahun 11 bulan </v>
      </c>
      <c r="O597" s="35"/>
      <c r="P597" s="4" t="s">
        <v>35</v>
      </c>
      <c r="Q597" s="4" t="s">
        <v>591</v>
      </c>
      <c r="R597" s="4">
        <f t="shared" si="119"/>
        <v>1</v>
      </c>
      <c r="S597" s="4" t="str">
        <f t="shared" si="133"/>
        <v>1</v>
      </c>
      <c r="T597" s="4">
        <f t="shared" si="126"/>
        <v>0</v>
      </c>
      <c r="U597" s="29"/>
      <c r="V597" s="30" t="s">
        <v>50</v>
      </c>
      <c r="W597" s="30"/>
      <c r="X597" s="30"/>
      <c r="Y597" s="30"/>
      <c r="Z597" s="30"/>
      <c r="AA597" s="30"/>
      <c r="AB597" s="29"/>
      <c r="AC597" s="29"/>
      <c r="AD597" s="37">
        <f t="shared" si="131"/>
        <v>28330</v>
      </c>
      <c r="AE597" s="3" t="str">
        <f t="shared" ca="1" si="130"/>
        <v>49 Tahun 1 bulan 8 Hari</v>
      </c>
      <c r="AF597" s="38">
        <f t="shared" si="132"/>
        <v>50253</v>
      </c>
      <c r="AG597" s="7"/>
    </row>
    <row r="598" spans="1:33" ht="32.15" customHeight="1" x14ac:dyDescent="0.35">
      <c r="A598" s="26">
        <f t="shared" si="134"/>
        <v>563</v>
      </c>
      <c r="B598" s="27" t="s">
        <v>1659</v>
      </c>
      <c r="C598" s="26"/>
      <c r="D598" s="67" t="s">
        <v>1672</v>
      </c>
      <c r="E598" s="24" t="s">
        <v>108</v>
      </c>
      <c r="F598" s="24"/>
      <c r="G598" s="39"/>
      <c r="H598" s="4"/>
      <c r="I598" s="33"/>
      <c r="J598" s="49"/>
      <c r="K598" s="3" t="str">
        <f t="shared" ca="1" si="128"/>
        <v/>
      </c>
      <c r="L598" s="30" t="s">
        <v>88</v>
      </c>
      <c r="M598" s="49"/>
      <c r="N598" s="3" t="str">
        <f t="shared" ca="1" si="125"/>
        <v/>
      </c>
      <c r="O598" s="4"/>
      <c r="P598" s="4"/>
      <c r="Q598" s="4"/>
      <c r="R598" s="4">
        <f t="shared" si="119"/>
        <v>1</v>
      </c>
      <c r="S598" s="4" t="str">
        <f t="shared" si="133"/>
        <v>0</v>
      </c>
      <c r="T598" s="4">
        <f t="shared" si="126"/>
        <v>1</v>
      </c>
      <c r="U598" s="29"/>
      <c r="V598" s="30"/>
      <c r="W598" s="30"/>
      <c r="X598" s="30"/>
      <c r="Y598" s="30"/>
      <c r="Z598" s="30"/>
      <c r="AA598" s="30"/>
      <c r="AB598" s="29"/>
      <c r="AC598" s="29"/>
      <c r="AD598" s="37" t="str">
        <f t="shared" si="131"/>
        <v/>
      </c>
      <c r="AE598" s="3" t="str">
        <f t="shared" ca="1" si="130"/>
        <v/>
      </c>
      <c r="AF598" s="38" t="str">
        <f t="shared" si="132"/>
        <v/>
      </c>
      <c r="AG598" s="7"/>
    </row>
    <row r="599" spans="1:33" ht="32.15" customHeight="1" x14ac:dyDescent="0.35">
      <c r="A599" s="26">
        <f t="shared" si="134"/>
        <v>564</v>
      </c>
      <c r="B599" s="27" t="s">
        <v>1659</v>
      </c>
      <c r="C599" s="26"/>
      <c r="D599" s="67" t="s">
        <v>1672</v>
      </c>
      <c r="E599" s="39" t="s">
        <v>108</v>
      </c>
      <c r="F599" s="24"/>
      <c r="G599" s="25"/>
      <c r="H599" s="4"/>
      <c r="I599" s="33"/>
      <c r="J599" s="5"/>
      <c r="K599" s="3" t="str">
        <f t="shared" ca="1" si="128"/>
        <v/>
      </c>
      <c r="L599" s="30" t="s">
        <v>88</v>
      </c>
      <c r="M599" s="5"/>
      <c r="N599" s="3" t="str">
        <f t="shared" ca="1" si="125"/>
        <v/>
      </c>
      <c r="O599" s="35"/>
      <c r="P599" s="4" t="s">
        <v>35</v>
      </c>
      <c r="Q599" s="4" t="str">
        <f t="shared" si="129"/>
        <v/>
      </c>
      <c r="R599" s="4">
        <f t="shared" si="119"/>
        <v>1</v>
      </c>
      <c r="S599" s="4" t="str">
        <f t="shared" si="133"/>
        <v>0</v>
      </c>
      <c r="T599" s="4">
        <f t="shared" si="126"/>
        <v>1</v>
      </c>
      <c r="U599" s="29"/>
      <c r="V599" s="30" t="s">
        <v>50</v>
      </c>
      <c r="W599" s="30"/>
      <c r="X599" s="30"/>
      <c r="Y599" s="30"/>
      <c r="Z599" s="30"/>
      <c r="AA599" s="30"/>
      <c r="AB599" s="29"/>
      <c r="AC599" s="29"/>
      <c r="AD599" s="37" t="str">
        <f t="shared" si="131"/>
        <v/>
      </c>
      <c r="AE599" s="3" t="str">
        <f t="shared" ca="1" si="130"/>
        <v/>
      </c>
      <c r="AF599" s="38" t="str">
        <f t="shared" si="132"/>
        <v/>
      </c>
    </row>
    <row r="600" spans="1:33" ht="32.15" customHeight="1" x14ac:dyDescent="0.35">
      <c r="A600" s="26"/>
      <c r="B600" s="27" t="s">
        <v>1687</v>
      </c>
      <c r="C600" s="280" t="s">
        <v>1688</v>
      </c>
      <c r="D600" s="281"/>
      <c r="E600" s="271" t="str">
        <f ca="1">IF(J600="","",CONCATENATE(DATEDIF(J600,NOW(),"Y")," Tahun ",DATEDIF(J600,NOW(),"YM")," bulan "))</f>
        <v/>
      </c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  <c r="AB600" s="272"/>
      <c r="AC600" s="272"/>
      <c r="AD600" s="272"/>
      <c r="AE600" s="272"/>
      <c r="AF600" s="273"/>
      <c r="AG600" s="7"/>
    </row>
    <row r="601" spans="1:33" ht="32.15" customHeight="1" x14ac:dyDescent="0.35">
      <c r="A601" s="26">
        <f>A599+1</f>
        <v>565</v>
      </c>
      <c r="B601" s="27" t="s">
        <v>1687</v>
      </c>
      <c r="C601" s="256" t="s">
        <v>1689</v>
      </c>
      <c r="D601" s="257"/>
      <c r="E601" s="71" t="s">
        <v>1690</v>
      </c>
      <c r="F601" s="24" t="s">
        <v>43</v>
      </c>
      <c r="G601" s="70" t="s">
        <v>1691</v>
      </c>
      <c r="H601" s="56" t="s">
        <v>154</v>
      </c>
      <c r="I601" s="25" t="s">
        <v>1692</v>
      </c>
      <c r="J601" s="72" t="s">
        <v>98</v>
      </c>
      <c r="K601" s="3" t="str">
        <f t="shared" ca="1" si="128"/>
        <v xml:space="preserve">3 Tahun 0 bulan </v>
      </c>
      <c r="L601" s="25" t="s">
        <v>79</v>
      </c>
      <c r="M601" s="72" t="s">
        <v>98</v>
      </c>
      <c r="N601" s="3" t="str">
        <f t="shared" ca="1" si="125"/>
        <v xml:space="preserve">3 Tahun 0 bulan </v>
      </c>
      <c r="O601" s="25"/>
      <c r="P601" s="4" t="s">
        <v>968</v>
      </c>
      <c r="Q601" s="4" t="str">
        <f t="shared" si="129"/>
        <v>Perempuan</v>
      </c>
      <c r="R601" s="4">
        <f>R599</f>
        <v>1</v>
      </c>
      <c r="S601" s="4" t="str">
        <f t="shared" ref="S601:S614" si="135">IF(E601="LOWONG","0","1")</f>
        <v>1</v>
      </c>
      <c r="T601" s="4">
        <f t="shared" si="126"/>
        <v>0</v>
      </c>
      <c r="U601" s="29"/>
      <c r="V601" s="30"/>
      <c r="W601" s="30"/>
      <c r="X601" s="30"/>
      <c r="Y601" s="30"/>
      <c r="Z601" s="30"/>
      <c r="AA601" s="30"/>
      <c r="AB601" s="29"/>
      <c r="AC601" s="29"/>
      <c r="AD601" s="37">
        <f t="shared" si="131"/>
        <v>29274</v>
      </c>
      <c r="AE601" s="3" t="str">
        <f t="shared" ca="1" si="130"/>
        <v>46 Tahun 6 bulan 9 Hari</v>
      </c>
      <c r="AF601" s="38">
        <f t="shared" si="132"/>
        <v>51196</v>
      </c>
      <c r="AG601" s="7"/>
    </row>
    <row r="602" spans="1:33" ht="32.15" customHeight="1" x14ac:dyDescent="0.35">
      <c r="A602" s="26">
        <f t="shared" si="134"/>
        <v>566</v>
      </c>
      <c r="B602" s="27" t="s">
        <v>1687</v>
      </c>
      <c r="C602" s="256" t="s">
        <v>1693</v>
      </c>
      <c r="D602" s="257"/>
      <c r="E602" s="24" t="s">
        <v>1694</v>
      </c>
      <c r="F602" s="24" t="s">
        <v>43</v>
      </c>
      <c r="G602" s="3" t="s">
        <v>1695</v>
      </c>
      <c r="H602" s="4" t="s">
        <v>345</v>
      </c>
      <c r="I602" s="4" t="s">
        <v>46</v>
      </c>
      <c r="J602" s="5" t="s">
        <v>98</v>
      </c>
      <c r="K602" s="3" t="str">
        <f t="shared" ca="1" si="128"/>
        <v xml:space="preserve">3 Tahun 0 bulan </v>
      </c>
      <c r="L602" s="36" t="s">
        <v>200</v>
      </c>
      <c r="M602" s="5" t="s">
        <v>98</v>
      </c>
      <c r="N602" s="3" t="str">
        <f t="shared" ca="1" si="125"/>
        <v xml:space="preserve">3 Tahun 0 bulan </v>
      </c>
      <c r="O602" s="4"/>
      <c r="P602" s="4" t="s">
        <v>35</v>
      </c>
      <c r="Q602" s="4" t="str">
        <f t="shared" si="129"/>
        <v>Laki-Laki</v>
      </c>
      <c r="R602" s="4">
        <f t="shared" ref="R602:R614" si="136">R601</f>
        <v>1</v>
      </c>
      <c r="S602" s="4" t="str">
        <f t="shared" si="135"/>
        <v>1</v>
      </c>
      <c r="T602" s="4">
        <f t="shared" si="126"/>
        <v>0</v>
      </c>
      <c r="U602" s="29"/>
      <c r="V602" s="30" t="s">
        <v>50</v>
      </c>
      <c r="W602" s="30"/>
      <c r="X602" s="30"/>
      <c r="Y602" s="30"/>
      <c r="Z602" s="30"/>
      <c r="AA602" s="30"/>
      <c r="AB602" s="29"/>
      <c r="AC602" s="29"/>
      <c r="AD602" s="37">
        <f t="shared" si="131"/>
        <v>28278</v>
      </c>
      <c r="AE602" s="3" t="str">
        <f t="shared" ca="1" si="130"/>
        <v>49 Tahun 2 bulan 30 Hari</v>
      </c>
      <c r="AF602" s="38">
        <f t="shared" si="132"/>
        <v>50222</v>
      </c>
      <c r="AG602" s="7"/>
    </row>
    <row r="603" spans="1:33" ht="36" customHeight="1" x14ac:dyDescent="0.35">
      <c r="A603" s="26">
        <f t="shared" si="134"/>
        <v>567</v>
      </c>
      <c r="B603" s="27" t="s">
        <v>1687</v>
      </c>
      <c r="C603" s="108"/>
      <c r="D603" s="67" t="s">
        <v>1696</v>
      </c>
      <c r="E603" s="24" t="s">
        <v>1699</v>
      </c>
      <c r="F603" s="24" t="s">
        <v>43</v>
      </c>
      <c r="G603" s="3" t="s">
        <v>1700</v>
      </c>
      <c r="H603" s="4" t="s">
        <v>106</v>
      </c>
      <c r="I603" s="4" t="s">
        <v>585</v>
      </c>
      <c r="J603" s="72" t="s">
        <v>386</v>
      </c>
      <c r="K603" s="3" t="str">
        <f t="shared" ca="1" si="128"/>
        <v xml:space="preserve">5 Tahun 5 bulan </v>
      </c>
      <c r="L603" s="4" t="s">
        <v>200</v>
      </c>
      <c r="M603" s="72" t="s">
        <v>386</v>
      </c>
      <c r="N603" s="3" t="str">
        <f t="shared" ca="1" si="125"/>
        <v xml:space="preserve">5 Tahun 5 bulan </v>
      </c>
      <c r="O603" s="4"/>
      <c r="P603" s="4" t="s">
        <v>35</v>
      </c>
      <c r="Q603" s="4" t="str">
        <f t="shared" si="129"/>
        <v>Perempuan</v>
      </c>
      <c r="R603" s="4">
        <f t="shared" si="136"/>
        <v>1</v>
      </c>
      <c r="S603" s="4" t="str">
        <f t="shared" si="135"/>
        <v>1</v>
      </c>
      <c r="T603" s="4">
        <f t="shared" si="126"/>
        <v>0</v>
      </c>
      <c r="U603" s="29"/>
      <c r="V603" s="30"/>
      <c r="W603" s="30"/>
      <c r="X603" s="30"/>
      <c r="Y603" s="30"/>
      <c r="Z603" s="30"/>
      <c r="AA603" s="30"/>
      <c r="AB603" s="29"/>
      <c r="AC603" s="29"/>
      <c r="AD603" s="37">
        <f t="shared" si="131"/>
        <v>28769</v>
      </c>
      <c r="AE603" s="3" t="str">
        <f t="shared" ca="1" si="130"/>
        <v>47 Tahun 10 bulan 26 Hari</v>
      </c>
      <c r="AF603" s="38">
        <f t="shared" si="132"/>
        <v>50710</v>
      </c>
      <c r="AG603" s="7"/>
    </row>
    <row r="604" spans="1:33" ht="32.15" customHeight="1" x14ac:dyDescent="0.35">
      <c r="A604" s="26">
        <f t="shared" si="134"/>
        <v>568</v>
      </c>
      <c r="B604" s="27" t="s">
        <v>1687</v>
      </c>
      <c r="C604" s="108"/>
      <c r="D604" s="67" t="s">
        <v>1698</v>
      </c>
      <c r="E604" s="24" t="s">
        <v>1706</v>
      </c>
      <c r="F604" s="24" t="s">
        <v>43</v>
      </c>
      <c r="G604" s="3" t="s">
        <v>1707</v>
      </c>
      <c r="H604" s="4" t="s">
        <v>1708</v>
      </c>
      <c r="I604" s="4" t="s">
        <v>564</v>
      </c>
      <c r="J604" s="109">
        <v>46260</v>
      </c>
      <c r="K604" s="3" t="str">
        <f t="shared" ca="1" si="128"/>
        <v xml:space="preserve">0 Tahun 0 bulan </v>
      </c>
      <c r="L604" s="4" t="s">
        <v>200</v>
      </c>
      <c r="M604" s="72" t="s">
        <v>338</v>
      </c>
      <c r="N604" s="3" t="str">
        <f t="shared" ca="1" si="125"/>
        <v xml:space="preserve">2 Tahun 11 bulan </v>
      </c>
      <c r="O604" s="4"/>
      <c r="P604" s="4" t="s">
        <v>35</v>
      </c>
      <c r="Q604" s="4" t="str">
        <f t="shared" si="129"/>
        <v>Perempuan</v>
      </c>
      <c r="R604" s="4">
        <f t="shared" si="136"/>
        <v>1</v>
      </c>
      <c r="S604" s="4" t="str">
        <f t="shared" si="135"/>
        <v>1</v>
      </c>
      <c r="T604" s="4">
        <f t="shared" si="126"/>
        <v>0</v>
      </c>
      <c r="U604" s="29"/>
      <c r="V604" s="30"/>
      <c r="W604" s="30"/>
      <c r="X604" s="30"/>
      <c r="Y604" s="30"/>
      <c r="Z604" s="30"/>
      <c r="AA604" s="30"/>
      <c r="AB604" s="29"/>
      <c r="AC604" s="29"/>
      <c r="AD604" s="37">
        <f t="shared" si="131"/>
        <v>30625</v>
      </c>
      <c r="AE604" s="3" t="str">
        <f t="shared" ca="1" si="130"/>
        <v>42 Tahun 9 bulan 27 Hari</v>
      </c>
      <c r="AF604" s="38">
        <f t="shared" si="132"/>
        <v>52566</v>
      </c>
      <c r="AG604" s="7"/>
    </row>
    <row r="605" spans="1:33" ht="32.15" customHeight="1" x14ac:dyDescent="0.35">
      <c r="A605" s="26">
        <f t="shared" si="134"/>
        <v>569</v>
      </c>
      <c r="B605" s="27" t="s">
        <v>1687</v>
      </c>
      <c r="C605" s="108"/>
      <c r="D605" s="67" t="s">
        <v>1701</v>
      </c>
      <c r="E605" s="24" t="s">
        <v>1702</v>
      </c>
      <c r="F605" s="24" t="s">
        <v>43</v>
      </c>
      <c r="G605" s="4" t="s">
        <v>1703</v>
      </c>
      <c r="H605" s="4" t="s">
        <v>154</v>
      </c>
      <c r="I605" s="4" t="s">
        <v>46</v>
      </c>
      <c r="J605" s="72" t="s">
        <v>338</v>
      </c>
      <c r="K605" s="3" t="str">
        <f t="shared" ca="1" si="128"/>
        <v xml:space="preserve">2 Tahun 11 bulan </v>
      </c>
      <c r="L605" s="30" t="s">
        <v>200</v>
      </c>
      <c r="M605" s="72" t="s">
        <v>338</v>
      </c>
      <c r="N605" s="3" t="str">
        <f t="shared" ca="1" si="125"/>
        <v xml:space="preserve">2 Tahun 11 bulan </v>
      </c>
      <c r="O605" s="4"/>
      <c r="P605" s="4" t="s">
        <v>35</v>
      </c>
      <c r="Q605" s="4" t="str">
        <f t="shared" si="129"/>
        <v>Perempuan</v>
      </c>
      <c r="R605" s="4">
        <f t="shared" si="136"/>
        <v>1</v>
      </c>
      <c r="S605" s="4" t="str">
        <f t="shared" si="135"/>
        <v>1</v>
      </c>
      <c r="T605" s="4">
        <f t="shared" si="126"/>
        <v>0</v>
      </c>
      <c r="U605" s="29"/>
      <c r="V605" s="30"/>
      <c r="W605" s="30"/>
      <c r="X605" s="30"/>
      <c r="Y605" s="30"/>
      <c r="Z605" s="30"/>
      <c r="AA605" s="30"/>
      <c r="AB605" s="29"/>
      <c r="AC605" s="29"/>
      <c r="AD605" s="37">
        <f t="shared" si="131"/>
        <v>26580</v>
      </c>
      <c r="AE605" s="3" t="str">
        <f t="shared" ca="1" si="130"/>
        <v>53 Tahun 10 bulan 24 Hari</v>
      </c>
      <c r="AF605" s="38">
        <f t="shared" si="132"/>
        <v>48519</v>
      </c>
      <c r="AG605" s="7"/>
    </row>
    <row r="606" spans="1:33" ht="32.15" customHeight="1" x14ac:dyDescent="0.35">
      <c r="A606" s="26">
        <f t="shared" si="134"/>
        <v>570</v>
      </c>
      <c r="B606" s="27" t="s">
        <v>1687</v>
      </c>
      <c r="C606" s="256" t="s">
        <v>1704</v>
      </c>
      <c r="D606" s="257"/>
      <c r="E606" s="24" t="s">
        <v>570</v>
      </c>
      <c r="F606" s="24" t="s">
        <v>43</v>
      </c>
      <c r="G606" s="3" t="s">
        <v>571</v>
      </c>
      <c r="H606" s="4" t="s">
        <v>563</v>
      </c>
      <c r="I606" s="4" t="s">
        <v>1961</v>
      </c>
      <c r="J606" s="109">
        <v>46087</v>
      </c>
      <c r="K606" s="3" t="str">
        <f t="shared" ca="1" si="128"/>
        <v xml:space="preserve">0 Tahun 5 bulan </v>
      </c>
      <c r="L606" s="30" t="s">
        <v>346</v>
      </c>
      <c r="M606" s="109">
        <v>43798</v>
      </c>
      <c r="N606" s="3" t="str">
        <f t="shared" ca="1" si="125"/>
        <v xml:space="preserve">6 Tahun 9 bulan </v>
      </c>
      <c r="O606" s="4" t="s">
        <v>155</v>
      </c>
      <c r="P606" s="4" t="s">
        <v>35</v>
      </c>
      <c r="Q606" s="4" t="str">
        <f t="shared" si="129"/>
        <v>Laki-Laki</v>
      </c>
      <c r="R606" s="4">
        <f t="shared" si="136"/>
        <v>1</v>
      </c>
      <c r="S606" s="4" t="str">
        <f t="shared" si="135"/>
        <v>1</v>
      </c>
      <c r="T606" s="4">
        <f t="shared" si="126"/>
        <v>0</v>
      </c>
      <c r="U606" s="29"/>
      <c r="V606" s="30" t="s">
        <v>50</v>
      </c>
      <c r="W606" s="30"/>
      <c r="X606" s="30"/>
      <c r="Y606" s="30"/>
      <c r="Z606" s="30"/>
      <c r="AA606" s="30"/>
      <c r="AB606" s="29"/>
      <c r="AC606" s="29"/>
      <c r="AD606" s="37">
        <f t="shared" si="131"/>
        <v>29814</v>
      </c>
      <c r="AE606" s="3" t="str">
        <f t="shared" ca="1" si="130"/>
        <v>45 Tahun 0 bulan 16 Hari</v>
      </c>
      <c r="AF606" s="38">
        <f t="shared" si="132"/>
        <v>51745</v>
      </c>
      <c r="AG606" s="7"/>
    </row>
    <row r="607" spans="1:33" ht="30" x14ac:dyDescent="0.35">
      <c r="A607" s="26">
        <f t="shared" si="134"/>
        <v>571</v>
      </c>
      <c r="B607" s="27" t="s">
        <v>1687</v>
      </c>
      <c r="C607" s="108"/>
      <c r="D607" s="67" t="s">
        <v>1705</v>
      </c>
      <c r="E607" s="45" t="s">
        <v>1281</v>
      </c>
      <c r="F607" s="24" t="s">
        <v>43</v>
      </c>
      <c r="G607" s="44" t="s">
        <v>1282</v>
      </c>
      <c r="H607" s="56" t="s">
        <v>85</v>
      </c>
      <c r="I607" s="36" t="s">
        <v>1283</v>
      </c>
      <c r="J607" s="53">
        <v>46260</v>
      </c>
      <c r="K607" s="3" t="str">
        <f t="shared" ca="1" si="128"/>
        <v xml:space="preserve">0 Tahun 0 bulan </v>
      </c>
      <c r="L607" s="4" t="s">
        <v>200</v>
      </c>
      <c r="M607" s="53">
        <v>46260</v>
      </c>
      <c r="N607" s="3" t="str">
        <f t="shared" ca="1" si="125"/>
        <v xml:space="preserve">0 Tahun 0 bulan </v>
      </c>
      <c r="O607" s="4"/>
      <c r="P607" s="4" t="s">
        <v>35</v>
      </c>
      <c r="Q607" s="4" t="str">
        <f t="shared" si="129"/>
        <v>Laki-Laki</v>
      </c>
      <c r="R607" s="4">
        <f t="shared" si="136"/>
        <v>1</v>
      </c>
      <c r="S607" s="4" t="str">
        <f t="shared" si="135"/>
        <v>1</v>
      </c>
      <c r="T607" s="4">
        <f t="shared" si="126"/>
        <v>0</v>
      </c>
      <c r="U607" s="29"/>
      <c r="V607" s="30"/>
      <c r="W607" s="30"/>
      <c r="X607" s="30"/>
      <c r="Y607" s="30"/>
      <c r="Z607" s="30"/>
      <c r="AA607" s="30"/>
      <c r="AB607" s="29"/>
      <c r="AC607" s="29"/>
      <c r="AD607" s="37">
        <f t="shared" si="131"/>
        <v>29068</v>
      </c>
      <c r="AE607" s="3" t="str">
        <f t="shared" ca="1" si="130"/>
        <v>47 Tahun 1 bulan 0 Hari</v>
      </c>
      <c r="AF607" s="38">
        <f t="shared" si="132"/>
        <v>51014</v>
      </c>
      <c r="AG607" s="7"/>
    </row>
    <row r="608" spans="1:33" ht="32.15" customHeight="1" x14ac:dyDescent="0.35">
      <c r="A608" s="26">
        <f t="shared" si="134"/>
        <v>572</v>
      </c>
      <c r="B608" s="27" t="s">
        <v>1687</v>
      </c>
      <c r="C608" s="108"/>
      <c r="D608" s="67" t="s">
        <v>1709</v>
      </c>
      <c r="E608" s="24" t="s">
        <v>1710</v>
      </c>
      <c r="F608" s="24" t="s">
        <v>43</v>
      </c>
      <c r="G608" s="3" t="s">
        <v>1711</v>
      </c>
      <c r="H608" s="4" t="s">
        <v>662</v>
      </c>
      <c r="I608" s="36" t="s">
        <v>86</v>
      </c>
      <c r="J608" s="72" t="s">
        <v>1697</v>
      </c>
      <c r="K608" s="3" t="str">
        <f t="shared" ca="1" si="128"/>
        <v xml:space="preserve">6 Tahun 0 bulan </v>
      </c>
      <c r="L608" s="4" t="s">
        <v>200</v>
      </c>
      <c r="M608" s="72" t="s">
        <v>1697</v>
      </c>
      <c r="N608" s="3" t="str">
        <f t="shared" ca="1" si="125"/>
        <v xml:space="preserve">6 Tahun 0 bulan </v>
      </c>
      <c r="O608" s="4"/>
      <c r="P608" s="4" t="s">
        <v>35</v>
      </c>
      <c r="Q608" s="4" t="str">
        <f t="shared" si="129"/>
        <v>Perempuan</v>
      </c>
      <c r="R608" s="4">
        <f t="shared" si="136"/>
        <v>1</v>
      </c>
      <c r="S608" s="4" t="str">
        <f t="shared" si="135"/>
        <v>1</v>
      </c>
      <c r="T608" s="4">
        <f t="shared" si="126"/>
        <v>0</v>
      </c>
      <c r="U608" s="29"/>
      <c r="V608" s="30"/>
      <c r="W608" s="30"/>
      <c r="X608" s="30"/>
      <c r="Y608" s="30"/>
      <c r="Z608" s="30"/>
      <c r="AA608" s="30"/>
      <c r="AB608" s="29"/>
      <c r="AC608" s="29"/>
      <c r="AD608" s="37">
        <f t="shared" si="131"/>
        <v>30369</v>
      </c>
      <c r="AE608" s="3" t="str">
        <f t="shared" ca="1" si="130"/>
        <v>43 Tahun 6 bulan 10 Hari</v>
      </c>
      <c r="AF608" s="38">
        <f t="shared" si="132"/>
        <v>52291</v>
      </c>
      <c r="AG608" s="7"/>
    </row>
    <row r="609" spans="1:33" ht="32.15" customHeight="1" x14ac:dyDescent="0.35">
      <c r="A609" s="26">
        <f t="shared" si="134"/>
        <v>573</v>
      </c>
      <c r="B609" s="27" t="s">
        <v>1687</v>
      </c>
      <c r="C609" s="256" t="s">
        <v>1712</v>
      </c>
      <c r="D609" s="257"/>
      <c r="E609" s="24" t="s">
        <v>556</v>
      </c>
      <c r="F609" s="24" t="s">
        <v>43</v>
      </c>
      <c r="G609" s="70" t="s">
        <v>557</v>
      </c>
      <c r="H609" s="4" t="s">
        <v>259</v>
      </c>
      <c r="I609" s="4" t="s">
        <v>86</v>
      </c>
      <c r="J609" s="109">
        <v>46260</v>
      </c>
      <c r="K609" s="3" t="str">
        <f t="shared" ca="1" si="128"/>
        <v xml:space="preserve">0 Tahun 0 bulan </v>
      </c>
      <c r="L609" s="30" t="s">
        <v>346</v>
      </c>
      <c r="M609" s="5"/>
      <c r="N609" s="3" t="str">
        <f t="shared" ca="1" si="125"/>
        <v/>
      </c>
      <c r="O609" s="4"/>
      <c r="P609" s="4" t="s">
        <v>35</v>
      </c>
      <c r="Q609" s="4" t="str">
        <f t="shared" si="129"/>
        <v>Laki-Laki</v>
      </c>
      <c r="R609" s="4">
        <f t="shared" si="136"/>
        <v>1</v>
      </c>
      <c r="S609" s="4" t="str">
        <f t="shared" si="135"/>
        <v>1</v>
      </c>
      <c r="T609" s="4">
        <f t="shared" si="126"/>
        <v>0</v>
      </c>
      <c r="U609" s="29"/>
      <c r="V609" s="30" t="s">
        <v>50</v>
      </c>
      <c r="W609" s="30"/>
      <c r="X609" s="30"/>
      <c r="Y609" s="30"/>
      <c r="Z609" s="30"/>
      <c r="AA609" s="30"/>
      <c r="AB609" s="29"/>
      <c r="AC609" s="29"/>
      <c r="AD609" s="37">
        <f t="shared" si="131"/>
        <v>26733</v>
      </c>
      <c r="AE609" s="3" t="str">
        <f t="shared" ca="1" si="130"/>
        <v>53 Tahun 5 bulan 22 Hari</v>
      </c>
      <c r="AF609" s="38">
        <f t="shared" si="132"/>
        <v>48670</v>
      </c>
      <c r="AG609" s="7"/>
    </row>
    <row r="610" spans="1:33" ht="36" customHeight="1" x14ac:dyDescent="0.35">
      <c r="A610" s="26">
        <f t="shared" si="134"/>
        <v>574</v>
      </c>
      <c r="B610" s="27" t="s">
        <v>1687</v>
      </c>
      <c r="C610" s="108"/>
      <c r="D610" s="67" t="s">
        <v>1717</v>
      </c>
      <c r="E610" s="71" t="s">
        <v>1718</v>
      </c>
      <c r="F610" s="24" t="s">
        <v>43</v>
      </c>
      <c r="G610" s="70" t="s">
        <v>1719</v>
      </c>
      <c r="H610" s="4" t="s">
        <v>788</v>
      </c>
      <c r="I610" s="4" t="s">
        <v>1716</v>
      </c>
      <c r="J610" s="72" t="s">
        <v>1697</v>
      </c>
      <c r="K610" s="3" t="str">
        <f t="shared" ca="1" si="128"/>
        <v xml:space="preserve">6 Tahun 0 bulan </v>
      </c>
      <c r="L610" s="4" t="s">
        <v>200</v>
      </c>
      <c r="M610" s="72" t="s">
        <v>1697</v>
      </c>
      <c r="N610" s="3" t="str">
        <f t="shared" ca="1" si="125"/>
        <v xml:space="preserve">6 Tahun 0 bulan </v>
      </c>
      <c r="O610" s="56"/>
      <c r="P610" s="4" t="s">
        <v>35</v>
      </c>
      <c r="Q610" s="4" t="str">
        <f t="shared" si="129"/>
        <v>Perempuan</v>
      </c>
      <c r="R610" s="4">
        <f t="shared" si="136"/>
        <v>1</v>
      </c>
      <c r="S610" s="4" t="str">
        <f t="shared" si="135"/>
        <v>1</v>
      </c>
      <c r="T610" s="4">
        <f t="shared" si="126"/>
        <v>0</v>
      </c>
      <c r="U610" s="29"/>
      <c r="V610" s="30"/>
      <c r="W610" s="30"/>
      <c r="X610" s="30"/>
      <c r="Y610" s="30"/>
      <c r="Z610" s="30"/>
      <c r="AA610" s="30"/>
      <c r="AB610" s="29"/>
      <c r="AC610" s="29"/>
      <c r="AD610" s="37">
        <f t="shared" si="131"/>
        <v>30886</v>
      </c>
      <c r="AE610" s="3" t="str">
        <f t="shared" ca="1" si="130"/>
        <v>42 Tahun 1 bulan 9 Hari</v>
      </c>
      <c r="AF610" s="38">
        <f t="shared" si="132"/>
        <v>52810</v>
      </c>
      <c r="AG610" s="7"/>
    </row>
    <row r="611" spans="1:33" ht="37.5" customHeight="1" x14ac:dyDescent="0.35">
      <c r="A611" s="26">
        <f t="shared" si="134"/>
        <v>575</v>
      </c>
      <c r="B611" s="27" t="s">
        <v>1687</v>
      </c>
      <c r="C611" s="108"/>
      <c r="D611" s="67" t="s">
        <v>1720</v>
      </c>
      <c r="E611" s="71" t="s">
        <v>1721</v>
      </c>
      <c r="F611" s="24" t="s">
        <v>43</v>
      </c>
      <c r="G611" s="70" t="s">
        <v>1722</v>
      </c>
      <c r="H611" s="4" t="s">
        <v>1723</v>
      </c>
      <c r="I611" s="4" t="s">
        <v>1724</v>
      </c>
      <c r="J611" s="72" t="s">
        <v>386</v>
      </c>
      <c r="K611" s="3" t="str">
        <f t="shared" ca="1" si="128"/>
        <v xml:space="preserve">5 Tahun 5 bulan </v>
      </c>
      <c r="L611" s="4" t="s">
        <v>200</v>
      </c>
      <c r="M611" s="72" t="s">
        <v>386</v>
      </c>
      <c r="N611" s="3" t="str">
        <f t="shared" ca="1" si="125"/>
        <v xml:space="preserve">5 Tahun 5 bulan </v>
      </c>
      <c r="O611" s="56"/>
      <c r="P611" s="4" t="s">
        <v>35</v>
      </c>
      <c r="Q611" s="4" t="str">
        <f t="shared" si="129"/>
        <v>Perempuan</v>
      </c>
      <c r="R611" s="4">
        <f t="shared" si="136"/>
        <v>1</v>
      </c>
      <c r="S611" s="4" t="str">
        <f t="shared" si="135"/>
        <v>1</v>
      </c>
      <c r="T611" s="4">
        <f t="shared" si="126"/>
        <v>0</v>
      </c>
      <c r="U611" s="29"/>
      <c r="V611" s="30"/>
      <c r="W611" s="30"/>
      <c r="X611" s="30"/>
      <c r="Y611" s="30"/>
      <c r="Z611" s="30"/>
      <c r="AA611" s="30"/>
      <c r="AB611" s="29"/>
      <c r="AC611" s="29"/>
      <c r="AD611" s="37">
        <f t="shared" si="131"/>
        <v>31020</v>
      </c>
      <c r="AE611" s="3" t="str">
        <f t="shared" ca="1" si="130"/>
        <v>41 Tahun 8 bulan 28 Hari</v>
      </c>
      <c r="AF611" s="38">
        <f t="shared" si="132"/>
        <v>52963</v>
      </c>
      <c r="AG611" s="7"/>
    </row>
    <row r="612" spans="1:33" ht="32.15" customHeight="1" x14ac:dyDescent="0.35">
      <c r="A612" s="26">
        <f t="shared" si="134"/>
        <v>576</v>
      </c>
      <c r="B612" s="27" t="s">
        <v>1687</v>
      </c>
      <c r="C612" s="256" t="s">
        <v>1725</v>
      </c>
      <c r="D612" s="257"/>
      <c r="E612" s="24" t="s">
        <v>1726</v>
      </c>
      <c r="F612" s="24" t="s">
        <v>43</v>
      </c>
      <c r="G612" s="3" t="s">
        <v>1727</v>
      </c>
      <c r="H612" s="4" t="s">
        <v>1728</v>
      </c>
      <c r="I612" s="36" t="s">
        <v>1729</v>
      </c>
      <c r="J612" s="110">
        <v>45916</v>
      </c>
      <c r="K612" s="3" t="str">
        <f t="shared" ca="1" si="128"/>
        <v xml:space="preserve">0 Tahun 11 bulan </v>
      </c>
      <c r="L612" s="30" t="s">
        <v>346</v>
      </c>
      <c r="M612" s="110">
        <v>45916</v>
      </c>
      <c r="N612" s="3" t="str">
        <f t="shared" ca="1" si="125"/>
        <v xml:space="preserve">0 Tahun 11 bulan </v>
      </c>
      <c r="O612" s="4"/>
      <c r="P612" s="4" t="s">
        <v>35</v>
      </c>
      <c r="Q612" s="4" t="str">
        <f t="shared" si="129"/>
        <v>Laki-Laki</v>
      </c>
      <c r="R612" s="4">
        <f t="shared" si="136"/>
        <v>1</v>
      </c>
      <c r="S612" s="4" t="str">
        <f t="shared" si="135"/>
        <v>1</v>
      </c>
      <c r="T612" s="4">
        <f t="shared" si="126"/>
        <v>0</v>
      </c>
      <c r="U612" s="29"/>
      <c r="V612" s="30" t="s">
        <v>50</v>
      </c>
      <c r="W612" s="30"/>
      <c r="X612" s="30"/>
      <c r="Y612" s="30"/>
      <c r="Z612" s="30"/>
      <c r="AA612" s="30"/>
      <c r="AB612" s="29"/>
      <c r="AC612" s="29"/>
      <c r="AD612" s="37">
        <f t="shared" si="131"/>
        <v>33093</v>
      </c>
      <c r="AE612" s="3" t="str">
        <f t="shared" ca="1" si="130"/>
        <v>36 Tahun 0 bulan 24 Hari</v>
      </c>
      <c r="AF612" s="38">
        <f t="shared" si="132"/>
        <v>55032</v>
      </c>
      <c r="AG612" s="7"/>
    </row>
    <row r="613" spans="1:33" ht="32.15" customHeight="1" x14ac:dyDescent="0.35">
      <c r="A613" s="26">
        <f t="shared" si="134"/>
        <v>577</v>
      </c>
      <c r="B613" s="27" t="s">
        <v>1687</v>
      </c>
      <c r="C613" s="26"/>
      <c r="D613" s="67" t="s">
        <v>1730</v>
      </c>
      <c r="E613" s="24" t="s">
        <v>1731</v>
      </c>
      <c r="F613" s="24" t="s">
        <v>43</v>
      </c>
      <c r="G613" s="3" t="s">
        <v>1732</v>
      </c>
      <c r="H613" s="4" t="s">
        <v>1733</v>
      </c>
      <c r="I613" s="4" t="s">
        <v>1734</v>
      </c>
      <c r="J613" s="47" t="s">
        <v>1032</v>
      </c>
      <c r="K613" s="3" t="str">
        <f t="shared" ca="1" si="128"/>
        <v xml:space="preserve">4 Tahun 5 bulan </v>
      </c>
      <c r="L613" s="4" t="s">
        <v>200</v>
      </c>
      <c r="M613" s="47" t="s">
        <v>1032</v>
      </c>
      <c r="N613" s="3" t="str">
        <f t="shared" ca="1" si="125"/>
        <v xml:space="preserve">4 Tahun 5 bulan </v>
      </c>
      <c r="O613" s="4"/>
      <c r="P613" s="4" t="s">
        <v>35</v>
      </c>
      <c r="Q613" s="4" t="str">
        <f t="shared" si="129"/>
        <v>Perempuan</v>
      </c>
      <c r="R613" s="4">
        <f t="shared" si="136"/>
        <v>1</v>
      </c>
      <c r="S613" s="4" t="str">
        <f t="shared" si="135"/>
        <v>1</v>
      </c>
      <c r="T613" s="4">
        <f t="shared" si="126"/>
        <v>0</v>
      </c>
      <c r="U613" s="29"/>
      <c r="V613" s="30"/>
      <c r="W613" s="30"/>
      <c r="X613" s="30"/>
      <c r="Y613" s="30"/>
      <c r="Z613" s="30"/>
      <c r="AA613" s="30"/>
      <c r="AB613" s="29"/>
      <c r="AC613" s="29"/>
      <c r="AD613" s="37">
        <f t="shared" si="131"/>
        <v>30172</v>
      </c>
      <c r="AE613" s="3" t="str">
        <f t="shared" ca="1" si="130"/>
        <v>44 Tahun 0 bulan 23 Hari</v>
      </c>
      <c r="AF613" s="38">
        <f t="shared" si="132"/>
        <v>52110</v>
      </c>
      <c r="AG613" s="7"/>
    </row>
    <row r="614" spans="1:33" ht="32.15" customHeight="1" x14ac:dyDescent="0.35">
      <c r="A614" s="26">
        <f t="shared" si="134"/>
        <v>578</v>
      </c>
      <c r="B614" s="27" t="s">
        <v>1687</v>
      </c>
      <c r="C614" s="26"/>
      <c r="D614" s="67" t="s">
        <v>1735</v>
      </c>
      <c r="E614" s="24" t="s">
        <v>1713</v>
      </c>
      <c r="F614" s="24" t="s">
        <v>43</v>
      </c>
      <c r="G614" s="3" t="s">
        <v>1714</v>
      </c>
      <c r="H614" s="4" t="s">
        <v>1715</v>
      </c>
      <c r="I614" s="4" t="s">
        <v>1736</v>
      </c>
      <c r="J614" s="72" t="s">
        <v>338</v>
      </c>
      <c r="K614" s="3" t="str">
        <f t="shared" ca="1" si="128"/>
        <v xml:space="preserve">2 Tahun 11 bulan </v>
      </c>
      <c r="L614" s="4" t="s">
        <v>200</v>
      </c>
      <c r="M614" s="72" t="s">
        <v>338</v>
      </c>
      <c r="N614" s="3" t="str">
        <f t="shared" ca="1" si="125"/>
        <v xml:space="preserve">2 Tahun 11 bulan </v>
      </c>
      <c r="O614" s="4"/>
      <c r="P614" s="4" t="s">
        <v>35</v>
      </c>
      <c r="Q614" s="4" t="str">
        <f t="shared" si="129"/>
        <v>Perempuan</v>
      </c>
      <c r="R614" s="4">
        <f t="shared" si="136"/>
        <v>1</v>
      </c>
      <c r="S614" s="4" t="str">
        <f t="shared" si="135"/>
        <v>1</v>
      </c>
      <c r="T614" s="4">
        <f t="shared" si="126"/>
        <v>0</v>
      </c>
      <c r="U614" s="29"/>
      <c r="V614" s="30"/>
      <c r="W614" s="30"/>
      <c r="X614" s="30"/>
      <c r="Y614" s="30"/>
      <c r="Z614" s="30"/>
      <c r="AA614" s="30"/>
      <c r="AB614" s="29"/>
      <c r="AC614" s="29"/>
      <c r="AD614" s="37">
        <f t="shared" si="131"/>
        <v>28121</v>
      </c>
      <c r="AE614" s="3" t="str">
        <f t="shared" ca="1" si="130"/>
        <v>49 Tahun 8 bulan 5 Hari</v>
      </c>
      <c r="AF614" s="38">
        <f t="shared" si="132"/>
        <v>50041</v>
      </c>
      <c r="AG614" s="7"/>
    </row>
    <row r="615" spans="1:33" ht="27" customHeight="1" x14ac:dyDescent="0.35">
      <c r="A615" s="26"/>
      <c r="B615" s="27" t="s">
        <v>1737</v>
      </c>
      <c r="C615" s="280" t="s">
        <v>1738</v>
      </c>
      <c r="D615" s="281"/>
      <c r="E615" s="271" t="str">
        <f ca="1">IF(J615="","",CONCATENATE(DATEDIF(J615,NOW(),"Y")," Tahun ",DATEDIF(J615,NOW(),"YM")," bulan "))</f>
        <v/>
      </c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3"/>
      <c r="AG615" s="7"/>
    </row>
    <row r="616" spans="1:33" ht="32.15" customHeight="1" x14ac:dyDescent="0.35">
      <c r="A616" s="26">
        <f>A614+1</f>
        <v>579</v>
      </c>
      <c r="B616" s="27" t="s">
        <v>1737</v>
      </c>
      <c r="C616" s="282" t="s">
        <v>1739</v>
      </c>
      <c r="D616" s="283"/>
      <c r="E616" s="45" t="s">
        <v>2025</v>
      </c>
      <c r="F616" s="24" t="s">
        <v>43</v>
      </c>
      <c r="G616" s="44" t="s">
        <v>2853</v>
      </c>
      <c r="H616" s="4" t="s">
        <v>159</v>
      </c>
      <c r="I616" s="36" t="s">
        <v>759</v>
      </c>
      <c r="J616" s="53">
        <v>46260</v>
      </c>
      <c r="K616" s="3" t="str">
        <f t="shared" ca="1" si="128"/>
        <v xml:space="preserve">0 Tahun 0 bulan </v>
      </c>
      <c r="L616" s="36" t="s">
        <v>79</v>
      </c>
      <c r="M616" s="47" t="s">
        <v>369</v>
      </c>
      <c r="N616" s="3" t="str">
        <f t="shared" ca="1" si="125"/>
        <v xml:space="preserve">3 Tahun 11 bulan </v>
      </c>
      <c r="O616" s="36"/>
      <c r="P616" s="4" t="s">
        <v>35</v>
      </c>
      <c r="Q616" s="4" t="str">
        <f t="shared" si="129"/>
        <v>Laki-Laki</v>
      </c>
      <c r="R616" s="4">
        <f>R614</f>
        <v>1</v>
      </c>
      <c r="S616" s="4" t="str">
        <f t="shared" ref="S616:S624" si="137">IF(E616="LOWONG","0","1")</f>
        <v>1</v>
      </c>
      <c r="T616" s="4">
        <f t="shared" si="126"/>
        <v>0</v>
      </c>
      <c r="U616" s="29"/>
      <c r="V616" s="30" t="s">
        <v>50</v>
      </c>
      <c r="W616" s="30"/>
      <c r="X616" s="30"/>
      <c r="Y616" s="30"/>
      <c r="Z616" s="30"/>
      <c r="AA616" s="30"/>
      <c r="AB616" s="29"/>
      <c r="AC616" s="29"/>
      <c r="AD616" s="37">
        <f t="shared" si="131"/>
        <v>29399</v>
      </c>
      <c r="AE616" s="3" t="str">
        <f t="shared" ca="1" si="130"/>
        <v>46 Tahun 2 bulan 5 Hari</v>
      </c>
      <c r="AF616" s="38">
        <f t="shared" si="132"/>
        <v>51318</v>
      </c>
      <c r="AG616" s="7"/>
    </row>
    <row r="617" spans="1:33" ht="32.15" customHeight="1" x14ac:dyDescent="0.35">
      <c r="A617" s="26">
        <f t="shared" si="134"/>
        <v>580</v>
      </c>
      <c r="B617" s="27" t="s">
        <v>1737</v>
      </c>
      <c r="C617" s="282" t="s">
        <v>1742</v>
      </c>
      <c r="D617" s="283"/>
      <c r="E617" s="45" t="s">
        <v>2256</v>
      </c>
      <c r="F617" s="24" t="s">
        <v>43</v>
      </c>
      <c r="G617" s="44" t="s">
        <v>2257</v>
      </c>
      <c r="H617" s="4" t="s">
        <v>379</v>
      </c>
      <c r="I617" s="36" t="s">
        <v>86</v>
      </c>
      <c r="J617" s="53">
        <v>46260</v>
      </c>
      <c r="K617" s="3" t="str">
        <f t="shared" ca="1" si="128"/>
        <v xml:space="preserve">0 Tahun 0 bulan </v>
      </c>
      <c r="L617" s="36" t="s">
        <v>346</v>
      </c>
      <c r="M617" s="47" t="s">
        <v>338</v>
      </c>
      <c r="N617" s="3" t="str">
        <f t="shared" ca="1" si="125"/>
        <v xml:space="preserve">2 Tahun 11 bulan </v>
      </c>
      <c r="O617" s="36"/>
      <c r="P617" s="4" t="s">
        <v>35</v>
      </c>
      <c r="Q617" s="4" t="str">
        <f t="shared" si="129"/>
        <v>Laki-Laki</v>
      </c>
      <c r="R617" s="4">
        <f t="shared" ref="R617:R680" si="138">R616</f>
        <v>1</v>
      </c>
      <c r="S617" s="4" t="str">
        <f t="shared" si="137"/>
        <v>1</v>
      </c>
      <c r="T617" s="4">
        <f t="shared" si="126"/>
        <v>0</v>
      </c>
      <c r="U617" s="29"/>
      <c r="V617" s="30" t="s">
        <v>50</v>
      </c>
      <c r="W617" s="30"/>
      <c r="X617" s="30"/>
      <c r="Y617" s="30"/>
      <c r="Z617" s="30"/>
      <c r="AA617" s="30"/>
      <c r="AB617" s="29"/>
      <c r="AC617" s="29"/>
      <c r="AD617" s="37">
        <f t="shared" si="131"/>
        <v>26345</v>
      </c>
      <c r="AE617" s="3" t="str">
        <f t="shared" ca="1" si="130"/>
        <v>54 Tahun 6 bulan 16 Hari</v>
      </c>
      <c r="AF617" s="38">
        <f t="shared" si="132"/>
        <v>48274</v>
      </c>
      <c r="AG617" s="7"/>
    </row>
    <row r="618" spans="1:33" ht="32.15" customHeight="1" x14ac:dyDescent="0.35">
      <c r="A618" s="26">
        <f t="shared" si="134"/>
        <v>581</v>
      </c>
      <c r="B618" s="27" t="s">
        <v>1737</v>
      </c>
      <c r="C618" s="26"/>
      <c r="D618" s="111" t="s">
        <v>1745</v>
      </c>
      <c r="E618" s="45" t="s">
        <v>1746</v>
      </c>
      <c r="F618" s="24" t="s">
        <v>43</v>
      </c>
      <c r="G618" s="36" t="s">
        <v>1747</v>
      </c>
      <c r="H618" s="36" t="s">
        <v>414</v>
      </c>
      <c r="I618" s="36" t="s">
        <v>184</v>
      </c>
      <c r="J618" s="47" t="s">
        <v>1748</v>
      </c>
      <c r="K618" s="3" t="str">
        <f t="shared" ca="1" si="128"/>
        <v xml:space="preserve">9 Tahun 7 bulan </v>
      </c>
      <c r="L618" s="36" t="s">
        <v>1749</v>
      </c>
      <c r="M618" s="47" t="s">
        <v>1748</v>
      </c>
      <c r="N618" s="3" t="str">
        <f t="shared" ca="1" si="125"/>
        <v xml:space="preserve">9 Tahun 7 bulan </v>
      </c>
      <c r="O618" s="36"/>
      <c r="P618" s="4" t="s">
        <v>35</v>
      </c>
      <c r="Q618" s="4" t="str">
        <f t="shared" si="129"/>
        <v>Laki-Laki</v>
      </c>
      <c r="R618" s="4">
        <f t="shared" si="138"/>
        <v>1</v>
      </c>
      <c r="S618" s="4" t="str">
        <f t="shared" si="137"/>
        <v>1</v>
      </c>
      <c r="T618" s="4">
        <f t="shared" si="126"/>
        <v>0</v>
      </c>
      <c r="U618" s="29"/>
      <c r="V618" s="30" t="s">
        <v>50</v>
      </c>
      <c r="W618" s="30"/>
      <c r="X618" s="30"/>
      <c r="Y618" s="30"/>
      <c r="Z618" s="30"/>
      <c r="AA618" s="30"/>
      <c r="AB618" s="29"/>
      <c r="AC618" s="29"/>
      <c r="AD618" s="37">
        <f t="shared" si="131"/>
        <v>28532</v>
      </c>
      <c r="AE618" s="3" t="str">
        <f t="shared" ca="1" si="130"/>
        <v>48 Tahun 6 bulan 21 Hari</v>
      </c>
      <c r="AF618" s="38">
        <f t="shared" si="132"/>
        <v>50465</v>
      </c>
      <c r="AG618" s="7"/>
    </row>
    <row r="619" spans="1:33" ht="32.15" customHeight="1" x14ac:dyDescent="0.35">
      <c r="A619" s="26">
        <f t="shared" si="134"/>
        <v>582</v>
      </c>
      <c r="B619" s="27" t="s">
        <v>1737</v>
      </c>
      <c r="C619" s="26"/>
      <c r="D619" s="111" t="s">
        <v>1750</v>
      </c>
      <c r="E619" s="45" t="s">
        <v>1751</v>
      </c>
      <c r="F619" s="24" t="s">
        <v>43</v>
      </c>
      <c r="G619" s="36" t="s">
        <v>1752</v>
      </c>
      <c r="H619" s="36" t="s">
        <v>1753</v>
      </c>
      <c r="I619" s="36" t="s">
        <v>184</v>
      </c>
      <c r="J619" s="47" t="s">
        <v>1754</v>
      </c>
      <c r="K619" s="3" t="str">
        <f t="shared" ca="1" si="128"/>
        <v xml:space="preserve">4 Tahun 10 bulan </v>
      </c>
      <c r="L619" s="36" t="s">
        <v>1749</v>
      </c>
      <c r="M619" s="47" t="s">
        <v>1754</v>
      </c>
      <c r="N619" s="3" t="str">
        <f t="shared" ca="1" si="125"/>
        <v xml:space="preserve">4 Tahun 10 bulan </v>
      </c>
      <c r="O619" s="25"/>
      <c r="P619" s="4" t="s">
        <v>35</v>
      </c>
      <c r="Q619" s="4" t="str">
        <f t="shared" si="129"/>
        <v>Laki-Laki</v>
      </c>
      <c r="R619" s="4">
        <f t="shared" si="138"/>
        <v>1</v>
      </c>
      <c r="S619" s="4" t="str">
        <f t="shared" si="137"/>
        <v>1</v>
      </c>
      <c r="T619" s="4">
        <f t="shared" si="126"/>
        <v>0</v>
      </c>
      <c r="U619" s="29"/>
      <c r="V619" s="30" t="s">
        <v>50</v>
      </c>
      <c r="W619" s="30"/>
      <c r="X619" s="30"/>
      <c r="Y619" s="30"/>
      <c r="Z619" s="30"/>
      <c r="AA619" s="30"/>
      <c r="AB619" s="29"/>
      <c r="AC619" s="29"/>
      <c r="AD619" s="37">
        <f t="shared" si="131"/>
        <v>26041</v>
      </c>
      <c r="AE619" s="3" t="str">
        <f t="shared" ca="1" si="130"/>
        <v>55 Tahun 4 bulan 14 Hari</v>
      </c>
      <c r="AF619" s="38">
        <f t="shared" si="132"/>
        <v>47969</v>
      </c>
      <c r="AG619" s="7"/>
    </row>
    <row r="620" spans="1:33" ht="32.15" customHeight="1" x14ac:dyDescent="0.35">
      <c r="A620" s="26">
        <f t="shared" si="134"/>
        <v>583</v>
      </c>
      <c r="B620" s="27" t="s">
        <v>1737</v>
      </c>
      <c r="C620" s="26"/>
      <c r="D620" s="60" t="s">
        <v>1755</v>
      </c>
      <c r="E620" s="45" t="s">
        <v>1756</v>
      </c>
      <c r="F620" s="24" t="s">
        <v>43</v>
      </c>
      <c r="G620" s="36" t="s">
        <v>1757</v>
      </c>
      <c r="H620" s="36" t="s">
        <v>241</v>
      </c>
      <c r="I620" s="36" t="s">
        <v>184</v>
      </c>
      <c r="J620" s="47" t="s">
        <v>292</v>
      </c>
      <c r="K620" s="3" t="str">
        <f t="shared" ca="1" si="128"/>
        <v xml:space="preserve">7 Tahun 7 bulan </v>
      </c>
      <c r="L620" s="36" t="s">
        <v>200</v>
      </c>
      <c r="M620" s="47" t="s">
        <v>292</v>
      </c>
      <c r="N620" s="3" t="str">
        <f t="shared" ca="1" si="125"/>
        <v xml:space="preserve">7 Tahun 7 bulan </v>
      </c>
      <c r="O620" s="36"/>
      <c r="P620" s="4" t="s">
        <v>35</v>
      </c>
      <c r="Q620" s="4" t="str">
        <f t="shared" si="129"/>
        <v>Laki-Laki</v>
      </c>
      <c r="R620" s="4">
        <f t="shared" si="138"/>
        <v>1</v>
      </c>
      <c r="S620" s="4" t="str">
        <f t="shared" si="137"/>
        <v>1</v>
      </c>
      <c r="T620" s="4">
        <f t="shared" si="126"/>
        <v>0</v>
      </c>
      <c r="U620" s="29"/>
      <c r="V620" s="30" t="s">
        <v>50</v>
      </c>
      <c r="W620" s="30"/>
      <c r="X620" s="30"/>
      <c r="Y620" s="30"/>
      <c r="Z620" s="30"/>
      <c r="AA620" s="30"/>
      <c r="AB620" s="29"/>
      <c r="AC620" s="29"/>
      <c r="AD620" s="37">
        <f t="shared" si="131"/>
        <v>28827</v>
      </c>
      <c r="AE620" s="3" t="str">
        <f t="shared" ca="1" si="130"/>
        <v>47 Tahun 8 bulan 29 Hari</v>
      </c>
      <c r="AF620" s="38">
        <f t="shared" si="132"/>
        <v>50771</v>
      </c>
      <c r="AG620" s="7"/>
    </row>
    <row r="621" spans="1:33" ht="32.15" customHeight="1" x14ac:dyDescent="0.35">
      <c r="A621" s="26">
        <f t="shared" si="134"/>
        <v>584</v>
      </c>
      <c r="B621" s="27" t="s">
        <v>1737</v>
      </c>
      <c r="C621" s="319"/>
      <c r="D621" s="320" t="s">
        <v>1758</v>
      </c>
      <c r="E621" s="45" t="s">
        <v>1759</v>
      </c>
      <c r="F621" s="24" t="s">
        <v>43</v>
      </c>
      <c r="G621" s="36" t="s">
        <v>1760</v>
      </c>
      <c r="H621" s="36" t="s">
        <v>1761</v>
      </c>
      <c r="I621" s="36" t="s">
        <v>184</v>
      </c>
      <c r="J621" s="65" t="s">
        <v>1754</v>
      </c>
      <c r="K621" s="3" t="str">
        <f t="shared" ca="1" si="128"/>
        <v xml:space="preserve">4 Tahun 10 bulan </v>
      </c>
      <c r="L621" s="36" t="s">
        <v>200</v>
      </c>
      <c r="M621" s="65" t="s">
        <v>1754</v>
      </c>
      <c r="N621" s="3" t="str">
        <f t="shared" ca="1" si="125"/>
        <v xml:space="preserve">4 Tahun 10 bulan </v>
      </c>
      <c r="O621" s="25"/>
      <c r="P621" s="29" t="s">
        <v>35</v>
      </c>
      <c r="Q621" s="4" t="str">
        <f t="shared" si="129"/>
        <v>Laki-Laki</v>
      </c>
      <c r="R621" s="4">
        <f t="shared" si="138"/>
        <v>1</v>
      </c>
      <c r="S621" s="4" t="str">
        <f t="shared" si="137"/>
        <v>1</v>
      </c>
      <c r="T621" s="4">
        <f t="shared" si="126"/>
        <v>0</v>
      </c>
      <c r="U621" s="29"/>
      <c r="V621" s="30" t="s">
        <v>50</v>
      </c>
      <c r="W621" s="30"/>
      <c r="X621" s="30"/>
      <c r="Y621" s="30"/>
      <c r="Z621" s="30"/>
      <c r="AA621" s="30"/>
      <c r="AB621" s="29"/>
      <c r="AC621" s="29"/>
      <c r="AD621" s="37">
        <f t="shared" si="131"/>
        <v>25190</v>
      </c>
      <c r="AE621" s="3" t="str">
        <f t="shared" ca="1" si="130"/>
        <v>57 Tahun 8 bulan 14 Hari</v>
      </c>
      <c r="AF621" s="38">
        <f t="shared" si="132"/>
        <v>47119</v>
      </c>
      <c r="AG621" s="222" t="s">
        <v>3146</v>
      </c>
    </row>
    <row r="622" spans="1:33" ht="32.15" customHeight="1" x14ac:dyDescent="0.35">
      <c r="A622" s="26">
        <f t="shared" si="134"/>
        <v>585</v>
      </c>
      <c r="B622" s="27" t="s">
        <v>1737</v>
      </c>
      <c r="C622" s="26"/>
      <c r="D622" s="60" t="s">
        <v>1762</v>
      </c>
      <c r="E622" s="24" t="s">
        <v>1763</v>
      </c>
      <c r="F622" s="24" t="s">
        <v>43</v>
      </c>
      <c r="G622" s="4" t="s">
        <v>1764</v>
      </c>
      <c r="H622" s="36" t="s">
        <v>241</v>
      </c>
      <c r="I622" s="4" t="s">
        <v>1765</v>
      </c>
      <c r="J622" s="47" t="s">
        <v>1766</v>
      </c>
      <c r="K622" s="3" t="str">
        <f t="shared" ca="1" si="128"/>
        <v xml:space="preserve">9 Tahun 0 bulan </v>
      </c>
      <c r="L622" s="36" t="s">
        <v>200</v>
      </c>
      <c r="M622" s="47" t="s">
        <v>1766</v>
      </c>
      <c r="N622" s="3" t="str">
        <f t="shared" ca="1" si="125"/>
        <v xml:space="preserve">9 Tahun 0 bulan </v>
      </c>
      <c r="O622" s="36"/>
      <c r="P622" s="4" t="s">
        <v>35</v>
      </c>
      <c r="Q622" s="4" t="str">
        <f t="shared" si="129"/>
        <v>Laki-Laki</v>
      </c>
      <c r="R622" s="4">
        <f t="shared" si="138"/>
        <v>1</v>
      </c>
      <c r="S622" s="4" t="str">
        <f t="shared" si="137"/>
        <v>1</v>
      </c>
      <c r="T622" s="4">
        <f t="shared" si="126"/>
        <v>0</v>
      </c>
      <c r="U622" s="29"/>
      <c r="V622" s="30" t="s">
        <v>50</v>
      </c>
      <c r="W622" s="30"/>
      <c r="X622" s="30"/>
      <c r="Y622" s="30"/>
      <c r="Z622" s="30"/>
      <c r="AA622" s="30"/>
      <c r="AB622" s="29"/>
      <c r="AC622" s="29"/>
      <c r="AD622" s="37">
        <f t="shared" si="131"/>
        <v>27469</v>
      </c>
      <c r="AE622" s="3" t="str">
        <f t="shared" ca="1" si="130"/>
        <v>51 Tahun 5 bulan 16 Hari</v>
      </c>
      <c r="AF622" s="38">
        <f t="shared" si="132"/>
        <v>49400</v>
      </c>
      <c r="AG622" s="7"/>
    </row>
    <row r="623" spans="1:33" ht="32.15" customHeight="1" x14ac:dyDescent="0.35">
      <c r="A623" s="26">
        <f t="shared" si="134"/>
        <v>586</v>
      </c>
      <c r="B623" s="27" t="s">
        <v>1737</v>
      </c>
      <c r="C623" s="26"/>
      <c r="D623" s="60" t="s">
        <v>1767</v>
      </c>
      <c r="E623" s="45" t="s">
        <v>1768</v>
      </c>
      <c r="F623" s="24" t="s">
        <v>43</v>
      </c>
      <c r="G623" s="36" t="s">
        <v>1769</v>
      </c>
      <c r="H623" s="36" t="s">
        <v>85</v>
      </c>
      <c r="I623" s="36" t="s">
        <v>86</v>
      </c>
      <c r="J623" s="47" t="s">
        <v>1754</v>
      </c>
      <c r="K623" s="3" t="str">
        <f t="shared" ca="1" si="128"/>
        <v xml:space="preserve">4 Tahun 10 bulan </v>
      </c>
      <c r="L623" s="36" t="s">
        <v>200</v>
      </c>
      <c r="M623" s="47" t="s">
        <v>1754</v>
      </c>
      <c r="N623" s="3" t="str">
        <f t="shared" ref="N623:N686" ca="1" si="139">IF(M623="","",CONCATENATE(DATEDIF(M623,NOW(),"Y")," Tahun ",DATEDIF(M623,NOW(),"YM")," bulan "))</f>
        <v xml:space="preserve">4 Tahun 10 bulan </v>
      </c>
      <c r="O623" s="36"/>
      <c r="P623" s="4" t="s">
        <v>35</v>
      </c>
      <c r="Q623" s="4" t="str">
        <f t="shared" si="129"/>
        <v/>
      </c>
      <c r="R623" s="4">
        <f t="shared" si="138"/>
        <v>1</v>
      </c>
      <c r="S623" s="4" t="str">
        <f t="shared" si="137"/>
        <v>1</v>
      </c>
      <c r="T623" s="4">
        <f t="shared" si="126"/>
        <v>0</v>
      </c>
      <c r="U623" s="29"/>
      <c r="V623" s="30" t="s">
        <v>50</v>
      </c>
      <c r="W623" s="30"/>
      <c r="X623" s="30"/>
      <c r="Y623" s="30"/>
      <c r="Z623" s="30"/>
      <c r="AA623" s="30"/>
      <c r="AB623" s="29"/>
      <c r="AC623" s="29"/>
      <c r="AD623" s="37">
        <f t="shared" si="131"/>
        <v>29774</v>
      </c>
      <c r="AE623" s="3" t="str">
        <f t="shared" ca="1" si="130"/>
        <v>45 Tahun 1 bulan 25 Hari</v>
      </c>
      <c r="AF623" s="38">
        <f t="shared" si="132"/>
        <v>51714</v>
      </c>
      <c r="AG623" s="7"/>
    </row>
    <row r="624" spans="1:33" ht="32.15" customHeight="1" x14ac:dyDescent="0.35">
      <c r="A624" s="26">
        <f t="shared" si="134"/>
        <v>587</v>
      </c>
      <c r="B624" s="27" t="s">
        <v>1737</v>
      </c>
      <c r="C624" s="26"/>
      <c r="D624" s="60" t="s">
        <v>1770</v>
      </c>
      <c r="E624" s="24" t="s">
        <v>1771</v>
      </c>
      <c r="F624" s="24" t="s">
        <v>43</v>
      </c>
      <c r="G624" s="36" t="s">
        <v>1772</v>
      </c>
      <c r="H624" s="36" t="s">
        <v>414</v>
      </c>
      <c r="I624" s="36" t="s">
        <v>184</v>
      </c>
      <c r="J624" s="47" t="s">
        <v>354</v>
      </c>
      <c r="K624" s="3" t="str">
        <f t="shared" ca="1" si="128"/>
        <v xml:space="preserve">6 Tahun 9 bulan </v>
      </c>
      <c r="L624" s="36" t="s">
        <v>200</v>
      </c>
      <c r="M624" s="47" t="s">
        <v>354</v>
      </c>
      <c r="N624" s="3" t="str">
        <f t="shared" ca="1" si="139"/>
        <v xml:space="preserve">6 Tahun 9 bulan </v>
      </c>
      <c r="O624" s="36"/>
      <c r="P624" s="4" t="s">
        <v>35</v>
      </c>
      <c r="Q624" s="4" t="str">
        <f t="shared" si="129"/>
        <v>Perempuan</v>
      </c>
      <c r="R624" s="4">
        <f t="shared" si="138"/>
        <v>1</v>
      </c>
      <c r="S624" s="4" t="str">
        <f t="shared" si="137"/>
        <v>1</v>
      </c>
      <c r="T624" s="4">
        <f t="shared" si="126"/>
        <v>0</v>
      </c>
      <c r="U624" s="29"/>
      <c r="V624" s="30"/>
      <c r="W624" s="30"/>
      <c r="X624" s="30"/>
      <c r="Y624" s="30"/>
      <c r="Z624" s="30"/>
      <c r="AA624" s="30"/>
      <c r="AB624" s="29"/>
      <c r="AC624" s="29"/>
      <c r="AD624" s="37">
        <f t="shared" si="131"/>
        <v>26531</v>
      </c>
      <c r="AE624" s="3" t="str">
        <f t="shared" ca="1" si="130"/>
        <v>54 Tahun 0 bulan 12 Hari</v>
      </c>
      <c r="AF624" s="38">
        <f t="shared" si="132"/>
        <v>48458</v>
      </c>
      <c r="AG624" s="7"/>
    </row>
    <row r="625" spans="1:33" ht="32.15" customHeight="1" x14ac:dyDescent="0.35">
      <c r="A625" s="26"/>
      <c r="B625" s="32" t="s">
        <v>1773</v>
      </c>
      <c r="C625" s="280" t="s">
        <v>1774</v>
      </c>
      <c r="D625" s="281"/>
      <c r="E625" s="271" t="str">
        <f ca="1">IF(J625="","",CONCATENATE(DATEDIF(J625,NOW(),"Y")," Tahun ",DATEDIF(J625,NOW(),"YM")," bulan "))</f>
        <v/>
      </c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  <c r="AB625" s="272"/>
      <c r="AC625" s="272"/>
      <c r="AD625" s="272"/>
      <c r="AE625" s="272"/>
      <c r="AF625" s="273"/>
      <c r="AG625" s="7"/>
    </row>
    <row r="626" spans="1:33" ht="32.15" customHeight="1" x14ac:dyDescent="0.35">
      <c r="A626" s="26">
        <f>A624+1</f>
        <v>588</v>
      </c>
      <c r="B626" s="32" t="s">
        <v>1773</v>
      </c>
      <c r="C626" s="282" t="s">
        <v>1775</v>
      </c>
      <c r="D626" s="283"/>
      <c r="E626" s="24" t="s">
        <v>1776</v>
      </c>
      <c r="F626" s="24" t="s">
        <v>43</v>
      </c>
      <c r="G626" s="3" t="s">
        <v>1777</v>
      </c>
      <c r="H626" s="3" t="s">
        <v>1778</v>
      </c>
      <c r="I626" s="3" t="s">
        <v>1556</v>
      </c>
      <c r="J626" s="90">
        <v>45916</v>
      </c>
      <c r="K626" s="3" t="str">
        <f t="shared" ca="1" si="128"/>
        <v xml:space="preserve">0 Tahun 11 bulan </v>
      </c>
      <c r="L626" s="36" t="s">
        <v>79</v>
      </c>
      <c r="M626" s="53">
        <v>45916</v>
      </c>
      <c r="N626" s="3" t="str">
        <f t="shared" ca="1" si="139"/>
        <v xml:space="preserve">0 Tahun 11 bulan </v>
      </c>
      <c r="O626" s="36"/>
      <c r="P626" s="4" t="s">
        <v>35</v>
      </c>
      <c r="Q626" s="4" t="str">
        <f t="shared" si="129"/>
        <v>Laki-Laki</v>
      </c>
      <c r="R626" s="4">
        <f>R624</f>
        <v>1</v>
      </c>
      <c r="S626" s="4" t="str">
        <f t="shared" ref="S626:S634" si="140">IF(E626="LOWONG","0","1")</f>
        <v>1</v>
      </c>
      <c r="T626" s="4">
        <f t="shared" si="126"/>
        <v>0</v>
      </c>
      <c r="U626" s="29"/>
      <c r="V626" s="30" t="s">
        <v>50</v>
      </c>
      <c r="W626" s="30"/>
      <c r="X626" s="30"/>
      <c r="Y626" s="30"/>
      <c r="Z626" s="30"/>
      <c r="AA626" s="30"/>
      <c r="AB626" s="29"/>
      <c r="AC626" s="29"/>
      <c r="AD626" s="37">
        <f t="shared" si="131"/>
        <v>30545</v>
      </c>
      <c r="AE626" s="3" t="str">
        <f t="shared" ca="1" si="130"/>
        <v>43 Tahun 0 bulan 15 Hari</v>
      </c>
      <c r="AF626" s="38">
        <f t="shared" si="132"/>
        <v>52475</v>
      </c>
      <c r="AG626" s="7"/>
    </row>
    <row r="627" spans="1:33" ht="32.15" customHeight="1" x14ac:dyDescent="0.35">
      <c r="A627" s="26">
        <f t="shared" si="134"/>
        <v>589</v>
      </c>
      <c r="B627" s="32" t="s">
        <v>1773</v>
      </c>
      <c r="C627" s="282" t="s">
        <v>3059</v>
      </c>
      <c r="D627" s="283"/>
      <c r="E627" s="45" t="s">
        <v>1861</v>
      </c>
      <c r="F627" s="24" t="s">
        <v>43</v>
      </c>
      <c r="G627" s="44" t="s">
        <v>1862</v>
      </c>
      <c r="H627" s="4" t="s">
        <v>385</v>
      </c>
      <c r="I627" s="48" t="s">
        <v>86</v>
      </c>
      <c r="J627" s="53">
        <v>46260</v>
      </c>
      <c r="K627" s="3" t="str">
        <f t="shared" ca="1" si="128"/>
        <v xml:space="preserve">0 Tahun 0 bulan </v>
      </c>
      <c r="L627" s="4" t="s">
        <v>346</v>
      </c>
      <c r="M627" s="47" t="s">
        <v>275</v>
      </c>
      <c r="N627" s="3" t="str">
        <f t="shared" ca="1" si="139"/>
        <v xml:space="preserve">5 Tahun 10 bulan </v>
      </c>
      <c r="O627" s="4"/>
      <c r="P627" s="4" t="s">
        <v>35</v>
      </c>
      <c r="Q627" s="4" t="str">
        <f t="shared" si="129"/>
        <v>Laki-Laki</v>
      </c>
      <c r="R627" s="4">
        <f t="shared" si="138"/>
        <v>1</v>
      </c>
      <c r="S627" s="4" t="str">
        <f t="shared" si="140"/>
        <v>1</v>
      </c>
      <c r="T627" s="4">
        <f t="shared" si="126"/>
        <v>0</v>
      </c>
      <c r="U627" s="29"/>
      <c r="V627" s="30" t="s">
        <v>50</v>
      </c>
      <c r="W627" s="30"/>
      <c r="X627" s="30"/>
      <c r="Y627" s="30"/>
      <c r="Z627" s="30"/>
      <c r="AA627" s="30"/>
      <c r="AB627" s="29"/>
      <c r="AC627" s="29"/>
      <c r="AD627" s="37">
        <f t="shared" si="131"/>
        <v>25392</v>
      </c>
      <c r="AE627" s="3" t="str">
        <f t="shared" ca="1" si="130"/>
        <v>57 Tahun 1 bulan 24 Hari</v>
      </c>
      <c r="AF627" s="38">
        <f t="shared" si="132"/>
        <v>47331</v>
      </c>
      <c r="AG627" s="7"/>
    </row>
    <row r="628" spans="1:33" ht="32.15" customHeight="1" x14ac:dyDescent="0.35">
      <c r="A628" s="26">
        <f t="shared" si="134"/>
        <v>590</v>
      </c>
      <c r="B628" s="32" t="s">
        <v>1773</v>
      </c>
      <c r="C628" s="26"/>
      <c r="D628" s="111" t="s">
        <v>1779</v>
      </c>
      <c r="E628" s="45" t="s">
        <v>1780</v>
      </c>
      <c r="F628" s="24" t="s">
        <v>43</v>
      </c>
      <c r="G628" s="44" t="s">
        <v>1781</v>
      </c>
      <c r="H628" s="4" t="s">
        <v>91</v>
      </c>
      <c r="I628" s="48" t="s">
        <v>1782</v>
      </c>
      <c r="J628" s="65" t="s">
        <v>386</v>
      </c>
      <c r="K628" s="3" t="str">
        <f t="shared" ca="1" si="128"/>
        <v xml:space="preserve">5 Tahun 5 bulan </v>
      </c>
      <c r="L628" s="36" t="s">
        <v>1749</v>
      </c>
      <c r="M628" s="65" t="s">
        <v>386</v>
      </c>
      <c r="N628" s="3" t="str">
        <f t="shared" ca="1" si="139"/>
        <v xml:space="preserve">5 Tahun 5 bulan </v>
      </c>
      <c r="O628" s="36"/>
      <c r="P628" s="4" t="s">
        <v>35</v>
      </c>
      <c r="Q628" s="4" t="str">
        <f t="shared" si="129"/>
        <v>Laki-Laki</v>
      </c>
      <c r="R628" s="4">
        <f t="shared" si="138"/>
        <v>1</v>
      </c>
      <c r="S628" s="4" t="str">
        <f t="shared" si="140"/>
        <v>1</v>
      </c>
      <c r="T628" s="4">
        <f t="shared" si="126"/>
        <v>0</v>
      </c>
      <c r="U628" s="29"/>
      <c r="V628" s="30" t="s">
        <v>50</v>
      </c>
      <c r="W628" s="30"/>
      <c r="X628" s="30"/>
      <c r="Y628" s="30"/>
      <c r="Z628" s="30"/>
      <c r="AA628" s="30"/>
      <c r="AB628" s="29"/>
      <c r="AC628" s="29"/>
      <c r="AD628" s="37">
        <f t="shared" si="131"/>
        <v>26409</v>
      </c>
      <c r="AE628" s="3" t="str">
        <f t="shared" ca="1" si="130"/>
        <v>54 Tahun 4 bulan 12 Hari</v>
      </c>
      <c r="AF628" s="38">
        <f t="shared" si="132"/>
        <v>48335</v>
      </c>
      <c r="AG628" s="7"/>
    </row>
    <row r="629" spans="1:33" ht="32.15" customHeight="1" x14ac:dyDescent="0.35">
      <c r="A629" s="26">
        <f t="shared" si="134"/>
        <v>591</v>
      </c>
      <c r="B629" s="32" t="s">
        <v>1773</v>
      </c>
      <c r="C629" s="26"/>
      <c r="D629" s="111" t="s">
        <v>1783</v>
      </c>
      <c r="E629" s="45" t="s">
        <v>1784</v>
      </c>
      <c r="F629" s="24" t="s">
        <v>43</v>
      </c>
      <c r="G629" s="44" t="s">
        <v>1785</v>
      </c>
      <c r="H629" s="4" t="s">
        <v>870</v>
      </c>
      <c r="I629" s="48" t="s">
        <v>251</v>
      </c>
      <c r="J629" s="65" t="s">
        <v>1032</v>
      </c>
      <c r="K629" s="3" t="str">
        <f t="shared" ca="1" si="128"/>
        <v xml:space="preserve">4 Tahun 5 bulan </v>
      </c>
      <c r="L629" s="36" t="s">
        <v>1749</v>
      </c>
      <c r="M629" s="65" t="s">
        <v>1032</v>
      </c>
      <c r="N629" s="3" t="str">
        <f t="shared" ca="1" si="139"/>
        <v xml:space="preserve">4 Tahun 5 bulan </v>
      </c>
      <c r="O629" s="36"/>
      <c r="P629" s="4" t="s">
        <v>35</v>
      </c>
      <c r="Q629" s="4" t="str">
        <f t="shared" si="129"/>
        <v>Perempuan</v>
      </c>
      <c r="R629" s="4">
        <f t="shared" si="138"/>
        <v>1</v>
      </c>
      <c r="S629" s="4" t="str">
        <f t="shared" si="140"/>
        <v>1</v>
      </c>
      <c r="T629" s="4">
        <f t="shared" si="126"/>
        <v>0</v>
      </c>
      <c r="U629" s="29"/>
      <c r="V629" s="30"/>
      <c r="W629" s="30"/>
      <c r="X629" s="30"/>
      <c r="Y629" s="30"/>
      <c r="Z629" s="30"/>
      <c r="AA629" s="30"/>
      <c r="AB629" s="29"/>
      <c r="AC629" s="29"/>
      <c r="AD629" s="37">
        <f t="shared" si="131"/>
        <v>27976</v>
      </c>
      <c r="AE629" s="3" t="str">
        <f t="shared" ca="1" si="130"/>
        <v>50 Tahun 0 bulan 28 Hari</v>
      </c>
      <c r="AF629" s="38">
        <f t="shared" si="132"/>
        <v>49919</v>
      </c>
      <c r="AG629" s="7"/>
    </row>
    <row r="630" spans="1:33" ht="32.15" customHeight="1" x14ac:dyDescent="0.35">
      <c r="A630" s="26">
        <f t="shared" si="134"/>
        <v>592</v>
      </c>
      <c r="B630" s="32" t="s">
        <v>1773</v>
      </c>
      <c r="C630" s="26"/>
      <c r="D630" s="60" t="s">
        <v>1786</v>
      </c>
      <c r="E630" s="45" t="s">
        <v>2329</v>
      </c>
      <c r="F630" s="24" t="s">
        <v>43</v>
      </c>
      <c r="G630" s="44" t="s">
        <v>2978</v>
      </c>
      <c r="H630" s="4" t="s">
        <v>159</v>
      </c>
      <c r="I630" s="36" t="s">
        <v>1397</v>
      </c>
      <c r="J630" s="105">
        <v>46087</v>
      </c>
      <c r="K630" s="3" t="str">
        <f t="shared" ca="1" si="128"/>
        <v xml:space="preserve">0 Tahun 5 bulan </v>
      </c>
      <c r="L630" s="36" t="s">
        <v>200</v>
      </c>
      <c r="M630" s="105">
        <v>46087</v>
      </c>
      <c r="N630" s="3" t="str">
        <f t="shared" ca="1" si="139"/>
        <v xml:space="preserve">0 Tahun 5 bulan </v>
      </c>
      <c r="O630" s="36"/>
      <c r="P630" s="4" t="s">
        <v>35</v>
      </c>
      <c r="Q630" s="4" t="str">
        <f t="shared" si="129"/>
        <v>Laki-Laki</v>
      </c>
      <c r="R630" s="4">
        <f t="shared" si="138"/>
        <v>1</v>
      </c>
      <c r="S630" s="4" t="str">
        <f t="shared" si="140"/>
        <v>1</v>
      </c>
      <c r="T630" s="4">
        <f t="shared" si="126"/>
        <v>0</v>
      </c>
      <c r="U630" s="29"/>
      <c r="V630" s="30" t="s">
        <v>50</v>
      </c>
      <c r="W630" s="30"/>
      <c r="X630" s="30"/>
      <c r="Y630" s="30"/>
      <c r="Z630" s="30"/>
      <c r="AA630" s="30"/>
      <c r="AB630" s="29"/>
      <c r="AC630" s="29"/>
      <c r="AD630" s="37">
        <f t="shared" si="131"/>
        <v>27650</v>
      </c>
      <c r="AE630" s="3" t="str">
        <f t="shared" ca="1" si="130"/>
        <v>50 Tahun 11 bulan 19 Hari</v>
      </c>
      <c r="AF630" s="38">
        <f t="shared" si="132"/>
        <v>49583</v>
      </c>
      <c r="AG630" s="7"/>
    </row>
    <row r="631" spans="1:33" ht="32.15" customHeight="1" x14ac:dyDescent="0.35">
      <c r="A631" s="26">
        <f t="shared" si="134"/>
        <v>593</v>
      </c>
      <c r="B631" s="32" t="s">
        <v>1773</v>
      </c>
      <c r="C631" s="319"/>
      <c r="D631" s="320" t="s">
        <v>1788</v>
      </c>
      <c r="E631" s="45" t="s">
        <v>1789</v>
      </c>
      <c r="F631" s="24" t="s">
        <v>43</v>
      </c>
      <c r="G631" s="44" t="s">
        <v>1790</v>
      </c>
      <c r="H631" s="4" t="s">
        <v>1092</v>
      </c>
      <c r="I631" s="48" t="s">
        <v>184</v>
      </c>
      <c r="J631" s="47" t="s">
        <v>1748</v>
      </c>
      <c r="K631" s="3" t="str">
        <f t="shared" ca="1" si="128"/>
        <v xml:space="preserve">9 Tahun 7 bulan </v>
      </c>
      <c r="L631" s="36" t="s">
        <v>200</v>
      </c>
      <c r="M631" s="47" t="s">
        <v>1748</v>
      </c>
      <c r="N631" s="3" t="str">
        <f t="shared" ca="1" si="139"/>
        <v xml:space="preserve">9 Tahun 7 bulan </v>
      </c>
      <c r="O631" s="36"/>
      <c r="P631" s="4" t="s">
        <v>35</v>
      </c>
      <c r="Q631" s="4" t="str">
        <f t="shared" si="129"/>
        <v>Laki-Laki</v>
      </c>
      <c r="R631" s="4">
        <f t="shared" si="138"/>
        <v>1</v>
      </c>
      <c r="S631" s="4" t="str">
        <f t="shared" si="140"/>
        <v>1</v>
      </c>
      <c r="T631" s="4">
        <f t="shared" si="126"/>
        <v>0</v>
      </c>
      <c r="U631" s="29"/>
      <c r="V631" s="30" t="s">
        <v>50</v>
      </c>
      <c r="W631" s="30"/>
      <c r="X631" s="30"/>
      <c r="Y631" s="30"/>
      <c r="Z631" s="30"/>
      <c r="AA631" s="30"/>
      <c r="AB631" s="29"/>
      <c r="AC631" s="29"/>
      <c r="AD631" s="37">
        <f t="shared" si="131"/>
        <v>25183</v>
      </c>
      <c r="AE631" s="3" t="str">
        <f t="shared" ca="1" si="130"/>
        <v>57 Tahun 8 bulan 21 Hari</v>
      </c>
      <c r="AF631" s="38">
        <f t="shared" si="132"/>
        <v>47119</v>
      </c>
      <c r="AG631" s="11" t="s">
        <v>3146</v>
      </c>
    </row>
    <row r="632" spans="1:33" ht="32.15" customHeight="1" x14ac:dyDescent="0.35">
      <c r="A632" s="26">
        <f t="shared" si="134"/>
        <v>594</v>
      </c>
      <c r="B632" s="32" t="s">
        <v>1773</v>
      </c>
      <c r="C632" s="26"/>
      <c r="D632" s="111" t="s">
        <v>1791</v>
      </c>
      <c r="E632" s="45" t="s">
        <v>1792</v>
      </c>
      <c r="F632" s="24" t="s">
        <v>43</v>
      </c>
      <c r="G632" s="44" t="s">
        <v>1793</v>
      </c>
      <c r="H632" s="4" t="s">
        <v>662</v>
      </c>
      <c r="I632" s="48" t="s">
        <v>86</v>
      </c>
      <c r="J632" s="47" t="s">
        <v>338</v>
      </c>
      <c r="K632" s="3" t="str">
        <f t="shared" ca="1" si="128"/>
        <v xml:space="preserve">2 Tahun 11 bulan </v>
      </c>
      <c r="L632" s="36" t="s">
        <v>200</v>
      </c>
      <c r="M632" s="47" t="s">
        <v>338</v>
      </c>
      <c r="N632" s="3" t="str">
        <f t="shared" ca="1" si="139"/>
        <v xml:space="preserve">2 Tahun 11 bulan </v>
      </c>
      <c r="O632" s="36"/>
      <c r="P632" s="4" t="s">
        <v>35</v>
      </c>
      <c r="Q632" s="4" t="str">
        <f t="shared" si="129"/>
        <v>Laki-Laki</v>
      </c>
      <c r="R632" s="4">
        <f t="shared" si="138"/>
        <v>1</v>
      </c>
      <c r="S632" s="4" t="str">
        <f t="shared" si="140"/>
        <v>1</v>
      </c>
      <c r="T632" s="4">
        <f t="shared" si="126"/>
        <v>0</v>
      </c>
      <c r="U632" s="29"/>
      <c r="V632" s="30" t="s">
        <v>50</v>
      </c>
      <c r="W632" s="30"/>
      <c r="X632" s="30"/>
      <c r="Y632" s="30"/>
      <c r="Z632" s="30"/>
      <c r="AA632" s="30"/>
      <c r="AB632" s="29"/>
      <c r="AC632" s="29"/>
      <c r="AD632" s="37">
        <f t="shared" si="131"/>
        <v>29410</v>
      </c>
      <c r="AE632" s="3" t="str">
        <f t="shared" ca="1" si="130"/>
        <v>46 Tahun 1 bulan 24 Hari</v>
      </c>
      <c r="AF632" s="38">
        <f t="shared" si="132"/>
        <v>51349</v>
      </c>
      <c r="AG632" s="7"/>
    </row>
    <row r="633" spans="1:33" ht="32.15" customHeight="1" x14ac:dyDescent="0.35">
      <c r="A633" s="26">
        <f t="shared" si="134"/>
        <v>595</v>
      </c>
      <c r="B633" s="32" t="s">
        <v>1773</v>
      </c>
      <c r="C633" s="26"/>
      <c r="D633" s="60" t="s">
        <v>1794</v>
      </c>
      <c r="E633" s="39" t="s">
        <v>1795</v>
      </c>
      <c r="F633" s="24" t="s">
        <v>43</v>
      </c>
      <c r="G633" s="25" t="s">
        <v>1796</v>
      </c>
      <c r="H633" s="36" t="s">
        <v>947</v>
      </c>
      <c r="I633" s="36" t="s">
        <v>46</v>
      </c>
      <c r="J633" s="47" t="s">
        <v>1109</v>
      </c>
      <c r="K633" s="3" t="str">
        <f t="shared" ca="1" si="128"/>
        <v xml:space="preserve">6 Tahun 8 bulan </v>
      </c>
      <c r="L633" s="36" t="s">
        <v>200</v>
      </c>
      <c r="M633" s="47" t="s">
        <v>1109</v>
      </c>
      <c r="N633" s="3" t="str">
        <f t="shared" ca="1" si="139"/>
        <v xml:space="preserve">6 Tahun 8 bulan </v>
      </c>
      <c r="O633" s="36"/>
      <c r="P633" s="4" t="s">
        <v>35</v>
      </c>
      <c r="Q633" s="4" t="str">
        <f t="shared" si="129"/>
        <v>Perempuan</v>
      </c>
      <c r="R633" s="4">
        <f t="shared" si="138"/>
        <v>1</v>
      </c>
      <c r="S633" s="4" t="str">
        <f t="shared" si="140"/>
        <v>1</v>
      </c>
      <c r="T633" s="4">
        <f t="shared" si="126"/>
        <v>0</v>
      </c>
      <c r="U633" s="29"/>
      <c r="V633" s="30"/>
      <c r="W633" s="30"/>
      <c r="X633" s="30"/>
      <c r="Y633" s="30"/>
      <c r="Z633" s="30"/>
      <c r="AA633" s="30"/>
      <c r="AB633" s="29"/>
      <c r="AC633" s="29"/>
      <c r="AD633" s="37">
        <f t="shared" si="131"/>
        <v>29177</v>
      </c>
      <c r="AE633" s="3" t="str">
        <f t="shared" ca="1" si="130"/>
        <v>46 Tahun 9 bulan 14 Hari</v>
      </c>
      <c r="AF633" s="38">
        <f t="shared" si="132"/>
        <v>51105</v>
      </c>
      <c r="AG633" s="7"/>
    </row>
    <row r="634" spans="1:33" ht="32.15" customHeight="1" x14ac:dyDescent="0.35">
      <c r="A634" s="26">
        <f t="shared" si="134"/>
        <v>596</v>
      </c>
      <c r="B634" s="32" t="s">
        <v>1773</v>
      </c>
      <c r="C634" s="26"/>
      <c r="D634" s="111" t="s">
        <v>1797</v>
      </c>
      <c r="E634" s="45" t="s">
        <v>1798</v>
      </c>
      <c r="F634" s="24" t="s">
        <v>43</v>
      </c>
      <c r="G634" s="36" t="s">
        <v>1799</v>
      </c>
      <c r="H634" s="4" t="s">
        <v>337</v>
      </c>
      <c r="I634" s="36" t="s">
        <v>184</v>
      </c>
      <c r="J634" s="47" t="s">
        <v>565</v>
      </c>
      <c r="K634" s="3" t="str">
        <f t="shared" ca="1" si="128"/>
        <v xml:space="preserve">5 Tahun 9 bulan </v>
      </c>
      <c r="L634" s="36" t="s">
        <v>200</v>
      </c>
      <c r="M634" s="47" t="s">
        <v>565</v>
      </c>
      <c r="N634" s="3" t="str">
        <f t="shared" ca="1" si="139"/>
        <v xml:space="preserve">5 Tahun 9 bulan </v>
      </c>
      <c r="O634" s="36"/>
      <c r="P634" s="4" t="s">
        <v>35</v>
      </c>
      <c r="Q634" s="4" t="str">
        <f t="shared" si="129"/>
        <v>Laki-Laki</v>
      </c>
      <c r="R634" s="4">
        <f t="shared" si="138"/>
        <v>1</v>
      </c>
      <c r="S634" s="4" t="str">
        <f t="shared" si="140"/>
        <v>1</v>
      </c>
      <c r="T634" s="4">
        <f t="shared" si="126"/>
        <v>0</v>
      </c>
      <c r="U634" s="29"/>
      <c r="V634" s="30" t="s">
        <v>50</v>
      </c>
      <c r="W634" s="30"/>
      <c r="X634" s="30"/>
      <c r="Y634" s="30"/>
      <c r="Z634" s="30"/>
      <c r="AA634" s="30"/>
      <c r="AB634" s="29"/>
      <c r="AC634" s="29"/>
      <c r="AD634" s="37">
        <f t="shared" si="131"/>
        <v>27854</v>
      </c>
      <c r="AE634" s="3" t="str">
        <f t="shared" ca="1" si="130"/>
        <v>50 Tahun 4 bulan 28 Hari</v>
      </c>
      <c r="AF634" s="38">
        <f t="shared" si="132"/>
        <v>49796</v>
      </c>
      <c r="AG634" s="7"/>
    </row>
    <row r="635" spans="1:33" ht="26.25" customHeight="1" x14ac:dyDescent="0.35">
      <c r="A635" s="26"/>
      <c r="B635" s="27" t="s">
        <v>1800</v>
      </c>
      <c r="C635" s="280" t="s">
        <v>1801</v>
      </c>
      <c r="D635" s="281"/>
      <c r="E635" s="271" t="str">
        <f ca="1">IF(J635="","",CONCATENATE(DATEDIF(J635,NOW(),"Y")," Tahun ",DATEDIF(J635,NOW(),"YM")," bulan "))</f>
        <v/>
      </c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  <c r="AB635" s="272"/>
      <c r="AC635" s="272"/>
      <c r="AD635" s="272"/>
      <c r="AE635" s="272"/>
      <c r="AF635" s="273"/>
      <c r="AG635" s="7"/>
    </row>
    <row r="636" spans="1:33" ht="32.15" customHeight="1" x14ac:dyDescent="0.35">
      <c r="A636" s="26">
        <f>A634+1</f>
        <v>597</v>
      </c>
      <c r="B636" s="27" t="s">
        <v>1800</v>
      </c>
      <c r="C636" s="282" t="s">
        <v>1802</v>
      </c>
      <c r="D636" s="283"/>
      <c r="E636" s="45" t="s">
        <v>1803</v>
      </c>
      <c r="F636" s="24" t="s">
        <v>43</v>
      </c>
      <c r="G636" s="44" t="s">
        <v>2848</v>
      </c>
      <c r="H636" s="56" t="s">
        <v>2850</v>
      </c>
      <c r="I636" s="56" t="s">
        <v>2849</v>
      </c>
      <c r="J636" s="53" t="s">
        <v>898</v>
      </c>
      <c r="K636" s="3" t="str">
        <f t="shared" ca="1" si="128"/>
        <v xml:space="preserve">0 Tahun 8 bulan </v>
      </c>
      <c r="L636" s="36" t="s">
        <v>79</v>
      </c>
      <c r="M636" s="47"/>
      <c r="N636" s="3" t="str">
        <f t="shared" ca="1" si="139"/>
        <v/>
      </c>
      <c r="O636" s="36"/>
      <c r="P636" s="4" t="s">
        <v>35</v>
      </c>
      <c r="Q636" s="4" t="str">
        <f t="shared" si="129"/>
        <v>Laki-Laki</v>
      </c>
      <c r="R636" s="4">
        <f>R634</f>
        <v>1</v>
      </c>
      <c r="S636" s="4" t="str">
        <f t="shared" ref="S636:S644" si="141">IF(E636="LOWONG","0","1")</f>
        <v>1</v>
      </c>
      <c r="T636" s="4">
        <f t="shared" si="126"/>
        <v>0</v>
      </c>
      <c r="U636" s="29"/>
      <c r="V636" s="30" t="s">
        <v>50</v>
      </c>
      <c r="W636" s="30"/>
      <c r="X636" s="30"/>
      <c r="Y636" s="30"/>
      <c r="Z636" s="30"/>
      <c r="AA636" s="30"/>
      <c r="AB636" s="29"/>
      <c r="AC636" s="29"/>
      <c r="AD636" s="37">
        <f t="shared" si="131"/>
        <v>28992</v>
      </c>
      <c r="AE636" s="3" t="str">
        <f t="shared" ca="1" si="130"/>
        <v>47 Tahun 3 bulan 15 Hari</v>
      </c>
      <c r="AF636" s="38">
        <f t="shared" si="132"/>
        <v>50922</v>
      </c>
      <c r="AG636" s="7"/>
    </row>
    <row r="637" spans="1:33" ht="32.15" customHeight="1" x14ac:dyDescent="0.35">
      <c r="A637" s="26">
        <f t="shared" ref="A637:A700" si="142">A636+1</f>
        <v>598</v>
      </c>
      <c r="B637" s="27" t="s">
        <v>1800</v>
      </c>
      <c r="C637" s="282" t="s">
        <v>1804</v>
      </c>
      <c r="D637" s="283"/>
      <c r="E637" s="45" t="s">
        <v>1831</v>
      </c>
      <c r="F637" s="24" t="s">
        <v>43</v>
      </c>
      <c r="G637" s="36" t="s">
        <v>1832</v>
      </c>
      <c r="H637" s="4" t="s">
        <v>181</v>
      </c>
      <c r="I637" s="36" t="s">
        <v>184</v>
      </c>
      <c r="J637" s="212">
        <v>46260</v>
      </c>
      <c r="K637" s="3" t="str">
        <f t="shared" ca="1" si="128"/>
        <v xml:space="preserve">0 Tahun 0 bulan </v>
      </c>
      <c r="L637" s="36" t="s">
        <v>346</v>
      </c>
      <c r="M637" s="47" t="s">
        <v>275</v>
      </c>
      <c r="N637" s="3" t="str">
        <f t="shared" ca="1" si="139"/>
        <v xml:space="preserve">5 Tahun 10 bulan </v>
      </c>
      <c r="O637" s="36"/>
      <c r="P637" s="4" t="s">
        <v>35</v>
      </c>
      <c r="Q637" s="4" t="str">
        <f t="shared" si="129"/>
        <v>Laki-Laki</v>
      </c>
      <c r="R637" s="4">
        <f t="shared" si="138"/>
        <v>1</v>
      </c>
      <c r="S637" s="4" t="str">
        <f t="shared" si="141"/>
        <v>1</v>
      </c>
      <c r="T637" s="4">
        <f t="shared" ref="T637:T706" si="143">R637-S637</f>
        <v>0</v>
      </c>
      <c r="U637" s="29"/>
      <c r="V637" s="30" t="s">
        <v>50</v>
      </c>
      <c r="W637" s="30"/>
      <c r="X637" s="30"/>
      <c r="Y637" s="30"/>
      <c r="Z637" s="30"/>
      <c r="AA637" s="30"/>
      <c r="AB637" s="29"/>
      <c r="AC637" s="29"/>
      <c r="AD637" s="37">
        <f t="shared" si="131"/>
        <v>29871</v>
      </c>
      <c r="AE637" s="3" t="str">
        <f t="shared" ca="1" si="130"/>
        <v>44 Tahun 10 bulan 20 Hari</v>
      </c>
      <c r="AF637" s="38">
        <f t="shared" si="132"/>
        <v>51806</v>
      </c>
      <c r="AG637" s="7"/>
    </row>
    <row r="638" spans="1:33" ht="32.15" customHeight="1" x14ac:dyDescent="0.35">
      <c r="A638" s="26">
        <f t="shared" si="142"/>
        <v>599</v>
      </c>
      <c r="B638" s="27" t="s">
        <v>1800</v>
      </c>
      <c r="C638" s="26"/>
      <c r="D638" s="111" t="s">
        <v>1807</v>
      </c>
      <c r="E638" s="39" t="s">
        <v>1808</v>
      </c>
      <c r="F638" s="24" t="s">
        <v>43</v>
      </c>
      <c r="G638" s="25" t="s">
        <v>1809</v>
      </c>
      <c r="H638" s="4" t="s">
        <v>891</v>
      </c>
      <c r="I638" s="48" t="s">
        <v>86</v>
      </c>
      <c r="J638" s="47" t="s">
        <v>1748</v>
      </c>
      <c r="K638" s="3" t="str">
        <f t="shared" ca="1" si="128"/>
        <v xml:space="preserve">9 Tahun 7 bulan </v>
      </c>
      <c r="L638" s="36" t="s">
        <v>1749</v>
      </c>
      <c r="M638" s="47" t="s">
        <v>1748</v>
      </c>
      <c r="N638" s="3" t="str">
        <f t="shared" ca="1" si="139"/>
        <v xml:space="preserve">9 Tahun 7 bulan </v>
      </c>
      <c r="O638" s="36"/>
      <c r="P638" s="4" t="s">
        <v>35</v>
      </c>
      <c r="Q638" s="4" t="str">
        <f t="shared" si="129"/>
        <v>Perempuan</v>
      </c>
      <c r="R638" s="4">
        <f t="shared" si="138"/>
        <v>1</v>
      </c>
      <c r="S638" s="4" t="str">
        <f t="shared" si="141"/>
        <v>1</v>
      </c>
      <c r="T638" s="4">
        <f t="shared" si="143"/>
        <v>0</v>
      </c>
      <c r="U638" s="29"/>
      <c r="V638" s="30"/>
      <c r="W638" s="30"/>
      <c r="X638" s="30"/>
      <c r="Y638" s="30"/>
      <c r="Z638" s="30"/>
      <c r="AA638" s="30"/>
      <c r="AB638" s="29"/>
      <c r="AC638" s="29"/>
      <c r="AD638" s="37">
        <f t="shared" si="131"/>
        <v>27660</v>
      </c>
      <c r="AE638" s="3" t="str">
        <f t="shared" ca="1" si="130"/>
        <v>50 Tahun 11 bulan 9 Hari</v>
      </c>
      <c r="AF638" s="38">
        <f t="shared" si="132"/>
        <v>49583</v>
      </c>
      <c r="AG638" s="7"/>
    </row>
    <row r="639" spans="1:33" ht="32.15" customHeight="1" x14ac:dyDescent="0.35">
      <c r="A639" s="26">
        <f t="shared" si="142"/>
        <v>600</v>
      </c>
      <c r="B639" s="27" t="s">
        <v>1800</v>
      </c>
      <c r="C639" s="26"/>
      <c r="D639" s="111" t="s">
        <v>1810</v>
      </c>
      <c r="E639" s="24" t="s">
        <v>1811</v>
      </c>
      <c r="F639" s="24" t="s">
        <v>43</v>
      </c>
      <c r="G639" s="3" t="s">
        <v>1812</v>
      </c>
      <c r="H639" s="4" t="s">
        <v>662</v>
      </c>
      <c r="I639" s="48" t="s">
        <v>86</v>
      </c>
      <c r="J639" s="47" t="s">
        <v>1748</v>
      </c>
      <c r="K639" s="3" t="str">
        <f t="shared" ca="1" si="128"/>
        <v xml:space="preserve">9 Tahun 7 bulan </v>
      </c>
      <c r="L639" s="36" t="s">
        <v>1749</v>
      </c>
      <c r="M639" s="47" t="s">
        <v>1748</v>
      </c>
      <c r="N639" s="3" t="str">
        <f t="shared" ca="1" si="139"/>
        <v xml:space="preserve">9 Tahun 7 bulan </v>
      </c>
      <c r="O639" s="36"/>
      <c r="P639" s="4" t="s">
        <v>35</v>
      </c>
      <c r="Q639" s="4" t="str">
        <f t="shared" si="129"/>
        <v>Perempuan</v>
      </c>
      <c r="R639" s="4">
        <f t="shared" si="138"/>
        <v>1</v>
      </c>
      <c r="S639" s="4" t="str">
        <f t="shared" si="141"/>
        <v>1</v>
      </c>
      <c r="T639" s="4">
        <f t="shared" si="143"/>
        <v>0</v>
      </c>
      <c r="U639" s="29"/>
      <c r="V639" s="30"/>
      <c r="W639" s="30"/>
      <c r="X639" s="30"/>
      <c r="Y639" s="30"/>
      <c r="Z639" s="30"/>
      <c r="AA639" s="30"/>
      <c r="AB639" s="29"/>
      <c r="AC639" s="29"/>
      <c r="AD639" s="37">
        <f t="shared" si="131"/>
        <v>30508</v>
      </c>
      <c r="AE639" s="3" t="str">
        <f t="shared" ca="1" si="130"/>
        <v>43 Tahun 1 bulan 21 Hari</v>
      </c>
      <c r="AF639" s="38">
        <f t="shared" si="132"/>
        <v>52444</v>
      </c>
      <c r="AG639" s="7"/>
    </row>
    <row r="640" spans="1:33" ht="32.15" customHeight="1" x14ac:dyDescent="0.35">
      <c r="A640" s="26">
        <f t="shared" si="142"/>
        <v>601</v>
      </c>
      <c r="B640" s="27" t="s">
        <v>1800</v>
      </c>
      <c r="C640" s="26"/>
      <c r="D640" s="60" t="s">
        <v>1813</v>
      </c>
      <c r="E640" s="45" t="s">
        <v>108</v>
      </c>
      <c r="F640" s="24"/>
      <c r="G640" s="36"/>
      <c r="H640" s="4"/>
      <c r="I640" s="48"/>
      <c r="J640" s="47"/>
      <c r="K640" s="3" t="str">
        <f t="shared" ca="1" si="128"/>
        <v/>
      </c>
      <c r="L640" s="36" t="s">
        <v>200</v>
      </c>
      <c r="M640" s="47"/>
      <c r="N640" s="3" t="str">
        <f t="shared" ca="1" si="139"/>
        <v/>
      </c>
      <c r="O640" s="36"/>
      <c r="P640" s="4" t="s">
        <v>35</v>
      </c>
      <c r="Q640" s="4" t="str">
        <f t="shared" si="129"/>
        <v/>
      </c>
      <c r="R640" s="4">
        <f t="shared" si="138"/>
        <v>1</v>
      </c>
      <c r="S640" s="4" t="str">
        <f t="shared" si="141"/>
        <v>0</v>
      </c>
      <c r="T640" s="4">
        <f t="shared" si="143"/>
        <v>1</v>
      </c>
      <c r="U640" s="29"/>
      <c r="V640" s="30"/>
      <c r="W640" s="30"/>
      <c r="X640" s="30"/>
      <c r="Y640" s="30"/>
      <c r="Z640" s="30"/>
      <c r="AA640" s="30"/>
      <c r="AB640" s="29"/>
      <c r="AC640" s="29"/>
      <c r="AD640" s="37" t="str">
        <f t="shared" si="131"/>
        <v/>
      </c>
      <c r="AE640" s="3" t="str">
        <f t="shared" ca="1" si="130"/>
        <v/>
      </c>
      <c r="AF640" s="38" t="str">
        <f t="shared" si="132"/>
        <v/>
      </c>
      <c r="AG640" s="7"/>
    </row>
    <row r="641" spans="1:32" s="7" customFormat="1" ht="32.15" customHeight="1" x14ac:dyDescent="0.35">
      <c r="A641" s="26">
        <f t="shared" si="142"/>
        <v>602</v>
      </c>
      <c r="B641" s="27" t="s">
        <v>1800</v>
      </c>
      <c r="C641" s="26"/>
      <c r="D641" s="60" t="s">
        <v>1815</v>
      </c>
      <c r="E641" s="51" t="s">
        <v>1816</v>
      </c>
      <c r="F641" s="24" t="s">
        <v>43</v>
      </c>
      <c r="G641" s="44" t="s">
        <v>2979</v>
      </c>
      <c r="H641" s="4" t="s">
        <v>2962</v>
      </c>
      <c r="I641" s="36" t="s">
        <v>2977</v>
      </c>
      <c r="J641" s="112" t="s">
        <v>898</v>
      </c>
      <c r="K641" s="3" t="str">
        <f t="shared" ca="1" si="128"/>
        <v xml:space="preserve">0 Tahun 8 bulan </v>
      </c>
      <c r="L641" s="36" t="s">
        <v>200</v>
      </c>
      <c r="M641" s="113" t="s">
        <v>898</v>
      </c>
      <c r="N641" s="3" t="str">
        <f t="shared" ca="1" si="139"/>
        <v xml:space="preserve">0 Tahun 8 bulan </v>
      </c>
      <c r="O641" s="36"/>
      <c r="P641" s="4" t="s">
        <v>35</v>
      </c>
      <c r="Q641" s="4" t="str">
        <f t="shared" si="129"/>
        <v>Laki-Laki</v>
      </c>
      <c r="R641" s="4">
        <f t="shared" si="138"/>
        <v>1</v>
      </c>
      <c r="S641" s="4" t="str">
        <f t="shared" si="141"/>
        <v>1</v>
      </c>
      <c r="T641" s="4">
        <f t="shared" si="143"/>
        <v>0</v>
      </c>
      <c r="U641" s="29"/>
      <c r="V641" s="30"/>
      <c r="W641" s="30"/>
      <c r="X641" s="30"/>
      <c r="Y641" s="30"/>
      <c r="Z641" s="30"/>
      <c r="AA641" s="30"/>
      <c r="AB641" s="29"/>
      <c r="AC641" s="29"/>
      <c r="AD641" s="37">
        <f t="shared" si="131"/>
        <v>31240</v>
      </c>
      <c r="AE641" s="3" t="str">
        <f t="shared" ca="1" si="130"/>
        <v>41 Tahun 1 bulan 20 Hari</v>
      </c>
      <c r="AF641" s="38">
        <f t="shared" si="132"/>
        <v>53175</v>
      </c>
    </row>
    <row r="642" spans="1:32" s="7" customFormat="1" ht="32.15" customHeight="1" x14ac:dyDescent="0.35">
      <c r="A642" s="26">
        <f t="shared" si="142"/>
        <v>603</v>
      </c>
      <c r="B642" s="27" t="s">
        <v>1800</v>
      </c>
      <c r="C642" s="26"/>
      <c r="D642" s="60" t="s">
        <v>1817</v>
      </c>
      <c r="E642" s="45" t="s">
        <v>1818</v>
      </c>
      <c r="F642" s="24" t="s">
        <v>43</v>
      </c>
      <c r="G642" s="44" t="s">
        <v>1819</v>
      </c>
      <c r="H642" s="4" t="s">
        <v>414</v>
      </c>
      <c r="I642" s="48" t="s">
        <v>86</v>
      </c>
      <c r="J642" s="47" t="s">
        <v>199</v>
      </c>
      <c r="K642" s="3" t="str">
        <f t="shared" ca="1" si="128"/>
        <v xml:space="preserve">3 Tahun 11 bulan </v>
      </c>
      <c r="L642" s="36" t="s">
        <v>200</v>
      </c>
      <c r="M642" s="47" t="s">
        <v>199</v>
      </c>
      <c r="N642" s="3" t="str">
        <f t="shared" ca="1" si="139"/>
        <v xml:space="preserve">3 Tahun 11 bulan </v>
      </c>
      <c r="O642" s="36"/>
      <c r="P642" s="4" t="s">
        <v>35</v>
      </c>
      <c r="Q642" s="4" t="str">
        <f t="shared" si="129"/>
        <v>Perempuan</v>
      </c>
      <c r="R642" s="4">
        <f t="shared" si="138"/>
        <v>1</v>
      </c>
      <c r="S642" s="4" t="str">
        <f t="shared" si="141"/>
        <v>1</v>
      </c>
      <c r="T642" s="4">
        <f t="shared" si="143"/>
        <v>0</v>
      </c>
      <c r="U642" s="29"/>
      <c r="V642" s="30"/>
      <c r="W642" s="30"/>
      <c r="X642" s="30"/>
      <c r="Y642" s="30"/>
      <c r="Z642" s="30"/>
      <c r="AA642" s="30"/>
      <c r="AB642" s="29"/>
      <c r="AC642" s="29"/>
      <c r="AD642" s="37">
        <f t="shared" si="131"/>
        <v>29432</v>
      </c>
      <c r="AE642" s="3" t="str">
        <f t="shared" ca="1" si="130"/>
        <v>46 Tahun 1 bulan 2 Hari</v>
      </c>
      <c r="AF642" s="38">
        <f t="shared" si="132"/>
        <v>51349</v>
      </c>
    </row>
    <row r="643" spans="1:32" s="7" customFormat="1" ht="32.15" customHeight="1" x14ac:dyDescent="0.35">
      <c r="A643" s="26">
        <f t="shared" si="142"/>
        <v>604</v>
      </c>
      <c r="B643" s="27" t="s">
        <v>1800</v>
      </c>
      <c r="C643" s="26"/>
      <c r="D643" s="60" t="s">
        <v>1820</v>
      </c>
      <c r="E643" s="45" t="s">
        <v>1821</v>
      </c>
      <c r="F643" s="24" t="s">
        <v>43</v>
      </c>
      <c r="G643" s="44" t="s">
        <v>1822</v>
      </c>
      <c r="H643" s="4" t="s">
        <v>1823</v>
      </c>
      <c r="I643" s="48" t="s">
        <v>86</v>
      </c>
      <c r="J643" s="47" t="s">
        <v>199</v>
      </c>
      <c r="K643" s="3" t="str">
        <f t="shared" ca="1" si="128"/>
        <v xml:space="preserve">3 Tahun 11 bulan </v>
      </c>
      <c r="L643" s="36" t="s">
        <v>200</v>
      </c>
      <c r="M643" s="47" t="s">
        <v>199</v>
      </c>
      <c r="N643" s="3" t="str">
        <f t="shared" ca="1" si="139"/>
        <v xml:space="preserve">3 Tahun 11 bulan </v>
      </c>
      <c r="O643" s="36"/>
      <c r="P643" s="4" t="s">
        <v>35</v>
      </c>
      <c r="Q643" s="4" t="str">
        <f t="shared" si="129"/>
        <v>Laki-Laki</v>
      </c>
      <c r="R643" s="4">
        <f t="shared" si="138"/>
        <v>1</v>
      </c>
      <c r="S643" s="4" t="str">
        <f t="shared" si="141"/>
        <v>1</v>
      </c>
      <c r="T643" s="4">
        <f t="shared" si="143"/>
        <v>0</v>
      </c>
      <c r="U643" s="29"/>
      <c r="V643" s="30"/>
      <c r="W643" s="30"/>
      <c r="X643" s="30"/>
      <c r="Y643" s="30"/>
      <c r="Z643" s="30"/>
      <c r="AA643" s="30"/>
      <c r="AB643" s="29"/>
      <c r="AC643" s="29"/>
      <c r="AD643" s="37">
        <f t="shared" si="131"/>
        <v>27073</v>
      </c>
      <c r="AE643" s="3" t="str">
        <f t="shared" ca="1" si="130"/>
        <v>52 Tahun 6 bulan 19 Hari</v>
      </c>
      <c r="AF643" s="38">
        <f t="shared" si="132"/>
        <v>49004</v>
      </c>
    </row>
    <row r="644" spans="1:32" s="7" customFormat="1" ht="32.15" customHeight="1" x14ac:dyDescent="0.35">
      <c r="A644" s="26">
        <f t="shared" si="142"/>
        <v>605</v>
      </c>
      <c r="B644" s="27" t="s">
        <v>1800</v>
      </c>
      <c r="C644" s="26"/>
      <c r="D644" s="60" t="s">
        <v>1824</v>
      </c>
      <c r="E644" s="45" t="s">
        <v>1825</v>
      </c>
      <c r="F644" s="24" t="s">
        <v>43</v>
      </c>
      <c r="G644" s="44" t="s">
        <v>1826</v>
      </c>
      <c r="H644" s="4" t="s">
        <v>574</v>
      </c>
      <c r="I644" s="36" t="s">
        <v>1814</v>
      </c>
      <c r="J644" s="26" t="s">
        <v>386</v>
      </c>
      <c r="K644" s="3" t="str">
        <f t="shared" ca="1" si="128"/>
        <v xml:space="preserve">5 Tahun 5 bulan </v>
      </c>
      <c r="L644" s="36" t="s">
        <v>200</v>
      </c>
      <c r="M644" s="26" t="s">
        <v>386</v>
      </c>
      <c r="N644" s="3" t="str">
        <f t="shared" ca="1" si="139"/>
        <v xml:space="preserve">5 Tahun 5 bulan </v>
      </c>
      <c r="O644" s="36"/>
      <c r="P644" s="4" t="s">
        <v>35</v>
      </c>
      <c r="Q644" s="4" t="str">
        <f t="shared" si="129"/>
        <v>Perempuan</v>
      </c>
      <c r="R644" s="4">
        <f t="shared" si="138"/>
        <v>1</v>
      </c>
      <c r="S644" s="4" t="str">
        <f t="shared" si="141"/>
        <v>1</v>
      </c>
      <c r="T644" s="4">
        <f t="shared" si="143"/>
        <v>0</v>
      </c>
      <c r="U644" s="29"/>
      <c r="V644" s="30"/>
      <c r="W644" s="30"/>
      <c r="X644" s="30"/>
      <c r="Y644" s="30"/>
      <c r="Z644" s="30"/>
      <c r="AA644" s="30"/>
      <c r="AB644" s="29"/>
      <c r="AC644" s="29"/>
      <c r="AD644" s="37">
        <f t="shared" si="131"/>
        <v>26035</v>
      </c>
      <c r="AE644" s="3" t="str">
        <f t="shared" ca="1" si="130"/>
        <v>55 Tahun 4 bulan 20 Hari</v>
      </c>
      <c r="AF644" s="38">
        <f t="shared" si="132"/>
        <v>47969</v>
      </c>
    </row>
    <row r="645" spans="1:32" s="7" customFormat="1" ht="26.25" customHeight="1" x14ac:dyDescent="0.35">
      <c r="A645" s="26"/>
      <c r="B645" s="27" t="s">
        <v>1827</v>
      </c>
      <c r="C645" s="280" t="s">
        <v>1828</v>
      </c>
      <c r="D645" s="281"/>
      <c r="E645" s="271" t="str">
        <f ca="1">IF(J645="","",CONCATENATE(DATEDIF(J645,NOW(),"Y")," Tahun ",DATEDIF(J645,NOW(),"YM")," bulan "))</f>
        <v/>
      </c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  <c r="AB645" s="272"/>
      <c r="AC645" s="272"/>
      <c r="AD645" s="272"/>
      <c r="AE645" s="272"/>
      <c r="AF645" s="273"/>
    </row>
    <row r="646" spans="1:32" s="7" customFormat="1" ht="30" customHeight="1" x14ac:dyDescent="0.35">
      <c r="A646" s="26">
        <f>A644+1</f>
        <v>606</v>
      </c>
      <c r="B646" s="27" t="s">
        <v>1827</v>
      </c>
      <c r="C646" s="282" t="s">
        <v>1829</v>
      </c>
      <c r="D646" s="283"/>
      <c r="E646" s="45" t="s">
        <v>3044</v>
      </c>
      <c r="F646" s="24" t="s">
        <v>43</v>
      </c>
      <c r="G646" s="44" t="s">
        <v>3045</v>
      </c>
      <c r="H646" s="56" t="s">
        <v>3046</v>
      </c>
      <c r="I646" s="36" t="s">
        <v>368</v>
      </c>
      <c r="J646" s="81">
        <v>46260</v>
      </c>
      <c r="K646" s="3" t="str">
        <f t="shared" ca="1" si="128"/>
        <v xml:space="preserve">0 Tahun 0 bulan </v>
      </c>
      <c r="L646" s="36" t="s">
        <v>79</v>
      </c>
      <c r="M646" s="81" t="s">
        <v>369</v>
      </c>
      <c r="N646" s="3" t="str">
        <f t="shared" ca="1" si="139"/>
        <v xml:space="preserve">3 Tahun 11 bulan </v>
      </c>
      <c r="O646" s="4" t="s">
        <v>155</v>
      </c>
      <c r="P646" s="4" t="s">
        <v>35</v>
      </c>
      <c r="Q646" s="4" t="str">
        <f t="shared" si="129"/>
        <v>Laki-Laki</v>
      </c>
      <c r="R646" s="4">
        <f>R644</f>
        <v>1</v>
      </c>
      <c r="S646" s="4" t="str">
        <f t="shared" ref="S646:S654" si="144">IF(E646="LOWONG","0","1")</f>
        <v>1</v>
      </c>
      <c r="T646" s="4">
        <f t="shared" ref="T646" si="145">R646-S646</f>
        <v>0</v>
      </c>
      <c r="U646" s="29"/>
      <c r="V646" s="30" t="s">
        <v>50</v>
      </c>
      <c r="W646" s="30"/>
      <c r="X646" s="30"/>
      <c r="Y646" s="30"/>
      <c r="Z646" s="30"/>
      <c r="AA646" s="30"/>
      <c r="AB646" s="29"/>
      <c r="AC646" s="29"/>
      <c r="AD646" s="37">
        <f t="shared" si="131"/>
        <v>27216</v>
      </c>
      <c r="AE646" s="3" t="str">
        <f t="shared" ca="1" si="130"/>
        <v>52 Tahun 1 bulan 26 Hari</v>
      </c>
      <c r="AF646" s="38">
        <f t="shared" si="132"/>
        <v>49157</v>
      </c>
    </row>
    <row r="647" spans="1:32" s="7" customFormat="1" ht="30" customHeight="1" x14ac:dyDescent="0.35">
      <c r="A647" s="26">
        <f t="shared" si="142"/>
        <v>607</v>
      </c>
      <c r="B647" s="27" t="s">
        <v>1827</v>
      </c>
      <c r="C647" s="282" t="s">
        <v>1830</v>
      </c>
      <c r="D647" s="283"/>
      <c r="E647" s="24" t="s">
        <v>1805</v>
      </c>
      <c r="F647" s="24" t="s">
        <v>43</v>
      </c>
      <c r="G647" s="4" t="s">
        <v>1806</v>
      </c>
      <c r="H647" s="36" t="s">
        <v>135</v>
      </c>
      <c r="I647" s="4" t="s">
        <v>86</v>
      </c>
      <c r="J647" s="82">
        <v>46260</v>
      </c>
      <c r="K647" s="3" t="str">
        <f t="shared" ref="K647:K710" ca="1" si="146">IF(J647="","",CONCATENATE(DATEDIF(J647,NOW(),"Y")," Tahun ",DATEDIF(J647,NOW(),"YM")," bulan "))</f>
        <v xml:space="preserve">0 Tahun 0 bulan </v>
      </c>
      <c r="L647" s="36" t="s">
        <v>346</v>
      </c>
      <c r="M647" s="82" t="s">
        <v>275</v>
      </c>
      <c r="N647" s="3" t="str">
        <f t="shared" ca="1" si="139"/>
        <v xml:space="preserve">5 Tahun 10 bulan </v>
      </c>
      <c r="O647" s="36"/>
      <c r="P647" s="4" t="s">
        <v>35</v>
      </c>
      <c r="Q647" s="4" t="str">
        <f t="shared" ref="Q647:Q710" si="147">CONCATENATE(IF(MID(G647,17,1)="1","Laki-Laki",IF(MID(G647,17,1)="2","Perempuan",)))</f>
        <v>Laki-Laki</v>
      </c>
      <c r="R647" s="4">
        <f t="shared" si="138"/>
        <v>1</v>
      </c>
      <c r="S647" s="4" t="str">
        <f t="shared" si="144"/>
        <v>1</v>
      </c>
      <c r="T647" s="4">
        <f t="shared" si="143"/>
        <v>0</v>
      </c>
      <c r="U647" s="29"/>
      <c r="V647" s="30" t="s">
        <v>50</v>
      </c>
      <c r="W647" s="30"/>
      <c r="X647" s="30"/>
      <c r="Y647" s="30"/>
      <c r="Z647" s="30"/>
      <c r="AA647" s="30"/>
      <c r="AB647" s="29"/>
      <c r="AC647" s="29"/>
      <c r="AD647" s="37">
        <f t="shared" si="131"/>
        <v>30076</v>
      </c>
      <c r="AE647" s="3" t="str">
        <f t="shared" ref="AE647:AE710" ca="1" si="148">IF(TRIM(AD647)="", "", CONCATENATE(DATEDIF(AD647,NOW(),"Y")," Tahun ",DATEDIF(AD647,NOW(),"YM")," bulan ",DATEDIF(AD647,NOW(),"MD")," Hari"))</f>
        <v>44 Tahun 3 bulan 27 Hari</v>
      </c>
      <c r="AF647" s="38">
        <f t="shared" si="132"/>
        <v>52018</v>
      </c>
    </row>
    <row r="648" spans="1:32" s="7" customFormat="1" ht="30" customHeight="1" x14ac:dyDescent="0.35">
      <c r="A648" s="26">
        <f t="shared" si="142"/>
        <v>608</v>
      </c>
      <c r="B648" s="27" t="s">
        <v>1827</v>
      </c>
      <c r="C648" s="26"/>
      <c r="D648" s="111" t="s">
        <v>1833</v>
      </c>
      <c r="E648" s="45" t="s">
        <v>332</v>
      </c>
      <c r="F648" s="24" t="s">
        <v>43</v>
      </c>
      <c r="G648" s="36" t="s">
        <v>333</v>
      </c>
      <c r="H648" s="36" t="s">
        <v>159</v>
      </c>
      <c r="I648" s="4" t="s">
        <v>46</v>
      </c>
      <c r="J648" s="82">
        <v>46260</v>
      </c>
      <c r="K648" s="3" t="str">
        <f t="shared" ca="1" si="146"/>
        <v xml:space="preserve">0 Tahun 0 bulan </v>
      </c>
      <c r="L648" s="36" t="s">
        <v>1749</v>
      </c>
      <c r="M648" s="82">
        <v>46258</v>
      </c>
      <c r="N648" s="3" t="str">
        <f t="shared" ca="1" si="139"/>
        <v xml:space="preserve">0 Tahun 0 bulan </v>
      </c>
      <c r="O648" s="36"/>
      <c r="P648" s="4" t="s">
        <v>35</v>
      </c>
      <c r="Q648" s="4" t="str">
        <f t="shared" si="147"/>
        <v>Laki-Laki</v>
      </c>
      <c r="R648" s="4">
        <f t="shared" si="138"/>
        <v>1</v>
      </c>
      <c r="S648" s="4" t="str">
        <f t="shared" si="144"/>
        <v>1</v>
      </c>
      <c r="T648" s="4">
        <f t="shared" si="143"/>
        <v>0</v>
      </c>
      <c r="U648" s="29"/>
      <c r="V648" s="30" t="s">
        <v>50</v>
      </c>
      <c r="W648" s="30"/>
      <c r="X648" s="30"/>
      <c r="Y648" s="30"/>
      <c r="Z648" s="30"/>
      <c r="AA648" s="30"/>
      <c r="AB648" s="29"/>
      <c r="AC648" s="29"/>
      <c r="AD648" s="37">
        <f t="shared" ref="AD648:AD711" si="149">IF(TRIM(G648)="", "", DATE(LEFT(G648,4),MID(G648,5,2),MID(G648,7,2)))</f>
        <v>28499</v>
      </c>
      <c r="AE648" s="3" t="str">
        <f t="shared" ca="1" si="148"/>
        <v>48 Tahun 7 bulan 23 Hari</v>
      </c>
      <c r="AF648" s="38">
        <f t="shared" ref="AF648:AF711" si="150">IF(TRIM(AD648)="","",DATE(YEAR(AD648)+60,MONTH(AD648)+1,1))</f>
        <v>50437</v>
      </c>
    </row>
    <row r="649" spans="1:32" s="7" customFormat="1" ht="30" customHeight="1" x14ac:dyDescent="0.35">
      <c r="A649" s="26">
        <f t="shared" si="142"/>
        <v>609</v>
      </c>
      <c r="B649" s="27" t="s">
        <v>1827</v>
      </c>
      <c r="C649" s="26"/>
      <c r="D649" s="111" t="s">
        <v>1837</v>
      </c>
      <c r="E649" s="51" t="s">
        <v>1838</v>
      </c>
      <c r="F649" s="24" t="s">
        <v>43</v>
      </c>
      <c r="G649" s="52" t="s">
        <v>1839</v>
      </c>
      <c r="H649" s="36" t="s">
        <v>132</v>
      </c>
      <c r="I649" s="4" t="s">
        <v>46</v>
      </c>
      <c r="J649" s="82" t="s">
        <v>711</v>
      </c>
      <c r="K649" s="3" t="str">
        <f t="shared" ca="1" si="146"/>
        <v xml:space="preserve">4 Tahun 11 bulan </v>
      </c>
      <c r="L649" s="36" t="s">
        <v>1749</v>
      </c>
      <c r="M649" s="82" t="s">
        <v>711</v>
      </c>
      <c r="N649" s="3" t="str">
        <f t="shared" ca="1" si="139"/>
        <v xml:space="preserve">4 Tahun 11 bulan </v>
      </c>
      <c r="O649" s="36"/>
      <c r="P649" s="4" t="s">
        <v>35</v>
      </c>
      <c r="Q649" s="4" t="str">
        <f t="shared" si="147"/>
        <v>Perempuan</v>
      </c>
      <c r="R649" s="4">
        <f t="shared" si="138"/>
        <v>1</v>
      </c>
      <c r="S649" s="4" t="str">
        <f t="shared" si="144"/>
        <v>1</v>
      </c>
      <c r="T649" s="4">
        <f t="shared" si="143"/>
        <v>0</v>
      </c>
      <c r="U649" s="29"/>
      <c r="V649" s="30"/>
      <c r="W649" s="30"/>
      <c r="X649" s="30"/>
      <c r="Y649" s="30"/>
      <c r="Z649" s="30"/>
      <c r="AA649" s="30"/>
      <c r="AB649" s="29"/>
      <c r="AC649" s="29"/>
      <c r="AD649" s="37">
        <f t="shared" si="149"/>
        <v>26861</v>
      </c>
      <c r="AE649" s="3" t="str">
        <f t="shared" ca="1" si="148"/>
        <v>53 Tahun 1 bulan 16 Hari</v>
      </c>
      <c r="AF649" s="38">
        <f t="shared" si="150"/>
        <v>48792</v>
      </c>
    </row>
    <row r="650" spans="1:32" s="7" customFormat="1" ht="30" customHeight="1" x14ac:dyDescent="0.35">
      <c r="A650" s="26">
        <f t="shared" si="142"/>
        <v>610</v>
      </c>
      <c r="B650" s="27" t="s">
        <v>1827</v>
      </c>
      <c r="C650" s="26"/>
      <c r="D650" s="60" t="s">
        <v>1840</v>
      </c>
      <c r="E650" s="45" t="s">
        <v>1841</v>
      </c>
      <c r="F650" s="24" t="s">
        <v>43</v>
      </c>
      <c r="G650" s="44" t="s">
        <v>1842</v>
      </c>
      <c r="H650" s="4" t="s">
        <v>345</v>
      </c>
      <c r="I650" s="4" t="s">
        <v>184</v>
      </c>
      <c r="J650" s="47" t="s">
        <v>1843</v>
      </c>
      <c r="K650" s="3" t="str">
        <f t="shared" ca="1" si="146"/>
        <v xml:space="preserve">1 Tahun 3 bulan </v>
      </c>
      <c r="L650" s="36" t="s">
        <v>200</v>
      </c>
      <c r="M650" s="47" t="s">
        <v>199</v>
      </c>
      <c r="N650" s="3" t="str">
        <f t="shared" ca="1" si="139"/>
        <v xml:space="preserve">3 Tahun 11 bulan </v>
      </c>
      <c r="O650" s="4" t="s">
        <v>128</v>
      </c>
      <c r="P650" s="4"/>
      <c r="Q650" s="4" t="str">
        <f t="shared" si="147"/>
        <v>Laki-Laki</v>
      </c>
      <c r="R650" s="4">
        <f t="shared" si="138"/>
        <v>1</v>
      </c>
      <c r="S650" s="4" t="str">
        <f t="shared" si="144"/>
        <v>1</v>
      </c>
      <c r="T650" s="4">
        <f t="shared" si="143"/>
        <v>0</v>
      </c>
      <c r="U650" s="29"/>
      <c r="V650" s="30"/>
      <c r="W650" s="30"/>
      <c r="X650" s="30"/>
      <c r="Y650" s="30"/>
      <c r="Z650" s="30"/>
      <c r="AA650" s="30"/>
      <c r="AB650" s="29"/>
      <c r="AC650" s="29"/>
      <c r="AD650" s="37">
        <f t="shared" si="149"/>
        <v>29410</v>
      </c>
      <c r="AE650" s="3" t="str">
        <f t="shared" ca="1" si="148"/>
        <v>46 Tahun 1 bulan 24 Hari</v>
      </c>
      <c r="AF650" s="38">
        <f t="shared" si="150"/>
        <v>51349</v>
      </c>
    </row>
    <row r="651" spans="1:32" s="7" customFormat="1" ht="30" customHeight="1" x14ac:dyDescent="0.35">
      <c r="A651" s="26">
        <f t="shared" si="142"/>
        <v>611</v>
      </c>
      <c r="B651" s="27" t="s">
        <v>1827</v>
      </c>
      <c r="C651" s="26"/>
      <c r="D651" s="60" t="s">
        <v>1844</v>
      </c>
      <c r="E651" s="24" t="s">
        <v>3070</v>
      </c>
      <c r="F651" s="24" t="s">
        <v>43</v>
      </c>
      <c r="G651" s="3" t="s">
        <v>3071</v>
      </c>
      <c r="H651" s="4" t="s">
        <v>66</v>
      </c>
      <c r="I651" s="33" t="s">
        <v>46</v>
      </c>
      <c r="J651" s="82">
        <v>46260</v>
      </c>
      <c r="K651" s="3" t="str">
        <f t="shared" ca="1" si="146"/>
        <v xml:space="preserve">0 Tahun 0 bulan </v>
      </c>
      <c r="L651" s="36" t="s">
        <v>200</v>
      </c>
      <c r="M651" s="82"/>
      <c r="N651" s="3" t="str">
        <f t="shared" ca="1" si="139"/>
        <v/>
      </c>
      <c r="O651" s="36"/>
      <c r="P651" s="4" t="s">
        <v>35</v>
      </c>
      <c r="Q651" s="4" t="str">
        <f t="shared" si="147"/>
        <v>Laki-Laki</v>
      </c>
      <c r="R651" s="4">
        <f t="shared" si="138"/>
        <v>1</v>
      </c>
      <c r="S651" s="4" t="str">
        <f t="shared" si="144"/>
        <v>1</v>
      </c>
      <c r="T651" s="4">
        <f t="shared" si="143"/>
        <v>0</v>
      </c>
      <c r="U651" s="29"/>
      <c r="V651" s="30" t="s">
        <v>50</v>
      </c>
      <c r="W651" s="30"/>
      <c r="X651" s="30"/>
      <c r="Y651" s="30"/>
      <c r="Z651" s="30"/>
      <c r="AA651" s="30"/>
      <c r="AB651" s="29"/>
      <c r="AC651" s="29"/>
      <c r="AD651" s="37">
        <f t="shared" si="149"/>
        <v>27359</v>
      </c>
      <c r="AE651" s="3" t="str">
        <f t="shared" ca="1" si="148"/>
        <v>51 Tahun 9 bulan 6 Hari</v>
      </c>
      <c r="AF651" s="38">
        <f t="shared" si="150"/>
        <v>49279</v>
      </c>
    </row>
    <row r="652" spans="1:32" s="7" customFormat="1" ht="30" customHeight="1" x14ac:dyDescent="0.35">
      <c r="A652" s="26">
        <f t="shared" si="142"/>
        <v>612</v>
      </c>
      <c r="B652" s="27" t="s">
        <v>1827</v>
      </c>
      <c r="C652" s="26"/>
      <c r="D652" s="60" t="s">
        <v>1846</v>
      </c>
      <c r="E652" s="45" t="s">
        <v>1847</v>
      </c>
      <c r="F652" s="24" t="s">
        <v>43</v>
      </c>
      <c r="G652" s="36" t="s">
        <v>1848</v>
      </c>
      <c r="H652" s="4" t="s">
        <v>1488</v>
      </c>
      <c r="I652" s="48" t="s">
        <v>1849</v>
      </c>
      <c r="J652" s="82" t="s">
        <v>386</v>
      </c>
      <c r="K652" s="3" t="str">
        <f t="shared" ca="1" si="146"/>
        <v xml:space="preserve">5 Tahun 5 bulan </v>
      </c>
      <c r="L652" s="36" t="s">
        <v>200</v>
      </c>
      <c r="M652" s="82" t="s">
        <v>386</v>
      </c>
      <c r="N652" s="3" t="str">
        <f t="shared" ca="1" si="139"/>
        <v xml:space="preserve">5 Tahun 5 bulan </v>
      </c>
      <c r="O652" s="36"/>
      <c r="P652" s="4" t="s">
        <v>35</v>
      </c>
      <c r="Q652" s="4" t="str">
        <f t="shared" si="147"/>
        <v>Perempuan</v>
      </c>
      <c r="R652" s="4">
        <f t="shared" si="138"/>
        <v>1</v>
      </c>
      <c r="S652" s="4" t="str">
        <f t="shared" si="144"/>
        <v>1</v>
      </c>
      <c r="T652" s="4">
        <f t="shared" si="143"/>
        <v>0</v>
      </c>
      <c r="U652" s="29"/>
      <c r="V652" s="30"/>
      <c r="W652" s="30"/>
      <c r="X652" s="30"/>
      <c r="Y652" s="30"/>
      <c r="Z652" s="30"/>
      <c r="AA652" s="30"/>
      <c r="AB652" s="29"/>
      <c r="AC652" s="29"/>
      <c r="AD652" s="37">
        <f t="shared" si="149"/>
        <v>26564</v>
      </c>
      <c r="AE652" s="3" t="str">
        <f t="shared" ca="1" si="148"/>
        <v>53 Tahun 11 bulan 10 Hari</v>
      </c>
      <c r="AF652" s="38">
        <f t="shared" si="150"/>
        <v>48488</v>
      </c>
    </row>
    <row r="653" spans="1:32" s="7" customFormat="1" ht="30" customHeight="1" x14ac:dyDescent="0.35">
      <c r="A653" s="26">
        <f t="shared" si="142"/>
        <v>613</v>
      </c>
      <c r="B653" s="27" t="s">
        <v>1827</v>
      </c>
      <c r="C653" s="26"/>
      <c r="D653" s="60" t="s">
        <v>1850</v>
      </c>
      <c r="E653" s="93" t="s">
        <v>1851</v>
      </c>
      <c r="F653" s="24" t="s">
        <v>43</v>
      </c>
      <c r="G653" s="114" t="s">
        <v>1852</v>
      </c>
      <c r="H653" s="4" t="s">
        <v>1853</v>
      </c>
      <c r="I653" s="4" t="s">
        <v>107</v>
      </c>
      <c r="J653" s="72" t="s">
        <v>98</v>
      </c>
      <c r="K653" s="3" t="str">
        <f t="shared" ca="1" si="146"/>
        <v xml:space="preserve">3 Tahun 0 bulan </v>
      </c>
      <c r="L653" s="36" t="s">
        <v>200</v>
      </c>
      <c r="M653" s="72" t="s">
        <v>98</v>
      </c>
      <c r="N653" s="3" t="str">
        <f t="shared" ca="1" si="139"/>
        <v xml:space="preserve">3 Tahun 0 bulan </v>
      </c>
      <c r="O653" s="4"/>
      <c r="P653" s="4" t="s">
        <v>35</v>
      </c>
      <c r="Q653" s="4" t="str">
        <f t="shared" si="147"/>
        <v>Laki-Laki</v>
      </c>
      <c r="R653" s="4">
        <f t="shared" si="138"/>
        <v>1</v>
      </c>
      <c r="S653" s="4" t="str">
        <f t="shared" si="144"/>
        <v>1</v>
      </c>
      <c r="T653" s="4">
        <f t="shared" si="143"/>
        <v>0</v>
      </c>
      <c r="U653" s="29"/>
      <c r="V653" s="30" t="s">
        <v>50</v>
      </c>
      <c r="W653" s="30"/>
      <c r="X653" s="30"/>
      <c r="Y653" s="30"/>
      <c r="Z653" s="30"/>
      <c r="AA653" s="30"/>
      <c r="AB653" s="29"/>
      <c r="AC653" s="29"/>
      <c r="AD653" s="37">
        <f t="shared" si="149"/>
        <v>26117</v>
      </c>
      <c r="AE653" s="3" t="str">
        <f t="shared" ca="1" si="148"/>
        <v>55 Tahun 1 bulan 29 Hari</v>
      </c>
      <c r="AF653" s="38">
        <f t="shared" si="150"/>
        <v>48061</v>
      </c>
    </row>
    <row r="654" spans="1:32" s="7" customFormat="1" ht="30" customHeight="1" x14ac:dyDescent="0.35">
      <c r="A654" s="26">
        <f t="shared" si="142"/>
        <v>614</v>
      </c>
      <c r="B654" s="27" t="s">
        <v>1827</v>
      </c>
      <c r="C654" s="26"/>
      <c r="D654" s="60" t="s">
        <v>1854</v>
      </c>
      <c r="E654" s="45" t="s">
        <v>1855</v>
      </c>
      <c r="F654" s="24" t="s">
        <v>43</v>
      </c>
      <c r="G654" s="44" t="s">
        <v>1856</v>
      </c>
      <c r="H654" s="4" t="s">
        <v>410</v>
      </c>
      <c r="I654" s="36" t="s">
        <v>86</v>
      </c>
      <c r="J654" s="82" t="s">
        <v>199</v>
      </c>
      <c r="K654" s="3" t="str">
        <f t="shared" ca="1" si="146"/>
        <v xml:space="preserve">3 Tahun 11 bulan </v>
      </c>
      <c r="L654" s="36" t="s">
        <v>200</v>
      </c>
      <c r="M654" s="82" t="s">
        <v>199</v>
      </c>
      <c r="N654" s="3" t="str">
        <f t="shared" ca="1" si="139"/>
        <v xml:space="preserve">3 Tahun 11 bulan </v>
      </c>
      <c r="O654" s="36"/>
      <c r="P654" s="4" t="s">
        <v>35</v>
      </c>
      <c r="Q654" s="4" t="str">
        <f t="shared" si="147"/>
        <v>Laki-Laki</v>
      </c>
      <c r="R654" s="4">
        <f t="shared" si="138"/>
        <v>1</v>
      </c>
      <c r="S654" s="4" t="str">
        <f t="shared" si="144"/>
        <v>1</v>
      </c>
      <c r="T654" s="4">
        <f t="shared" si="143"/>
        <v>0</v>
      </c>
      <c r="U654" s="29"/>
      <c r="V654" s="30"/>
      <c r="W654" s="30"/>
      <c r="X654" s="30"/>
      <c r="Y654" s="30"/>
      <c r="Z654" s="30"/>
      <c r="AA654" s="30"/>
      <c r="AB654" s="29"/>
      <c r="AC654" s="29"/>
      <c r="AD654" s="37">
        <f t="shared" si="149"/>
        <v>28852</v>
      </c>
      <c r="AE654" s="3" t="str">
        <f t="shared" ca="1" si="148"/>
        <v>47 Tahun 8 bulan 4 Hari</v>
      </c>
      <c r="AF654" s="38">
        <f t="shared" si="150"/>
        <v>50771</v>
      </c>
    </row>
    <row r="655" spans="1:32" s="7" customFormat="1" ht="33" customHeight="1" x14ac:dyDescent="0.35">
      <c r="A655" s="26"/>
      <c r="B655" s="27" t="s">
        <v>1857</v>
      </c>
      <c r="C655" s="280" t="s">
        <v>1858</v>
      </c>
      <c r="D655" s="281"/>
      <c r="E655" s="271" t="str">
        <f ca="1">IF(J655="","",CONCATENATE(DATEDIF(J655,NOW(),"Y")," Tahun ",DATEDIF(J655,NOW(),"YM")," bulan "))</f>
        <v/>
      </c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  <c r="AB655" s="272"/>
      <c r="AC655" s="272"/>
      <c r="AD655" s="272"/>
      <c r="AE655" s="272"/>
      <c r="AF655" s="273"/>
    </row>
    <row r="656" spans="1:32" s="7" customFormat="1" ht="32.15" customHeight="1" x14ac:dyDescent="0.35">
      <c r="A656" s="26">
        <f>A654+1</f>
        <v>615</v>
      </c>
      <c r="B656" s="27" t="s">
        <v>1857</v>
      </c>
      <c r="C656" s="282" t="s">
        <v>1859</v>
      </c>
      <c r="D656" s="283"/>
      <c r="E656" s="24" t="s">
        <v>3041</v>
      </c>
      <c r="F656" s="24" t="s">
        <v>43</v>
      </c>
      <c r="G656" s="3" t="s">
        <v>3042</v>
      </c>
      <c r="H656" s="4" t="s">
        <v>3043</v>
      </c>
      <c r="I656" s="4"/>
      <c r="J656" s="81">
        <v>46260</v>
      </c>
      <c r="K656" s="3" t="str">
        <f t="shared" ca="1" si="146"/>
        <v xml:space="preserve">0 Tahun 0 bulan </v>
      </c>
      <c r="L656" s="30" t="s">
        <v>79</v>
      </c>
      <c r="M656" s="81"/>
      <c r="N656" s="3" t="str">
        <f t="shared" ca="1" si="139"/>
        <v/>
      </c>
      <c r="O656" s="36" t="s">
        <v>81</v>
      </c>
      <c r="P656" s="4" t="s">
        <v>35</v>
      </c>
      <c r="Q656" s="4" t="str">
        <f t="shared" si="147"/>
        <v>Laki-Laki</v>
      </c>
      <c r="R656" s="4">
        <f>R654</f>
        <v>1</v>
      </c>
      <c r="S656" s="4" t="str">
        <f t="shared" ref="S656:S664" si="151">IF(E656="LOWONG","0","1")</f>
        <v>1</v>
      </c>
      <c r="T656" s="4">
        <f t="shared" ref="T656" si="152">R656-S656</f>
        <v>0</v>
      </c>
      <c r="U656" s="29"/>
      <c r="V656" s="30" t="s">
        <v>50</v>
      </c>
      <c r="W656" s="30"/>
      <c r="X656" s="30"/>
      <c r="Y656" s="30"/>
      <c r="Z656" s="30"/>
      <c r="AA656" s="30"/>
      <c r="AB656" s="29"/>
      <c r="AC656" s="29"/>
      <c r="AD656" s="37">
        <f t="shared" si="149"/>
        <v>25841</v>
      </c>
      <c r="AE656" s="3" t="str">
        <f t="shared" ca="1" si="148"/>
        <v>55 Tahun 11 bulan 2 Hari</v>
      </c>
      <c r="AF656" s="38">
        <f t="shared" si="150"/>
        <v>47757</v>
      </c>
    </row>
    <row r="657" spans="1:32" s="7" customFormat="1" ht="32.15" customHeight="1" x14ac:dyDescent="0.35">
      <c r="A657" s="26">
        <f t="shared" si="142"/>
        <v>616</v>
      </c>
      <c r="B657" s="27" t="s">
        <v>1857</v>
      </c>
      <c r="C657" s="282" t="s">
        <v>1860</v>
      </c>
      <c r="D657" s="283"/>
      <c r="E657" s="24" t="s">
        <v>3060</v>
      </c>
      <c r="F657" s="24" t="s">
        <v>43</v>
      </c>
      <c r="G657" s="4" t="s">
        <v>3061</v>
      </c>
      <c r="H657" s="4" t="s">
        <v>3062</v>
      </c>
      <c r="I657" s="4"/>
      <c r="J657" s="53">
        <v>46260</v>
      </c>
      <c r="K657" s="3" t="str">
        <f t="shared" ca="1" si="146"/>
        <v xml:space="preserve">0 Tahun 0 bulan </v>
      </c>
      <c r="L657" s="36" t="s">
        <v>346</v>
      </c>
      <c r="M657" s="53">
        <v>46260</v>
      </c>
      <c r="N657" s="3" t="str">
        <f t="shared" ca="1" si="139"/>
        <v xml:space="preserve">0 Tahun 0 bulan </v>
      </c>
      <c r="O657" s="36"/>
      <c r="P657" s="4" t="s">
        <v>35</v>
      </c>
      <c r="Q657" s="4" t="str">
        <f t="shared" si="147"/>
        <v>Perempuan</v>
      </c>
      <c r="R657" s="4">
        <f t="shared" si="138"/>
        <v>1</v>
      </c>
      <c r="S657" s="4" t="str">
        <f t="shared" si="151"/>
        <v>1</v>
      </c>
      <c r="T657" s="4">
        <f t="shared" si="143"/>
        <v>0</v>
      </c>
      <c r="U657" s="29"/>
      <c r="V657" s="30" t="s">
        <v>50</v>
      </c>
      <c r="W657" s="30"/>
      <c r="X657" s="30"/>
      <c r="Y657" s="30"/>
      <c r="Z657" s="30"/>
      <c r="AA657" s="30"/>
      <c r="AB657" s="29"/>
      <c r="AC657" s="29"/>
      <c r="AD657" s="37">
        <f t="shared" si="149"/>
        <v>27883</v>
      </c>
      <c r="AE657" s="3" t="str">
        <f t="shared" ca="1" si="148"/>
        <v>50 Tahun 3 bulan 29 Hari</v>
      </c>
      <c r="AF657" s="38">
        <f t="shared" si="150"/>
        <v>49827</v>
      </c>
    </row>
    <row r="658" spans="1:32" s="7" customFormat="1" ht="30" customHeight="1" x14ac:dyDescent="0.35">
      <c r="A658" s="26">
        <f t="shared" si="142"/>
        <v>617</v>
      </c>
      <c r="B658" s="27" t="s">
        <v>1857</v>
      </c>
      <c r="C658" s="26"/>
      <c r="D658" s="111" t="s">
        <v>1863</v>
      </c>
      <c r="E658" s="45" t="s">
        <v>1864</v>
      </c>
      <c r="F658" s="24" t="s">
        <v>43</v>
      </c>
      <c r="G658" s="44" t="s">
        <v>1865</v>
      </c>
      <c r="H658" s="36" t="s">
        <v>1866</v>
      </c>
      <c r="I658" s="4" t="s">
        <v>86</v>
      </c>
      <c r="J658" s="47" t="s">
        <v>275</v>
      </c>
      <c r="K658" s="3" t="str">
        <f t="shared" ca="1" si="146"/>
        <v xml:space="preserve">5 Tahun 10 bulan </v>
      </c>
      <c r="L658" s="36" t="s">
        <v>1749</v>
      </c>
      <c r="M658" s="47" t="s">
        <v>275</v>
      </c>
      <c r="N658" s="3" t="str">
        <f t="shared" ca="1" si="139"/>
        <v xml:space="preserve">5 Tahun 10 bulan </v>
      </c>
      <c r="O658" s="36"/>
      <c r="P658" s="4" t="s">
        <v>35</v>
      </c>
      <c r="Q658" s="4" t="str">
        <f t="shared" si="147"/>
        <v>Laki-Laki</v>
      </c>
      <c r="R658" s="4">
        <f t="shared" si="138"/>
        <v>1</v>
      </c>
      <c r="S658" s="4" t="str">
        <f t="shared" si="151"/>
        <v>1</v>
      </c>
      <c r="T658" s="4">
        <f t="shared" si="143"/>
        <v>0</v>
      </c>
      <c r="U658" s="29"/>
      <c r="V658" s="30" t="s">
        <v>50</v>
      </c>
      <c r="W658" s="30"/>
      <c r="X658" s="30"/>
      <c r="Y658" s="30"/>
      <c r="Z658" s="30"/>
      <c r="AA658" s="30"/>
      <c r="AB658" s="29"/>
      <c r="AC658" s="29"/>
      <c r="AD658" s="37">
        <f t="shared" si="149"/>
        <v>26481</v>
      </c>
      <c r="AE658" s="3" t="str">
        <f t="shared" ca="1" si="148"/>
        <v>54 Tahun 2 bulan 0 Hari</v>
      </c>
      <c r="AF658" s="38">
        <f t="shared" si="150"/>
        <v>48427</v>
      </c>
    </row>
    <row r="659" spans="1:32" s="7" customFormat="1" ht="30" customHeight="1" x14ac:dyDescent="0.35">
      <c r="A659" s="26">
        <f t="shared" si="142"/>
        <v>618</v>
      </c>
      <c r="B659" s="27" t="s">
        <v>1857</v>
      </c>
      <c r="C659" s="26"/>
      <c r="D659" s="111" t="s">
        <v>1867</v>
      </c>
      <c r="E659" s="45" t="s">
        <v>1868</v>
      </c>
      <c r="F659" s="24" t="s">
        <v>43</v>
      </c>
      <c r="G659" s="44" t="s">
        <v>1869</v>
      </c>
      <c r="H659" s="36" t="s">
        <v>159</v>
      </c>
      <c r="I659" s="36" t="s">
        <v>86</v>
      </c>
      <c r="J659" s="47" t="s">
        <v>386</v>
      </c>
      <c r="K659" s="3" t="str">
        <f t="shared" ca="1" si="146"/>
        <v xml:space="preserve">5 Tahun 5 bulan </v>
      </c>
      <c r="L659" s="36" t="s">
        <v>1749</v>
      </c>
      <c r="M659" s="47" t="s">
        <v>386</v>
      </c>
      <c r="N659" s="3" t="str">
        <f t="shared" ca="1" si="139"/>
        <v xml:space="preserve">5 Tahun 5 bulan </v>
      </c>
      <c r="O659" s="36"/>
      <c r="P659" s="4" t="s">
        <v>35</v>
      </c>
      <c r="Q659" s="4" t="str">
        <f t="shared" si="147"/>
        <v>Laki-Laki</v>
      </c>
      <c r="R659" s="4">
        <f t="shared" si="138"/>
        <v>1</v>
      </c>
      <c r="S659" s="4" t="str">
        <f t="shared" si="151"/>
        <v>1</v>
      </c>
      <c r="T659" s="4">
        <f t="shared" si="143"/>
        <v>0</v>
      </c>
      <c r="U659" s="29"/>
      <c r="V659" s="30" t="s">
        <v>50</v>
      </c>
      <c r="W659" s="30"/>
      <c r="X659" s="30"/>
      <c r="Y659" s="30"/>
      <c r="Z659" s="30"/>
      <c r="AA659" s="30"/>
      <c r="AB659" s="29"/>
      <c r="AC659" s="29"/>
      <c r="AD659" s="37">
        <f t="shared" si="149"/>
        <v>28720</v>
      </c>
      <c r="AE659" s="3" t="str">
        <f t="shared" ca="1" si="148"/>
        <v>48 Tahun 0 bulan 14 Hari</v>
      </c>
      <c r="AF659" s="38">
        <f t="shared" si="150"/>
        <v>50649</v>
      </c>
    </row>
    <row r="660" spans="1:32" s="7" customFormat="1" ht="30" customHeight="1" x14ac:dyDescent="0.35">
      <c r="A660" s="26">
        <f t="shared" si="142"/>
        <v>619</v>
      </c>
      <c r="B660" s="27" t="s">
        <v>1857</v>
      </c>
      <c r="C660" s="26"/>
      <c r="D660" s="60" t="s">
        <v>1870</v>
      </c>
      <c r="E660" s="45" t="s">
        <v>1871</v>
      </c>
      <c r="F660" s="24" t="s">
        <v>43</v>
      </c>
      <c r="G660" s="44" t="s">
        <v>1872</v>
      </c>
      <c r="H660" s="4" t="s">
        <v>85</v>
      </c>
      <c r="I660" s="36" t="s">
        <v>86</v>
      </c>
      <c r="J660" s="47" t="s">
        <v>565</v>
      </c>
      <c r="K660" s="3" t="str">
        <f t="shared" ca="1" si="146"/>
        <v xml:space="preserve">5 Tahun 9 bulan </v>
      </c>
      <c r="L660" s="36" t="s">
        <v>200</v>
      </c>
      <c r="M660" s="47" t="s">
        <v>565</v>
      </c>
      <c r="N660" s="3" t="str">
        <f t="shared" ca="1" si="139"/>
        <v xml:space="preserve">5 Tahun 9 bulan </v>
      </c>
      <c r="O660" s="36"/>
      <c r="P660" s="4" t="s">
        <v>35</v>
      </c>
      <c r="Q660" s="4" t="str">
        <f t="shared" si="147"/>
        <v>Laki-Laki</v>
      </c>
      <c r="R660" s="4">
        <f t="shared" si="138"/>
        <v>1</v>
      </c>
      <c r="S660" s="4" t="str">
        <f t="shared" si="151"/>
        <v>1</v>
      </c>
      <c r="T660" s="4">
        <f t="shared" si="143"/>
        <v>0</v>
      </c>
      <c r="U660" s="29"/>
      <c r="V660" s="30" t="s">
        <v>50</v>
      </c>
      <c r="W660" s="30"/>
      <c r="X660" s="30"/>
      <c r="Y660" s="30"/>
      <c r="Z660" s="30"/>
      <c r="AA660" s="30"/>
      <c r="AB660" s="29"/>
      <c r="AC660" s="29"/>
      <c r="AD660" s="37">
        <f t="shared" si="149"/>
        <v>26299</v>
      </c>
      <c r="AE660" s="3" t="str">
        <f t="shared" ca="1" si="148"/>
        <v>54 Tahun 8 bulan 0 Hari</v>
      </c>
      <c r="AF660" s="38">
        <f t="shared" si="150"/>
        <v>48245</v>
      </c>
    </row>
    <row r="661" spans="1:32" s="7" customFormat="1" ht="30" customHeight="1" x14ac:dyDescent="0.35">
      <c r="A661" s="26">
        <f t="shared" si="142"/>
        <v>620</v>
      </c>
      <c r="B661" s="27" t="s">
        <v>1857</v>
      </c>
      <c r="C661" s="26"/>
      <c r="D661" s="60" t="s">
        <v>1873</v>
      </c>
      <c r="E661" s="45" t="s">
        <v>1874</v>
      </c>
      <c r="F661" s="24" t="s">
        <v>43</v>
      </c>
      <c r="G661" s="36" t="s">
        <v>1875</v>
      </c>
      <c r="H661" s="4" t="s">
        <v>414</v>
      </c>
      <c r="I661" s="48" t="s">
        <v>46</v>
      </c>
      <c r="J661" s="47" t="s">
        <v>275</v>
      </c>
      <c r="K661" s="3" t="str">
        <f t="shared" ca="1" si="146"/>
        <v xml:space="preserve">5 Tahun 10 bulan </v>
      </c>
      <c r="L661" s="36" t="s">
        <v>200</v>
      </c>
      <c r="M661" s="47" t="s">
        <v>275</v>
      </c>
      <c r="N661" s="3" t="str">
        <f t="shared" ca="1" si="139"/>
        <v xml:space="preserve">5 Tahun 10 bulan </v>
      </c>
      <c r="O661" s="36"/>
      <c r="P661" s="4" t="s">
        <v>35</v>
      </c>
      <c r="Q661" s="4" t="str">
        <f t="shared" si="147"/>
        <v>Perempuan</v>
      </c>
      <c r="R661" s="4">
        <f t="shared" si="138"/>
        <v>1</v>
      </c>
      <c r="S661" s="4" t="str">
        <f t="shared" si="151"/>
        <v>1</v>
      </c>
      <c r="T661" s="4">
        <f t="shared" si="143"/>
        <v>0</v>
      </c>
      <c r="U661" s="29"/>
      <c r="V661" s="30"/>
      <c r="W661" s="30"/>
      <c r="X661" s="30"/>
      <c r="Y661" s="30"/>
      <c r="Z661" s="30"/>
      <c r="AA661" s="30"/>
      <c r="AB661" s="29"/>
      <c r="AC661" s="29"/>
      <c r="AD661" s="37">
        <f t="shared" si="149"/>
        <v>28327</v>
      </c>
      <c r="AE661" s="3" t="str">
        <f t="shared" ca="1" si="148"/>
        <v>49 Tahun 1 bulan 11 Hari</v>
      </c>
      <c r="AF661" s="38">
        <f t="shared" si="150"/>
        <v>50253</v>
      </c>
    </row>
    <row r="662" spans="1:32" s="7" customFormat="1" ht="30" customHeight="1" x14ac:dyDescent="0.35">
      <c r="A662" s="26">
        <f t="shared" si="142"/>
        <v>621</v>
      </c>
      <c r="B662" s="27" t="s">
        <v>1857</v>
      </c>
      <c r="C662" s="26"/>
      <c r="D662" s="60" t="s">
        <v>1876</v>
      </c>
      <c r="E662" s="45" t="s">
        <v>1877</v>
      </c>
      <c r="F662" s="24" t="s">
        <v>43</v>
      </c>
      <c r="G662" s="44" t="s">
        <v>1878</v>
      </c>
      <c r="H662" s="36" t="s">
        <v>379</v>
      </c>
      <c r="I662" s="33" t="s">
        <v>46</v>
      </c>
      <c r="J662" s="47" t="s">
        <v>1766</v>
      </c>
      <c r="K662" s="3" t="str">
        <f t="shared" ca="1" si="146"/>
        <v xml:space="preserve">9 Tahun 0 bulan </v>
      </c>
      <c r="L662" s="36" t="s">
        <v>200</v>
      </c>
      <c r="M662" s="47" t="s">
        <v>1766</v>
      </c>
      <c r="N662" s="3" t="str">
        <f t="shared" ca="1" si="139"/>
        <v xml:space="preserve">9 Tahun 0 bulan </v>
      </c>
      <c r="O662" s="36"/>
      <c r="P662" s="4" t="s">
        <v>35</v>
      </c>
      <c r="Q662" s="4" t="str">
        <f t="shared" si="147"/>
        <v>Perempuan</v>
      </c>
      <c r="R662" s="4">
        <f t="shared" si="138"/>
        <v>1</v>
      </c>
      <c r="S662" s="4" t="str">
        <f t="shared" si="151"/>
        <v>1</v>
      </c>
      <c r="T662" s="4">
        <f t="shared" si="143"/>
        <v>0</v>
      </c>
      <c r="U662" s="29"/>
      <c r="V662" s="30"/>
      <c r="W662" s="30"/>
      <c r="X662" s="30"/>
      <c r="Y662" s="30"/>
      <c r="Z662" s="30"/>
      <c r="AA662" s="30"/>
      <c r="AB662" s="29"/>
      <c r="AC662" s="29"/>
      <c r="AD662" s="37">
        <f t="shared" si="149"/>
        <v>30059</v>
      </c>
      <c r="AE662" s="3" t="str">
        <f t="shared" ca="1" si="148"/>
        <v>44 Tahun 4 bulan 14 Hari</v>
      </c>
      <c r="AF662" s="38">
        <f t="shared" si="150"/>
        <v>51987</v>
      </c>
    </row>
    <row r="663" spans="1:32" s="7" customFormat="1" ht="30" customHeight="1" x14ac:dyDescent="0.35">
      <c r="A663" s="26">
        <f t="shared" si="142"/>
        <v>622</v>
      </c>
      <c r="B663" s="27" t="s">
        <v>1857</v>
      </c>
      <c r="C663" s="26"/>
      <c r="D663" s="60" t="s">
        <v>1879</v>
      </c>
      <c r="E663" s="45" t="s">
        <v>1880</v>
      </c>
      <c r="F663" s="24" t="s">
        <v>43</v>
      </c>
      <c r="G663" s="44" t="s">
        <v>1881</v>
      </c>
      <c r="H663" s="36" t="s">
        <v>472</v>
      </c>
      <c r="I663" s="48" t="s">
        <v>86</v>
      </c>
      <c r="J663" s="47" t="s">
        <v>1748</v>
      </c>
      <c r="K663" s="3" t="str">
        <f t="shared" ca="1" si="146"/>
        <v xml:space="preserve">9 Tahun 7 bulan </v>
      </c>
      <c r="L663" s="36" t="s">
        <v>200</v>
      </c>
      <c r="M663" s="47" t="s">
        <v>1748</v>
      </c>
      <c r="N663" s="3" t="str">
        <f t="shared" ca="1" si="139"/>
        <v xml:space="preserve">9 Tahun 7 bulan </v>
      </c>
      <c r="O663" s="36"/>
      <c r="P663" s="4" t="s">
        <v>35</v>
      </c>
      <c r="Q663" s="4" t="str">
        <f t="shared" si="147"/>
        <v>Perempuan</v>
      </c>
      <c r="R663" s="4">
        <f t="shared" si="138"/>
        <v>1</v>
      </c>
      <c r="S663" s="4" t="str">
        <f t="shared" si="151"/>
        <v>1</v>
      </c>
      <c r="T663" s="4">
        <f t="shared" si="143"/>
        <v>0</v>
      </c>
      <c r="U663" s="29"/>
      <c r="V663" s="30"/>
      <c r="W663" s="30"/>
      <c r="X663" s="30"/>
      <c r="Y663" s="30"/>
      <c r="Z663" s="30"/>
      <c r="AA663" s="30"/>
      <c r="AB663" s="29"/>
      <c r="AC663" s="29"/>
      <c r="AD663" s="37">
        <f t="shared" si="149"/>
        <v>28316</v>
      </c>
      <c r="AE663" s="3" t="str">
        <f t="shared" ca="1" si="148"/>
        <v>49 Tahun 1 bulan 22 Hari</v>
      </c>
      <c r="AF663" s="38">
        <f t="shared" si="150"/>
        <v>50253</v>
      </c>
    </row>
    <row r="664" spans="1:32" s="7" customFormat="1" ht="30" customHeight="1" x14ac:dyDescent="0.35">
      <c r="A664" s="26">
        <f t="shared" si="142"/>
        <v>623</v>
      </c>
      <c r="B664" s="27" t="s">
        <v>1857</v>
      </c>
      <c r="C664" s="26"/>
      <c r="D664" s="60" t="s">
        <v>1882</v>
      </c>
      <c r="E664" s="45" t="s">
        <v>1883</v>
      </c>
      <c r="F664" s="24" t="s">
        <v>43</v>
      </c>
      <c r="G664" s="44" t="s">
        <v>1884</v>
      </c>
      <c r="H664" s="4" t="s">
        <v>410</v>
      </c>
      <c r="I664" s="48" t="s">
        <v>86</v>
      </c>
      <c r="J664" s="47" t="s">
        <v>1748</v>
      </c>
      <c r="K664" s="3" t="str">
        <f t="shared" ca="1" si="146"/>
        <v xml:space="preserve">9 Tahun 7 bulan </v>
      </c>
      <c r="L664" s="36" t="s">
        <v>200</v>
      </c>
      <c r="M664" s="47" t="s">
        <v>1748</v>
      </c>
      <c r="N664" s="3" t="str">
        <f t="shared" ca="1" si="139"/>
        <v xml:space="preserve">9 Tahun 7 bulan </v>
      </c>
      <c r="O664" s="36"/>
      <c r="P664" s="4" t="s">
        <v>35</v>
      </c>
      <c r="Q664" s="4" t="str">
        <f t="shared" si="147"/>
        <v>Perempuan</v>
      </c>
      <c r="R664" s="4">
        <f t="shared" si="138"/>
        <v>1</v>
      </c>
      <c r="S664" s="4" t="str">
        <f t="shared" si="151"/>
        <v>1</v>
      </c>
      <c r="T664" s="4">
        <f t="shared" si="143"/>
        <v>0</v>
      </c>
      <c r="U664" s="29"/>
      <c r="V664" s="30"/>
      <c r="W664" s="30"/>
      <c r="X664" s="30"/>
      <c r="Y664" s="30"/>
      <c r="Z664" s="30"/>
      <c r="AA664" s="30"/>
      <c r="AB664" s="29"/>
      <c r="AC664" s="29"/>
      <c r="AD664" s="37">
        <f t="shared" si="149"/>
        <v>27676</v>
      </c>
      <c r="AE664" s="3" t="str">
        <f t="shared" ca="1" si="148"/>
        <v>50 Tahun 10 bulan 23 Hari</v>
      </c>
      <c r="AF664" s="38">
        <f t="shared" si="150"/>
        <v>49614</v>
      </c>
    </row>
    <row r="665" spans="1:32" s="7" customFormat="1" ht="36.65" customHeight="1" x14ac:dyDescent="0.35">
      <c r="A665" s="26"/>
      <c r="B665" s="27" t="s">
        <v>1885</v>
      </c>
      <c r="C665" s="280" t="s">
        <v>1886</v>
      </c>
      <c r="D665" s="281"/>
      <c r="E665" s="271" t="str">
        <f ca="1">IF(J665="","",CONCATENATE(DATEDIF(J665,NOW(),"Y")," Tahun ",DATEDIF(J665,NOW(),"YM")," bulan "))</f>
        <v/>
      </c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  <c r="AB665" s="272"/>
      <c r="AC665" s="272"/>
      <c r="AD665" s="272"/>
      <c r="AE665" s="272"/>
      <c r="AF665" s="273"/>
    </row>
    <row r="666" spans="1:32" s="7" customFormat="1" ht="32.15" customHeight="1" x14ac:dyDescent="0.35">
      <c r="A666" s="26">
        <f>A664+1</f>
        <v>624</v>
      </c>
      <c r="B666" s="27" t="s">
        <v>1885</v>
      </c>
      <c r="C666" s="282" t="s">
        <v>1887</v>
      </c>
      <c r="D666" s="283"/>
      <c r="E666" s="45" t="s">
        <v>1889</v>
      </c>
      <c r="F666" s="24" t="s">
        <v>43</v>
      </c>
      <c r="G666" s="44" t="s">
        <v>1890</v>
      </c>
      <c r="H666" s="4" t="s">
        <v>385</v>
      </c>
      <c r="I666" s="36" t="s">
        <v>251</v>
      </c>
      <c r="J666" s="212">
        <v>46260</v>
      </c>
      <c r="K666" s="3" t="str">
        <f t="shared" ca="1" si="146"/>
        <v xml:space="preserve">0 Tahun 0 bulan </v>
      </c>
      <c r="L666" s="36" t="s">
        <v>79</v>
      </c>
      <c r="M666" s="82" t="s">
        <v>1109</v>
      </c>
      <c r="N666" s="3" t="str">
        <f t="shared" ca="1" si="139"/>
        <v xml:space="preserve">6 Tahun 8 bulan </v>
      </c>
      <c r="O666" s="56"/>
      <c r="P666" s="4" t="s">
        <v>35</v>
      </c>
      <c r="Q666" s="4" t="str">
        <f t="shared" si="147"/>
        <v>Laki-Laki</v>
      </c>
      <c r="R666" s="4">
        <f>R664</f>
        <v>1</v>
      </c>
      <c r="S666" s="4" t="str">
        <f t="shared" ref="S666:S674" si="153">IF(E666="LOWONG","0","1")</f>
        <v>1</v>
      </c>
      <c r="T666" s="4">
        <f t="shared" ref="T666" si="154">R666-S666</f>
        <v>0</v>
      </c>
      <c r="U666" s="29"/>
      <c r="V666" s="30" t="s">
        <v>50</v>
      </c>
      <c r="W666" s="30"/>
      <c r="X666" s="30"/>
      <c r="Y666" s="30"/>
      <c r="Z666" s="30"/>
      <c r="AA666" s="30"/>
      <c r="AB666" s="29"/>
      <c r="AC666" s="29"/>
      <c r="AD666" s="37">
        <f t="shared" si="149"/>
        <v>27262</v>
      </c>
      <c r="AE666" s="3" t="str">
        <f t="shared" ca="1" si="148"/>
        <v>52 Tahun 0 bulan 11 Hari</v>
      </c>
      <c r="AF666" s="38">
        <f t="shared" si="150"/>
        <v>49188</v>
      </c>
    </row>
    <row r="667" spans="1:32" s="7" customFormat="1" ht="32.15" customHeight="1" x14ac:dyDescent="0.35">
      <c r="A667" s="26">
        <f t="shared" si="142"/>
        <v>625</v>
      </c>
      <c r="B667" s="27" t="s">
        <v>1885</v>
      </c>
      <c r="C667" s="282" t="s">
        <v>1888</v>
      </c>
      <c r="D667" s="283"/>
      <c r="E667" s="45" t="s">
        <v>3055</v>
      </c>
      <c r="F667" s="24" t="s">
        <v>43</v>
      </c>
      <c r="G667" s="44" t="s">
        <v>3056</v>
      </c>
      <c r="H667" s="4" t="s">
        <v>750</v>
      </c>
      <c r="I667" s="36" t="s">
        <v>630</v>
      </c>
      <c r="J667" s="82">
        <v>46260</v>
      </c>
      <c r="K667" s="3" t="str">
        <f t="shared" ca="1" si="146"/>
        <v xml:space="preserve">0 Tahun 0 bulan </v>
      </c>
      <c r="L667" s="36" t="s">
        <v>346</v>
      </c>
      <c r="M667" s="82" t="s">
        <v>751</v>
      </c>
      <c r="N667" s="3" t="str">
        <f t="shared" ca="1" si="139"/>
        <v xml:space="preserve">5 Tahun 0 bulan </v>
      </c>
      <c r="O667" s="4"/>
      <c r="P667" s="4" t="s">
        <v>35</v>
      </c>
      <c r="Q667" s="4" t="str">
        <f t="shared" si="147"/>
        <v>Laki-Laki</v>
      </c>
      <c r="R667" s="4">
        <f t="shared" si="138"/>
        <v>1</v>
      </c>
      <c r="S667" s="4" t="str">
        <f t="shared" si="153"/>
        <v>1</v>
      </c>
      <c r="T667" s="4">
        <f t="shared" si="143"/>
        <v>0</v>
      </c>
      <c r="U667" s="29"/>
      <c r="V667" s="30" t="s">
        <v>50</v>
      </c>
      <c r="W667" s="30"/>
      <c r="X667" s="30"/>
      <c r="Y667" s="30"/>
      <c r="Z667" s="30"/>
      <c r="AA667" s="30"/>
      <c r="AB667" s="29"/>
      <c r="AC667" s="29"/>
      <c r="AD667" s="37">
        <f t="shared" si="149"/>
        <v>26155</v>
      </c>
      <c r="AE667" s="3" t="str">
        <f t="shared" ca="1" si="148"/>
        <v>55 Tahun 0 bulan 22 Hari</v>
      </c>
      <c r="AF667" s="38">
        <f t="shared" si="150"/>
        <v>48092</v>
      </c>
    </row>
    <row r="668" spans="1:32" s="7" customFormat="1" ht="28.5" customHeight="1" x14ac:dyDescent="0.35">
      <c r="A668" s="26">
        <f t="shared" si="142"/>
        <v>626</v>
      </c>
      <c r="B668" s="27" t="s">
        <v>1885</v>
      </c>
      <c r="C668" s="26"/>
      <c r="D668" s="111" t="s">
        <v>1891</v>
      </c>
      <c r="E668" s="71" t="s">
        <v>1892</v>
      </c>
      <c r="F668" s="24" t="s">
        <v>43</v>
      </c>
      <c r="G668" s="70" t="s">
        <v>1893</v>
      </c>
      <c r="H668" s="4" t="s">
        <v>687</v>
      </c>
      <c r="I668" s="4" t="s">
        <v>86</v>
      </c>
      <c r="J668" s="47" t="s">
        <v>338</v>
      </c>
      <c r="K668" s="3" t="str">
        <f t="shared" ca="1" si="146"/>
        <v xml:space="preserve">2 Tahun 11 bulan </v>
      </c>
      <c r="L668" s="36" t="s">
        <v>1749</v>
      </c>
      <c r="M668" s="47" t="s">
        <v>338</v>
      </c>
      <c r="N668" s="3" t="str">
        <f t="shared" ca="1" si="139"/>
        <v xml:space="preserve">2 Tahun 11 bulan </v>
      </c>
      <c r="O668" s="56"/>
      <c r="P668" s="4" t="s">
        <v>35</v>
      </c>
      <c r="Q668" s="4" t="str">
        <f t="shared" si="147"/>
        <v>Laki-Laki</v>
      </c>
      <c r="R668" s="4">
        <f t="shared" si="138"/>
        <v>1</v>
      </c>
      <c r="S668" s="4" t="str">
        <f t="shared" si="153"/>
        <v>1</v>
      </c>
      <c r="T668" s="4">
        <f t="shared" si="143"/>
        <v>0</v>
      </c>
      <c r="U668" s="29"/>
      <c r="V668" s="30" t="s">
        <v>50</v>
      </c>
      <c r="W668" s="30"/>
      <c r="X668" s="30"/>
      <c r="Y668" s="30"/>
      <c r="Z668" s="30"/>
      <c r="AA668" s="30"/>
      <c r="AB668" s="29"/>
      <c r="AC668" s="29"/>
      <c r="AD668" s="37">
        <f t="shared" si="149"/>
        <v>27546</v>
      </c>
      <c r="AE668" s="3" t="str">
        <f t="shared" ca="1" si="148"/>
        <v>51 Tahun 3 bulan 0 Hari</v>
      </c>
      <c r="AF668" s="38">
        <f t="shared" si="150"/>
        <v>49491</v>
      </c>
    </row>
    <row r="669" spans="1:32" s="7" customFormat="1" ht="28.5" customHeight="1" x14ac:dyDescent="0.35">
      <c r="A669" s="26">
        <f t="shared" si="142"/>
        <v>627</v>
      </c>
      <c r="B669" s="27" t="s">
        <v>1885</v>
      </c>
      <c r="C669" s="26"/>
      <c r="D669" s="111" t="s">
        <v>1894</v>
      </c>
      <c r="E669" s="45" t="s">
        <v>1895</v>
      </c>
      <c r="F669" s="24" t="s">
        <v>43</v>
      </c>
      <c r="G669" s="44" t="s">
        <v>1896</v>
      </c>
      <c r="H669" s="4" t="s">
        <v>687</v>
      </c>
      <c r="I669" s="4" t="s">
        <v>86</v>
      </c>
      <c r="J669" s="47" t="s">
        <v>338</v>
      </c>
      <c r="K669" s="3" t="str">
        <f t="shared" ca="1" si="146"/>
        <v xml:space="preserve">2 Tahun 11 bulan </v>
      </c>
      <c r="L669" s="36" t="s">
        <v>1749</v>
      </c>
      <c r="M669" s="47" t="s">
        <v>338</v>
      </c>
      <c r="N669" s="3" t="str">
        <f t="shared" ca="1" si="139"/>
        <v xml:space="preserve">2 Tahun 11 bulan </v>
      </c>
      <c r="O669" s="36"/>
      <c r="P669" s="4" t="s">
        <v>35</v>
      </c>
      <c r="Q669" s="4" t="str">
        <f t="shared" si="147"/>
        <v>Laki-Laki</v>
      </c>
      <c r="R669" s="4">
        <f t="shared" si="138"/>
        <v>1</v>
      </c>
      <c r="S669" s="4" t="str">
        <f t="shared" si="153"/>
        <v>1</v>
      </c>
      <c r="T669" s="4">
        <f t="shared" si="143"/>
        <v>0</v>
      </c>
      <c r="U669" s="29"/>
      <c r="V669" s="30" t="s">
        <v>50</v>
      </c>
      <c r="W669" s="30"/>
      <c r="X669" s="30"/>
      <c r="Y669" s="30"/>
      <c r="Z669" s="30"/>
      <c r="AA669" s="30"/>
      <c r="AB669" s="29"/>
      <c r="AC669" s="29"/>
      <c r="AD669" s="37">
        <f t="shared" si="149"/>
        <v>25849</v>
      </c>
      <c r="AE669" s="3" t="str">
        <f t="shared" ca="1" si="148"/>
        <v>55 Tahun 10 bulan 24 Hari</v>
      </c>
      <c r="AF669" s="38">
        <f t="shared" si="150"/>
        <v>47788</v>
      </c>
    </row>
    <row r="670" spans="1:32" s="7" customFormat="1" ht="28.5" customHeight="1" x14ac:dyDescent="0.35">
      <c r="A670" s="26">
        <f t="shared" si="142"/>
        <v>628</v>
      </c>
      <c r="B670" s="27" t="s">
        <v>1885</v>
      </c>
      <c r="C670" s="26"/>
      <c r="D670" s="60" t="s">
        <v>1897</v>
      </c>
      <c r="E670" s="45" t="s">
        <v>1898</v>
      </c>
      <c r="F670" s="24" t="s">
        <v>43</v>
      </c>
      <c r="G670" s="44" t="s">
        <v>1899</v>
      </c>
      <c r="H670" s="4" t="s">
        <v>1900</v>
      </c>
      <c r="I670" s="4" t="s">
        <v>350</v>
      </c>
      <c r="J670" s="47" t="s">
        <v>1748</v>
      </c>
      <c r="K670" s="3" t="str">
        <f t="shared" ca="1" si="146"/>
        <v xml:space="preserve">9 Tahun 7 bulan </v>
      </c>
      <c r="L670" s="36" t="s">
        <v>200</v>
      </c>
      <c r="M670" s="47" t="s">
        <v>1748</v>
      </c>
      <c r="N670" s="3" t="str">
        <f t="shared" ca="1" si="139"/>
        <v xml:space="preserve">9 Tahun 7 bulan </v>
      </c>
      <c r="O670" s="36"/>
      <c r="P670" s="4" t="s">
        <v>35</v>
      </c>
      <c r="Q670" s="4" t="str">
        <f t="shared" si="147"/>
        <v>Laki-Laki</v>
      </c>
      <c r="R670" s="4">
        <f t="shared" si="138"/>
        <v>1</v>
      </c>
      <c r="S670" s="4" t="str">
        <f t="shared" si="153"/>
        <v>1</v>
      </c>
      <c r="T670" s="4">
        <f t="shared" si="143"/>
        <v>0</v>
      </c>
      <c r="U670" s="29"/>
      <c r="V670" s="30" t="s">
        <v>50</v>
      </c>
      <c r="W670" s="30"/>
      <c r="X670" s="30"/>
      <c r="Y670" s="30"/>
      <c r="Z670" s="30"/>
      <c r="AA670" s="30"/>
      <c r="AB670" s="29"/>
      <c r="AC670" s="29"/>
      <c r="AD670" s="37">
        <f t="shared" si="149"/>
        <v>24812</v>
      </c>
      <c r="AE670" s="3" t="str">
        <f t="shared" ca="1" si="148"/>
        <v>58 Tahun 8 bulan 26 Hari</v>
      </c>
      <c r="AF670" s="38">
        <f t="shared" si="150"/>
        <v>46753</v>
      </c>
    </row>
    <row r="671" spans="1:32" s="7" customFormat="1" ht="28.5" customHeight="1" x14ac:dyDescent="0.35">
      <c r="A671" s="26">
        <f t="shared" si="142"/>
        <v>629</v>
      </c>
      <c r="B671" s="27" t="s">
        <v>1885</v>
      </c>
      <c r="C671" s="26"/>
      <c r="D671" s="60" t="s">
        <v>1901</v>
      </c>
      <c r="E671" s="45" t="s">
        <v>108</v>
      </c>
      <c r="F671" s="45"/>
      <c r="G671" s="36"/>
      <c r="H671" s="4"/>
      <c r="I671" s="4"/>
      <c r="J671" s="49"/>
      <c r="K671" s="3" t="str">
        <f t="shared" ca="1" si="146"/>
        <v/>
      </c>
      <c r="L671" s="36" t="s">
        <v>200</v>
      </c>
      <c r="M671" s="49"/>
      <c r="N671" s="3" t="str">
        <f t="shared" ca="1" si="139"/>
        <v/>
      </c>
      <c r="O671" s="36"/>
      <c r="P671" s="4"/>
      <c r="Q671" s="4" t="str">
        <f t="shared" si="147"/>
        <v/>
      </c>
      <c r="R671" s="4">
        <f t="shared" si="138"/>
        <v>1</v>
      </c>
      <c r="S671" s="4" t="str">
        <f t="shared" si="153"/>
        <v>0</v>
      </c>
      <c r="T671" s="4">
        <f t="shared" si="143"/>
        <v>1</v>
      </c>
      <c r="U671" s="29"/>
      <c r="V671" s="30" t="s">
        <v>50</v>
      </c>
      <c r="W671" s="30"/>
      <c r="X671" s="30"/>
      <c r="Y671" s="30"/>
      <c r="Z671" s="30"/>
      <c r="AA671" s="30"/>
      <c r="AB671" s="29"/>
      <c r="AC671" s="29"/>
      <c r="AD671" s="37" t="str">
        <f t="shared" si="149"/>
        <v/>
      </c>
      <c r="AE671" s="3" t="str">
        <f t="shared" ca="1" si="148"/>
        <v/>
      </c>
      <c r="AF671" s="38" t="str">
        <f t="shared" si="150"/>
        <v/>
      </c>
    </row>
    <row r="672" spans="1:32" s="7" customFormat="1" ht="28.5" customHeight="1" x14ac:dyDescent="0.35">
      <c r="A672" s="26">
        <f t="shared" si="142"/>
        <v>630</v>
      </c>
      <c r="B672" s="27" t="s">
        <v>1885</v>
      </c>
      <c r="C672" s="26"/>
      <c r="D672" s="60" t="s">
        <v>1902</v>
      </c>
      <c r="E672" s="45" t="s">
        <v>1903</v>
      </c>
      <c r="F672" s="24" t="s">
        <v>43</v>
      </c>
      <c r="G672" s="44" t="s">
        <v>1904</v>
      </c>
      <c r="H672" s="36" t="s">
        <v>85</v>
      </c>
      <c r="I672" s="4" t="s">
        <v>1905</v>
      </c>
      <c r="J672" s="47" t="s">
        <v>1109</v>
      </c>
      <c r="K672" s="3" t="str">
        <f t="shared" ca="1" si="146"/>
        <v xml:space="preserve">6 Tahun 8 bulan </v>
      </c>
      <c r="L672" s="36" t="s">
        <v>200</v>
      </c>
      <c r="M672" s="47" t="s">
        <v>1109</v>
      </c>
      <c r="N672" s="3" t="str">
        <f t="shared" ca="1" si="139"/>
        <v xml:space="preserve">6 Tahun 8 bulan </v>
      </c>
      <c r="O672" s="36"/>
      <c r="P672" s="4" t="s">
        <v>35</v>
      </c>
      <c r="Q672" s="4" t="str">
        <f t="shared" si="147"/>
        <v>Laki-Laki</v>
      </c>
      <c r="R672" s="4">
        <f t="shared" si="138"/>
        <v>1</v>
      </c>
      <c r="S672" s="4" t="str">
        <f t="shared" si="153"/>
        <v>1</v>
      </c>
      <c r="T672" s="4">
        <f t="shared" si="143"/>
        <v>0</v>
      </c>
      <c r="U672" s="29"/>
      <c r="V672" s="30" t="s">
        <v>50</v>
      </c>
      <c r="W672" s="30"/>
      <c r="X672" s="30"/>
      <c r="Y672" s="30"/>
      <c r="Z672" s="30"/>
      <c r="AA672" s="30"/>
      <c r="AB672" s="29"/>
      <c r="AC672" s="29"/>
      <c r="AD672" s="37">
        <f t="shared" si="149"/>
        <v>29695</v>
      </c>
      <c r="AE672" s="3" t="str">
        <f t="shared" ca="1" si="148"/>
        <v>45 Tahun 4 bulan 13 Hari</v>
      </c>
      <c r="AF672" s="38">
        <f t="shared" si="150"/>
        <v>51622</v>
      </c>
    </row>
    <row r="673" spans="1:32" s="7" customFormat="1" ht="28.5" customHeight="1" x14ac:dyDescent="0.35">
      <c r="A673" s="26">
        <f t="shared" si="142"/>
        <v>631</v>
      </c>
      <c r="B673" s="27" t="s">
        <v>1885</v>
      </c>
      <c r="C673" s="26"/>
      <c r="D673" s="60" t="s">
        <v>1906</v>
      </c>
      <c r="E673" s="45" t="s">
        <v>1907</v>
      </c>
      <c r="F673" s="24" t="s">
        <v>43</v>
      </c>
      <c r="G673" s="44" t="s">
        <v>1908</v>
      </c>
      <c r="H673" s="36" t="s">
        <v>414</v>
      </c>
      <c r="I673" s="4" t="s">
        <v>1905</v>
      </c>
      <c r="J673" s="82" t="s">
        <v>354</v>
      </c>
      <c r="K673" s="3" t="str">
        <f t="shared" ca="1" si="146"/>
        <v xml:space="preserve">6 Tahun 9 bulan </v>
      </c>
      <c r="L673" s="36" t="s">
        <v>200</v>
      </c>
      <c r="M673" s="82" t="s">
        <v>354</v>
      </c>
      <c r="N673" s="3" t="str">
        <f t="shared" ca="1" si="139"/>
        <v xml:space="preserve">6 Tahun 9 bulan </v>
      </c>
      <c r="O673" s="36"/>
      <c r="P673" s="4" t="s">
        <v>35</v>
      </c>
      <c r="Q673" s="4" t="str">
        <f t="shared" si="147"/>
        <v>Laki-Laki</v>
      </c>
      <c r="R673" s="4">
        <f t="shared" si="138"/>
        <v>1</v>
      </c>
      <c r="S673" s="4" t="str">
        <f t="shared" si="153"/>
        <v>1</v>
      </c>
      <c r="T673" s="4">
        <f t="shared" si="143"/>
        <v>0</v>
      </c>
      <c r="U673" s="29"/>
      <c r="V673" s="30" t="s">
        <v>50</v>
      </c>
      <c r="W673" s="30"/>
      <c r="X673" s="30"/>
      <c r="Y673" s="30"/>
      <c r="Z673" s="30"/>
      <c r="AA673" s="30"/>
      <c r="AB673" s="29"/>
      <c r="AC673" s="29"/>
      <c r="AD673" s="37">
        <f t="shared" si="149"/>
        <v>29009</v>
      </c>
      <c r="AE673" s="3" t="str">
        <f t="shared" ca="1" si="148"/>
        <v>47 Tahun 2 bulan 29 Hari</v>
      </c>
      <c r="AF673" s="38">
        <f t="shared" si="150"/>
        <v>50952</v>
      </c>
    </row>
    <row r="674" spans="1:32" s="7" customFormat="1" ht="28.5" customHeight="1" x14ac:dyDescent="0.35">
      <c r="A674" s="26">
        <f t="shared" si="142"/>
        <v>632</v>
      </c>
      <c r="B674" s="27" t="s">
        <v>1885</v>
      </c>
      <c r="C674" s="26"/>
      <c r="D674" s="60" t="s">
        <v>1909</v>
      </c>
      <c r="E674" s="39" t="s">
        <v>1910</v>
      </c>
      <c r="F674" s="24" t="s">
        <v>43</v>
      </c>
      <c r="G674" s="44" t="s">
        <v>1911</v>
      </c>
      <c r="H674" s="36" t="s">
        <v>102</v>
      </c>
      <c r="I674" s="36" t="s">
        <v>86</v>
      </c>
      <c r="J674" s="82" t="s">
        <v>1748</v>
      </c>
      <c r="K674" s="3" t="str">
        <f t="shared" ca="1" si="146"/>
        <v xml:space="preserve">9 Tahun 7 bulan </v>
      </c>
      <c r="L674" s="36" t="s">
        <v>200</v>
      </c>
      <c r="M674" s="82" t="s">
        <v>1748</v>
      </c>
      <c r="N674" s="3" t="str">
        <f t="shared" ca="1" si="139"/>
        <v xml:space="preserve">9 Tahun 7 bulan </v>
      </c>
      <c r="O674" s="36"/>
      <c r="P674" s="4" t="s">
        <v>35</v>
      </c>
      <c r="Q674" s="4" t="str">
        <f t="shared" si="147"/>
        <v/>
      </c>
      <c r="R674" s="4">
        <f t="shared" si="138"/>
        <v>1</v>
      </c>
      <c r="S674" s="4" t="str">
        <f t="shared" si="153"/>
        <v>1</v>
      </c>
      <c r="T674" s="4">
        <f t="shared" si="143"/>
        <v>0</v>
      </c>
      <c r="U674" s="29"/>
      <c r="V674" s="30" t="s">
        <v>50</v>
      </c>
      <c r="W674" s="30"/>
      <c r="X674" s="30"/>
      <c r="Y674" s="30"/>
      <c r="Z674" s="30"/>
      <c r="AA674" s="30"/>
      <c r="AB674" s="29"/>
      <c r="AC674" s="29"/>
      <c r="AD674" s="37">
        <f t="shared" si="149"/>
        <v>31193</v>
      </c>
      <c r="AE674" s="3" t="str">
        <f t="shared" ca="1" si="148"/>
        <v>41 Tahun 3 bulan 6 Hari</v>
      </c>
      <c r="AF674" s="38">
        <f t="shared" si="150"/>
        <v>53114</v>
      </c>
    </row>
    <row r="675" spans="1:32" s="7" customFormat="1" ht="30" customHeight="1" x14ac:dyDescent="0.35">
      <c r="A675" s="26"/>
      <c r="B675" s="27" t="s">
        <v>1912</v>
      </c>
      <c r="C675" s="280" t="s">
        <v>1913</v>
      </c>
      <c r="D675" s="281"/>
      <c r="E675" s="271" t="str">
        <f ca="1">IF(J675="","",CONCATENATE(DATEDIF(J675,NOW(),"Y")," Tahun ",DATEDIF(J675,NOW(),"YM")," bulan "))</f>
        <v/>
      </c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  <c r="AB675" s="272"/>
      <c r="AC675" s="272"/>
      <c r="AD675" s="272"/>
      <c r="AE675" s="272"/>
      <c r="AF675" s="273"/>
    </row>
    <row r="676" spans="1:32" s="7" customFormat="1" ht="32.15" customHeight="1" x14ac:dyDescent="0.35">
      <c r="A676" s="26">
        <f>A674+1</f>
        <v>633</v>
      </c>
      <c r="B676" s="27" t="s">
        <v>1912</v>
      </c>
      <c r="C676" s="282" t="s">
        <v>1914</v>
      </c>
      <c r="D676" s="283"/>
      <c r="E676" s="45" t="s">
        <v>2211</v>
      </c>
      <c r="F676" s="24" t="s">
        <v>43</v>
      </c>
      <c r="G676" s="44" t="s">
        <v>2212</v>
      </c>
      <c r="H676" s="4" t="s">
        <v>385</v>
      </c>
      <c r="I676" s="36" t="s">
        <v>86</v>
      </c>
      <c r="J676" s="53">
        <v>46260</v>
      </c>
      <c r="K676" s="3" t="str">
        <f t="shared" ca="1" si="146"/>
        <v xml:space="preserve">0 Tahun 0 bulan </v>
      </c>
      <c r="L676" s="36" t="s">
        <v>79</v>
      </c>
      <c r="M676" s="53">
        <v>46260</v>
      </c>
      <c r="N676" s="3" t="str">
        <f t="shared" ca="1" si="139"/>
        <v xml:space="preserve">0 Tahun 0 bulan </v>
      </c>
      <c r="O676" s="60"/>
      <c r="P676" s="4" t="s">
        <v>35</v>
      </c>
      <c r="Q676" s="4" t="str">
        <f t="shared" si="147"/>
        <v>Laki-Laki</v>
      </c>
      <c r="R676" s="4">
        <f>R674</f>
        <v>1</v>
      </c>
      <c r="S676" s="4" t="str">
        <f t="shared" ref="S676:S684" si="155">IF(E676="LOWONG","0","1")</f>
        <v>1</v>
      </c>
      <c r="T676" s="4">
        <f t="shared" ref="T676" si="156">R676-S676</f>
        <v>0</v>
      </c>
      <c r="U676" s="29"/>
      <c r="V676" s="30" t="s">
        <v>50</v>
      </c>
      <c r="W676" s="30"/>
      <c r="X676" s="30"/>
      <c r="Y676" s="30"/>
      <c r="Z676" s="30"/>
      <c r="AA676" s="30"/>
      <c r="AB676" s="29"/>
      <c r="AC676" s="29"/>
      <c r="AD676" s="37">
        <f t="shared" si="149"/>
        <v>27601</v>
      </c>
      <c r="AE676" s="3" t="str">
        <f t="shared" ca="1" si="148"/>
        <v>51 Tahun 1 bulan 6 Hari</v>
      </c>
      <c r="AF676" s="38">
        <f t="shared" si="150"/>
        <v>49522</v>
      </c>
    </row>
    <row r="677" spans="1:32" s="7" customFormat="1" ht="32.15" customHeight="1" x14ac:dyDescent="0.35">
      <c r="A677" s="26">
        <f t="shared" si="142"/>
        <v>634</v>
      </c>
      <c r="B677" s="27" t="s">
        <v>1912</v>
      </c>
      <c r="C677" s="282" t="s">
        <v>1918</v>
      </c>
      <c r="D677" s="283"/>
      <c r="E677" s="45" t="s">
        <v>1919</v>
      </c>
      <c r="F677" s="24" t="s">
        <v>43</v>
      </c>
      <c r="G677" s="44" t="s">
        <v>2851</v>
      </c>
      <c r="H677" s="4" t="s">
        <v>2852</v>
      </c>
      <c r="I677" s="36" t="s">
        <v>759</v>
      </c>
      <c r="J677" s="115">
        <v>45993</v>
      </c>
      <c r="K677" s="3" t="str">
        <f t="shared" ca="1" si="146"/>
        <v xml:space="preserve">0 Tahun 8 bulan </v>
      </c>
      <c r="L677" s="36" t="s">
        <v>346</v>
      </c>
      <c r="M677" s="65"/>
      <c r="N677" s="3" t="str">
        <f t="shared" ca="1" si="139"/>
        <v/>
      </c>
      <c r="O677" s="36"/>
      <c r="P677" s="4" t="s">
        <v>35</v>
      </c>
      <c r="Q677" s="4" t="str">
        <f t="shared" si="147"/>
        <v>Laki-Laki</v>
      </c>
      <c r="R677" s="4">
        <f t="shared" si="138"/>
        <v>1</v>
      </c>
      <c r="S677" s="4" t="str">
        <f t="shared" si="155"/>
        <v>1</v>
      </c>
      <c r="T677" s="4">
        <f t="shared" si="143"/>
        <v>0</v>
      </c>
      <c r="U677" s="29"/>
      <c r="V677" s="30" t="s">
        <v>50</v>
      </c>
      <c r="W677" s="30"/>
      <c r="X677" s="30"/>
      <c r="Y677" s="30"/>
      <c r="Z677" s="30"/>
      <c r="AA677" s="30"/>
      <c r="AB677" s="29"/>
      <c r="AC677" s="29"/>
      <c r="AD677" s="37">
        <f t="shared" si="149"/>
        <v>25220</v>
      </c>
      <c r="AE677" s="3" t="str">
        <f t="shared" ca="1" si="148"/>
        <v>57 Tahun 7 bulan 15 Hari</v>
      </c>
      <c r="AF677" s="38">
        <f t="shared" si="150"/>
        <v>47150</v>
      </c>
    </row>
    <row r="678" spans="1:32" s="7" customFormat="1" ht="39.75" customHeight="1" x14ac:dyDescent="0.35">
      <c r="A678" s="26">
        <f t="shared" si="142"/>
        <v>635</v>
      </c>
      <c r="B678" s="27" t="s">
        <v>1912</v>
      </c>
      <c r="C678" s="26"/>
      <c r="D678" s="111" t="s">
        <v>1920</v>
      </c>
      <c r="E678" s="71" t="s">
        <v>1921</v>
      </c>
      <c r="F678" s="24" t="s">
        <v>43</v>
      </c>
      <c r="G678" s="70" t="s">
        <v>1922</v>
      </c>
      <c r="H678" s="56" t="s">
        <v>1923</v>
      </c>
      <c r="I678" s="56" t="s">
        <v>1924</v>
      </c>
      <c r="J678" s="72" t="s">
        <v>338</v>
      </c>
      <c r="K678" s="3" t="str">
        <f t="shared" ca="1" si="146"/>
        <v xml:space="preserve">2 Tahun 11 bulan </v>
      </c>
      <c r="L678" s="36" t="s">
        <v>1749</v>
      </c>
      <c r="M678" s="72" t="s">
        <v>338</v>
      </c>
      <c r="N678" s="3" t="str">
        <f t="shared" ca="1" si="139"/>
        <v xml:space="preserve">2 Tahun 11 bulan </v>
      </c>
      <c r="O678" s="36"/>
      <c r="P678" s="4" t="s">
        <v>35</v>
      </c>
      <c r="Q678" s="4" t="str">
        <f t="shared" si="147"/>
        <v/>
      </c>
      <c r="R678" s="4">
        <f t="shared" si="138"/>
        <v>1</v>
      </c>
      <c r="S678" s="4" t="str">
        <f t="shared" si="155"/>
        <v>1</v>
      </c>
      <c r="T678" s="4">
        <f t="shared" si="143"/>
        <v>0</v>
      </c>
      <c r="U678" s="29"/>
      <c r="V678" s="30" t="s">
        <v>50</v>
      </c>
      <c r="W678" s="30"/>
      <c r="X678" s="30"/>
      <c r="Y678" s="30"/>
      <c r="Z678" s="30"/>
      <c r="AA678" s="30"/>
      <c r="AB678" s="29"/>
      <c r="AC678" s="29"/>
      <c r="AD678" s="37">
        <f t="shared" si="149"/>
        <v>26070</v>
      </c>
      <c r="AE678" s="3" t="str">
        <f t="shared" ca="1" si="148"/>
        <v>55 Tahun 3 bulan 15 Hari</v>
      </c>
      <c r="AF678" s="38">
        <f t="shared" si="150"/>
        <v>48000</v>
      </c>
    </row>
    <row r="679" spans="1:32" s="7" customFormat="1" ht="32.15" customHeight="1" x14ac:dyDescent="0.35">
      <c r="A679" s="26">
        <f t="shared" si="142"/>
        <v>636</v>
      </c>
      <c r="B679" s="27" t="s">
        <v>1912</v>
      </c>
      <c r="C679" s="26"/>
      <c r="D679" s="111" t="s">
        <v>1925</v>
      </c>
      <c r="E679" s="45" t="s">
        <v>1926</v>
      </c>
      <c r="F679" s="24" t="s">
        <v>43</v>
      </c>
      <c r="G679" s="44" t="s">
        <v>1927</v>
      </c>
      <c r="H679" s="4" t="s">
        <v>1761</v>
      </c>
      <c r="I679" s="36" t="s">
        <v>86</v>
      </c>
      <c r="J679" s="44" t="s">
        <v>1928</v>
      </c>
      <c r="K679" s="3" t="str">
        <f t="shared" ca="1" si="146"/>
        <v xml:space="preserve">5 Tahun 4 bulan </v>
      </c>
      <c r="L679" s="36" t="s">
        <v>1749</v>
      </c>
      <c r="M679" s="44" t="s">
        <v>1928</v>
      </c>
      <c r="N679" s="3" t="str">
        <f t="shared" ca="1" si="139"/>
        <v xml:space="preserve">5 Tahun 4 bulan </v>
      </c>
      <c r="O679" s="25"/>
      <c r="P679" s="4" t="s">
        <v>35</v>
      </c>
      <c r="Q679" s="4" t="str">
        <f t="shared" si="147"/>
        <v>Laki-Laki</v>
      </c>
      <c r="R679" s="4">
        <f t="shared" si="138"/>
        <v>1</v>
      </c>
      <c r="S679" s="4" t="str">
        <f t="shared" si="155"/>
        <v>1</v>
      </c>
      <c r="T679" s="4">
        <f t="shared" si="143"/>
        <v>0</v>
      </c>
      <c r="U679" s="29"/>
      <c r="V679" s="30" t="s">
        <v>50</v>
      </c>
      <c r="W679" s="30"/>
      <c r="X679" s="30"/>
      <c r="Y679" s="30"/>
      <c r="Z679" s="30"/>
      <c r="AA679" s="30"/>
      <c r="AB679" s="29"/>
      <c r="AC679" s="29"/>
      <c r="AD679" s="37">
        <f t="shared" si="149"/>
        <v>28029</v>
      </c>
      <c r="AE679" s="3" t="str">
        <f t="shared" ca="1" si="148"/>
        <v>49 Tahun 11 bulan 6 Hari</v>
      </c>
      <c r="AF679" s="38">
        <f t="shared" si="150"/>
        <v>49949</v>
      </c>
    </row>
    <row r="680" spans="1:32" s="7" customFormat="1" ht="32.15" customHeight="1" x14ac:dyDescent="0.35">
      <c r="A680" s="26">
        <f t="shared" si="142"/>
        <v>637</v>
      </c>
      <c r="B680" s="27" t="s">
        <v>1912</v>
      </c>
      <c r="C680" s="26"/>
      <c r="D680" s="60" t="s">
        <v>1929</v>
      </c>
      <c r="E680" s="45" t="s">
        <v>1930</v>
      </c>
      <c r="F680" s="24" t="s">
        <v>43</v>
      </c>
      <c r="G680" s="44" t="s">
        <v>1931</v>
      </c>
      <c r="H680" s="4" t="s">
        <v>159</v>
      </c>
      <c r="I680" s="36" t="s">
        <v>107</v>
      </c>
      <c r="J680" s="47" t="s">
        <v>354</v>
      </c>
      <c r="K680" s="3" t="str">
        <f t="shared" ca="1" si="146"/>
        <v xml:space="preserve">6 Tahun 9 bulan </v>
      </c>
      <c r="L680" s="36" t="s">
        <v>200</v>
      </c>
      <c r="M680" s="47" t="s">
        <v>354</v>
      </c>
      <c r="N680" s="3" t="str">
        <f t="shared" ca="1" si="139"/>
        <v xml:space="preserve">6 Tahun 9 bulan </v>
      </c>
      <c r="O680" s="36"/>
      <c r="P680" s="4" t="s">
        <v>35</v>
      </c>
      <c r="Q680" s="4" t="str">
        <f t="shared" si="147"/>
        <v>Perempuan</v>
      </c>
      <c r="R680" s="4">
        <f t="shared" si="138"/>
        <v>1</v>
      </c>
      <c r="S680" s="4" t="str">
        <f t="shared" si="155"/>
        <v>1</v>
      </c>
      <c r="T680" s="4">
        <f t="shared" si="143"/>
        <v>0</v>
      </c>
      <c r="U680" s="29"/>
      <c r="V680" s="30"/>
      <c r="W680" s="30"/>
      <c r="X680" s="30"/>
      <c r="Y680" s="30"/>
      <c r="Z680" s="30"/>
      <c r="AA680" s="30"/>
      <c r="AB680" s="29"/>
      <c r="AC680" s="29"/>
      <c r="AD680" s="37">
        <f t="shared" si="149"/>
        <v>28343</v>
      </c>
      <c r="AE680" s="3" t="str">
        <f t="shared" ca="1" si="148"/>
        <v>49 Tahun 0 bulan 26 Hari</v>
      </c>
      <c r="AF680" s="38">
        <f t="shared" si="150"/>
        <v>50284</v>
      </c>
    </row>
    <row r="681" spans="1:32" s="7" customFormat="1" ht="32.15" customHeight="1" x14ac:dyDescent="0.35">
      <c r="A681" s="26">
        <f t="shared" si="142"/>
        <v>638</v>
      </c>
      <c r="B681" s="27" t="s">
        <v>1912</v>
      </c>
      <c r="C681" s="26"/>
      <c r="D681" s="60" t="s">
        <v>1932</v>
      </c>
      <c r="E681" s="45" t="s">
        <v>1933</v>
      </c>
      <c r="F681" s="24" t="s">
        <v>43</v>
      </c>
      <c r="G681" s="44" t="s">
        <v>1934</v>
      </c>
      <c r="H681" s="4" t="s">
        <v>1761</v>
      </c>
      <c r="I681" s="36" t="s">
        <v>184</v>
      </c>
      <c r="J681" s="44" t="s">
        <v>338</v>
      </c>
      <c r="K681" s="3" t="str">
        <f t="shared" ca="1" si="146"/>
        <v xml:space="preserve">2 Tahun 11 bulan </v>
      </c>
      <c r="L681" s="36" t="s">
        <v>200</v>
      </c>
      <c r="M681" s="44" t="s">
        <v>338</v>
      </c>
      <c r="N681" s="3" t="str">
        <f t="shared" ca="1" si="139"/>
        <v xml:space="preserve">2 Tahun 11 bulan </v>
      </c>
      <c r="O681" s="36"/>
      <c r="P681" s="4" t="s">
        <v>35</v>
      </c>
      <c r="Q681" s="4" t="str">
        <f t="shared" si="147"/>
        <v>Laki-Laki</v>
      </c>
      <c r="R681" s="4">
        <v>1</v>
      </c>
      <c r="S681" s="4" t="str">
        <f t="shared" si="155"/>
        <v>1</v>
      </c>
      <c r="T681" s="4">
        <f t="shared" si="143"/>
        <v>0</v>
      </c>
      <c r="U681" s="29"/>
      <c r="V681" s="30" t="s">
        <v>50</v>
      </c>
      <c r="W681" s="30"/>
      <c r="X681" s="30"/>
      <c r="Y681" s="30"/>
      <c r="Z681" s="30"/>
      <c r="AA681" s="30"/>
      <c r="AB681" s="29"/>
      <c r="AC681" s="29"/>
      <c r="AD681" s="37">
        <f t="shared" si="149"/>
        <v>26584</v>
      </c>
      <c r="AE681" s="3" t="str">
        <f t="shared" ca="1" si="148"/>
        <v>53 Tahun 10 bulan 20 Hari</v>
      </c>
      <c r="AF681" s="38">
        <f t="shared" si="150"/>
        <v>48519</v>
      </c>
    </row>
    <row r="682" spans="1:32" s="7" customFormat="1" ht="32.15" customHeight="1" x14ac:dyDescent="0.35">
      <c r="A682" s="26">
        <f t="shared" si="142"/>
        <v>639</v>
      </c>
      <c r="B682" s="27" t="s">
        <v>1912</v>
      </c>
      <c r="C682" s="26"/>
      <c r="D682" s="60" t="s">
        <v>1935</v>
      </c>
      <c r="E682" s="39" t="s">
        <v>3080</v>
      </c>
      <c r="F682" s="24" t="s">
        <v>43</v>
      </c>
      <c r="G682" s="25" t="s">
        <v>3081</v>
      </c>
      <c r="H682" s="4" t="s">
        <v>3082</v>
      </c>
      <c r="I682" s="4" t="s">
        <v>184</v>
      </c>
      <c r="J682" s="53">
        <v>46260</v>
      </c>
      <c r="K682" s="3" t="str">
        <f t="shared" ca="1" si="146"/>
        <v xml:space="preserve">0 Tahun 0 bulan </v>
      </c>
      <c r="L682" s="36" t="s">
        <v>200</v>
      </c>
      <c r="M682" s="47"/>
      <c r="N682" s="3" t="str">
        <f t="shared" ca="1" si="139"/>
        <v/>
      </c>
      <c r="O682" s="36"/>
      <c r="P682" s="4" t="s">
        <v>35</v>
      </c>
      <c r="Q682" s="4" t="str">
        <f t="shared" si="147"/>
        <v>Laki-Laki</v>
      </c>
      <c r="R682" s="4">
        <v>1</v>
      </c>
      <c r="S682" s="4" t="str">
        <f t="shared" si="155"/>
        <v>1</v>
      </c>
      <c r="T682" s="4">
        <f t="shared" si="143"/>
        <v>0</v>
      </c>
      <c r="U682" s="29"/>
      <c r="V682" s="30" t="s">
        <v>50</v>
      </c>
      <c r="W682" s="30"/>
      <c r="X682" s="30"/>
      <c r="Y682" s="30"/>
      <c r="Z682" s="30"/>
      <c r="AA682" s="30"/>
      <c r="AB682" s="29"/>
      <c r="AC682" s="29"/>
      <c r="AD682" s="37">
        <f t="shared" si="149"/>
        <v>27515</v>
      </c>
      <c r="AE682" s="3" t="str">
        <f t="shared" ca="1" si="148"/>
        <v>51 Tahun 4 bulan 0 Hari</v>
      </c>
      <c r="AF682" s="38">
        <f t="shared" si="150"/>
        <v>49461</v>
      </c>
    </row>
    <row r="683" spans="1:32" s="7" customFormat="1" ht="32.15" customHeight="1" x14ac:dyDescent="0.35">
      <c r="A683" s="26">
        <f t="shared" si="142"/>
        <v>640</v>
      </c>
      <c r="B683" s="27" t="s">
        <v>1912</v>
      </c>
      <c r="C683" s="26"/>
      <c r="D683" s="60" t="s">
        <v>1937</v>
      </c>
      <c r="E683" s="45" t="s">
        <v>1938</v>
      </c>
      <c r="F683" s="24" t="s">
        <v>43</v>
      </c>
      <c r="G683" s="44" t="s">
        <v>1939</v>
      </c>
      <c r="H683" s="4" t="s">
        <v>106</v>
      </c>
      <c r="I683" s="36" t="s">
        <v>86</v>
      </c>
      <c r="J683" s="47" t="s">
        <v>354</v>
      </c>
      <c r="K683" s="3" t="str">
        <f t="shared" ca="1" si="146"/>
        <v xml:space="preserve">6 Tahun 9 bulan </v>
      </c>
      <c r="L683" s="36" t="s">
        <v>200</v>
      </c>
      <c r="M683" s="47" t="s">
        <v>354</v>
      </c>
      <c r="N683" s="3" t="str">
        <f t="shared" ca="1" si="139"/>
        <v xml:space="preserve">6 Tahun 9 bulan </v>
      </c>
      <c r="O683" s="36"/>
      <c r="P683" s="4" t="s">
        <v>35</v>
      </c>
      <c r="Q683" s="4" t="str">
        <f t="shared" si="147"/>
        <v>Laki-Laki</v>
      </c>
      <c r="R683" s="4">
        <v>1</v>
      </c>
      <c r="S683" s="4" t="str">
        <f t="shared" si="155"/>
        <v>1</v>
      </c>
      <c r="T683" s="4">
        <f t="shared" si="143"/>
        <v>0</v>
      </c>
      <c r="U683" s="29"/>
      <c r="V683" s="30" t="s">
        <v>50</v>
      </c>
      <c r="W683" s="30"/>
      <c r="X683" s="30"/>
      <c r="Y683" s="30"/>
      <c r="Z683" s="30"/>
      <c r="AA683" s="30"/>
      <c r="AB683" s="29"/>
      <c r="AC683" s="29"/>
      <c r="AD683" s="37">
        <f t="shared" si="149"/>
        <v>26299</v>
      </c>
      <c r="AE683" s="3" t="str">
        <f t="shared" ca="1" si="148"/>
        <v>54 Tahun 8 bulan 0 Hari</v>
      </c>
      <c r="AF683" s="38">
        <f t="shared" si="150"/>
        <v>48245</v>
      </c>
    </row>
    <row r="684" spans="1:32" s="7" customFormat="1" ht="32.15" customHeight="1" x14ac:dyDescent="0.35">
      <c r="A684" s="26">
        <f t="shared" si="142"/>
        <v>641</v>
      </c>
      <c r="B684" s="27" t="s">
        <v>1912</v>
      </c>
      <c r="C684" s="26"/>
      <c r="D684" s="60" t="s">
        <v>1940</v>
      </c>
      <c r="E684" s="24" t="s">
        <v>1941</v>
      </c>
      <c r="F684" s="24" t="s">
        <v>43</v>
      </c>
      <c r="G684" s="4" t="s">
        <v>1942</v>
      </c>
      <c r="H684" s="4" t="s">
        <v>85</v>
      </c>
      <c r="I684" s="36" t="s">
        <v>107</v>
      </c>
      <c r="J684" s="47" t="s">
        <v>386</v>
      </c>
      <c r="K684" s="3" t="str">
        <f t="shared" ca="1" si="146"/>
        <v xml:space="preserve">5 Tahun 5 bulan </v>
      </c>
      <c r="L684" s="36" t="s">
        <v>200</v>
      </c>
      <c r="M684" s="47" t="s">
        <v>386</v>
      </c>
      <c r="N684" s="3" t="str">
        <f t="shared" ca="1" si="139"/>
        <v xml:space="preserve">5 Tahun 5 bulan </v>
      </c>
      <c r="O684" s="36"/>
      <c r="P684" s="4" t="s">
        <v>35</v>
      </c>
      <c r="Q684" s="4" t="str">
        <f t="shared" si="147"/>
        <v>Perempuan</v>
      </c>
      <c r="R684" s="4">
        <v>1</v>
      </c>
      <c r="S684" s="4" t="str">
        <f t="shared" si="155"/>
        <v>1</v>
      </c>
      <c r="T684" s="4">
        <f t="shared" si="143"/>
        <v>0</v>
      </c>
      <c r="U684" s="29"/>
      <c r="V684" s="30"/>
      <c r="W684" s="30"/>
      <c r="X684" s="30"/>
      <c r="Y684" s="30"/>
      <c r="Z684" s="30"/>
      <c r="AA684" s="30"/>
      <c r="AB684" s="29"/>
      <c r="AC684" s="29"/>
      <c r="AD684" s="37">
        <f t="shared" si="149"/>
        <v>29289</v>
      </c>
      <c r="AE684" s="3" t="str">
        <f t="shared" ca="1" si="148"/>
        <v>46 Tahun 5 bulan 23 Hari</v>
      </c>
      <c r="AF684" s="38">
        <f t="shared" si="150"/>
        <v>51227</v>
      </c>
    </row>
    <row r="685" spans="1:32" s="7" customFormat="1" ht="25.5" customHeight="1" x14ac:dyDescent="0.35">
      <c r="A685" s="26"/>
      <c r="B685" s="27" t="s">
        <v>1943</v>
      </c>
      <c r="C685" s="280" t="s">
        <v>1944</v>
      </c>
      <c r="D685" s="281"/>
      <c r="E685" s="271" t="str">
        <f ca="1">IF(J685="","",CONCATENATE(DATEDIF(J685,NOW(),"Y")," Tahun ",DATEDIF(J685,NOW(),"YM")," bulan "))</f>
        <v/>
      </c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  <c r="AB685" s="272"/>
      <c r="AC685" s="272"/>
      <c r="AD685" s="272"/>
      <c r="AE685" s="272"/>
      <c r="AF685" s="273"/>
    </row>
    <row r="686" spans="1:32" s="7" customFormat="1" ht="32.15" customHeight="1" x14ac:dyDescent="0.35">
      <c r="A686" s="26">
        <f>A684+1</f>
        <v>642</v>
      </c>
      <c r="B686" s="27" t="s">
        <v>1943</v>
      </c>
      <c r="C686" s="282" t="s">
        <v>1945</v>
      </c>
      <c r="D686" s="283"/>
      <c r="E686" s="42" t="s">
        <v>3039</v>
      </c>
      <c r="F686" s="24" t="s">
        <v>43</v>
      </c>
      <c r="G686" s="43" t="s">
        <v>3040</v>
      </c>
      <c r="H686" s="4" t="s">
        <v>379</v>
      </c>
      <c r="I686" s="33" t="s">
        <v>86</v>
      </c>
      <c r="J686" s="53">
        <v>46260</v>
      </c>
      <c r="K686" s="3" t="str">
        <f t="shared" ca="1" si="146"/>
        <v xml:space="preserve">0 Tahun 0 bulan </v>
      </c>
      <c r="L686" s="30" t="s">
        <v>79</v>
      </c>
      <c r="M686" s="47" t="s">
        <v>1453</v>
      </c>
      <c r="N686" s="3" t="str">
        <f t="shared" ca="1" si="139"/>
        <v xml:space="preserve">3 Tahun 8 bulan </v>
      </c>
      <c r="O686" s="56"/>
      <c r="P686" s="4" t="s">
        <v>35</v>
      </c>
      <c r="Q686" s="4" t="str">
        <f t="shared" si="147"/>
        <v>Laki-Laki</v>
      </c>
      <c r="R686" s="4">
        <f>R684</f>
        <v>1</v>
      </c>
      <c r="S686" s="4" t="str">
        <f t="shared" ref="S686:S694" si="157">IF(E686="LOWONG","0","1")</f>
        <v>1</v>
      </c>
      <c r="T686" s="4">
        <f t="shared" si="143"/>
        <v>0</v>
      </c>
      <c r="U686" s="29"/>
      <c r="V686" s="30" t="s">
        <v>50</v>
      </c>
      <c r="W686" s="30"/>
      <c r="X686" s="30"/>
      <c r="Y686" s="30"/>
      <c r="Z686" s="30"/>
      <c r="AA686" s="30"/>
      <c r="AB686" s="29"/>
      <c r="AC686" s="29"/>
      <c r="AD686" s="37">
        <f t="shared" si="149"/>
        <v>30135</v>
      </c>
      <c r="AE686" s="3" t="str">
        <f t="shared" ca="1" si="148"/>
        <v>44 Tahun 1 bulan 29 Hari</v>
      </c>
      <c r="AF686" s="38">
        <f t="shared" si="150"/>
        <v>52079</v>
      </c>
    </row>
    <row r="687" spans="1:32" s="7" customFormat="1" ht="32.15" customHeight="1" x14ac:dyDescent="0.35">
      <c r="A687" s="26">
        <f t="shared" si="142"/>
        <v>643</v>
      </c>
      <c r="B687" s="27" t="s">
        <v>1943</v>
      </c>
      <c r="C687" s="282" t="s">
        <v>1946</v>
      </c>
      <c r="D687" s="283"/>
      <c r="E687" s="45" t="s">
        <v>1947</v>
      </c>
      <c r="F687" s="24" t="s">
        <v>43</v>
      </c>
      <c r="G687" s="36" t="s">
        <v>1948</v>
      </c>
      <c r="H687" s="44" t="s">
        <v>1949</v>
      </c>
      <c r="I687" s="33" t="s">
        <v>184</v>
      </c>
      <c r="J687" s="47" t="s">
        <v>176</v>
      </c>
      <c r="K687" s="3" t="str">
        <f t="shared" ca="1" si="146"/>
        <v xml:space="preserve">1 Tahun 4 bulan </v>
      </c>
      <c r="L687" s="36" t="s">
        <v>346</v>
      </c>
      <c r="M687" s="47" t="s">
        <v>1950</v>
      </c>
      <c r="N687" s="3" t="str">
        <f t="shared" ref="N687:N750" ca="1" si="158">IF(M687="","",CONCATENATE(DATEDIF(M687,NOW(),"Y")," Tahun ",DATEDIF(M687,NOW(),"YM")," bulan "))</f>
        <v xml:space="preserve">3 Tahun 0 bulan </v>
      </c>
      <c r="O687" s="36"/>
      <c r="P687" s="4"/>
      <c r="Q687" s="4" t="str">
        <f t="shared" si="147"/>
        <v>Laki-Laki</v>
      </c>
      <c r="R687" s="4">
        <f t="shared" ref="R687:R750" si="159">R686</f>
        <v>1</v>
      </c>
      <c r="S687" s="4" t="str">
        <f t="shared" si="157"/>
        <v>1</v>
      </c>
      <c r="T687" s="4">
        <f t="shared" si="143"/>
        <v>0</v>
      </c>
      <c r="U687" s="29"/>
      <c r="V687" s="30"/>
      <c r="W687" s="30"/>
      <c r="X687" s="30"/>
      <c r="Y687" s="30"/>
      <c r="Z687" s="30"/>
      <c r="AA687" s="30"/>
      <c r="AB687" s="29"/>
      <c r="AC687" s="29"/>
      <c r="AD687" s="37">
        <f t="shared" si="149"/>
        <v>30083</v>
      </c>
      <c r="AE687" s="3" t="str">
        <f t="shared" ca="1" si="148"/>
        <v>44 Tahun 3 bulan 20 Hari</v>
      </c>
      <c r="AF687" s="38">
        <f t="shared" si="150"/>
        <v>52018</v>
      </c>
    </row>
    <row r="688" spans="1:32" s="7" customFormat="1" ht="32.15" customHeight="1" x14ac:dyDescent="0.35">
      <c r="A688" s="26">
        <f t="shared" si="142"/>
        <v>644</v>
      </c>
      <c r="B688" s="27" t="s">
        <v>1943</v>
      </c>
      <c r="C688" s="26"/>
      <c r="D688" s="111" t="s">
        <v>1951</v>
      </c>
      <c r="E688" s="39" t="s">
        <v>1952</v>
      </c>
      <c r="F688" s="24" t="s">
        <v>43</v>
      </c>
      <c r="G688" s="40" t="s">
        <v>1953</v>
      </c>
      <c r="H688" s="4" t="s">
        <v>1954</v>
      </c>
      <c r="I688" s="36" t="s">
        <v>267</v>
      </c>
      <c r="J688" s="47" t="s">
        <v>338</v>
      </c>
      <c r="K688" s="3" t="str">
        <f t="shared" ca="1" si="146"/>
        <v xml:space="preserve">2 Tahun 11 bulan </v>
      </c>
      <c r="L688" s="36" t="s">
        <v>1749</v>
      </c>
      <c r="M688" s="47" t="s">
        <v>338</v>
      </c>
      <c r="N688" s="3" t="str">
        <f t="shared" ca="1" si="158"/>
        <v xml:space="preserve">2 Tahun 11 bulan </v>
      </c>
      <c r="O688" s="36"/>
      <c r="P688" s="4" t="s">
        <v>35</v>
      </c>
      <c r="Q688" s="4" t="str">
        <f t="shared" si="147"/>
        <v>Laki-Laki</v>
      </c>
      <c r="R688" s="4">
        <f t="shared" si="159"/>
        <v>1</v>
      </c>
      <c r="S688" s="4" t="str">
        <f t="shared" si="157"/>
        <v>1</v>
      </c>
      <c r="T688" s="4">
        <f t="shared" si="143"/>
        <v>0</v>
      </c>
      <c r="U688" s="29"/>
      <c r="V688" s="30" t="s">
        <v>50</v>
      </c>
      <c r="W688" s="30"/>
      <c r="X688" s="30"/>
      <c r="Y688" s="30"/>
      <c r="Z688" s="30"/>
      <c r="AA688" s="30"/>
      <c r="AB688" s="29"/>
      <c r="AC688" s="29"/>
      <c r="AD688" s="37">
        <f t="shared" si="149"/>
        <v>30815</v>
      </c>
      <c r="AE688" s="3" t="str">
        <f t="shared" ca="1" si="148"/>
        <v>42 Tahun 3 bulan 19 Hari</v>
      </c>
      <c r="AF688" s="38">
        <f t="shared" si="150"/>
        <v>52749</v>
      </c>
    </row>
    <row r="689" spans="1:32" s="7" customFormat="1" ht="32.15" customHeight="1" x14ac:dyDescent="0.35">
      <c r="A689" s="26">
        <f t="shared" si="142"/>
        <v>645</v>
      </c>
      <c r="B689" s="27" t="s">
        <v>1943</v>
      </c>
      <c r="C689" s="26"/>
      <c r="D689" s="111" t="s">
        <v>1955</v>
      </c>
      <c r="E689" s="39" t="s">
        <v>1952</v>
      </c>
      <c r="F689" s="24" t="s">
        <v>71</v>
      </c>
      <c r="G689" s="40" t="s">
        <v>1953</v>
      </c>
      <c r="H689" s="4" t="s">
        <v>1954</v>
      </c>
      <c r="I689" s="36" t="s">
        <v>267</v>
      </c>
      <c r="J689" s="115">
        <v>46188</v>
      </c>
      <c r="K689" s="3" t="str">
        <f t="shared" ca="1" si="146"/>
        <v xml:space="preserve">0 Tahun 2 bulan </v>
      </c>
      <c r="L689" s="36" t="s">
        <v>1749</v>
      </c>
      <c r="M689" s="115">
        <v>46188</v>
      </c>
      <c r="N689" s="3" t="str">
        <f t="shared" ca="1" si="158"/>
        <v xml:space="preserve">0 Tahun 2 bulan </v>
      </c>
      <c r="O689" s="36"/>
      <c r="P689" s="4" t="s">
        <v>35</v>
      </c>
      <c r="Q689" s="4" t="str">
        <f t="shared" si="147"/>
        <v>Laki-Laki</v>
      </c>
      <c r="R689" s="4">
        <f t="shared" si="159"/>
        <v>1</v>
      </c>
      <c r="S689" s="4" t="str">
        <f t="shared" si="157"/>
        <v>1</v>
      </c>
      <c r="T689" s="4">
        <f t="shared" si="143"/>
        <v>0</v>
      </c>
      <c r="U689" s="29"/>
      <c r="V689" s="30" t="s">
        <v>50</v>
      </c>
      <c r="W689" s="30"/>
      <c r="X689" s="30"/>
      <c r="Y689" s="30"/>
      <c r="Z689" s="30"/>
      <c r="AA689" s="30"/>
      <c r="AB689" s="29"/>
      <c r="AC689" s="29"/>
      <c r="AD689" s="37">
        <f t="shared" si="149"/>
        <v>30815</v>
      </c>
      <c r="AE689" s="3" t="str">
        <f t="shared" ca="1" si="148"/>
        <v>42 Tahun 3 bulan 19 Hari</v>
      </c>
      <c r="AF689" s="38">
        <f t="shared" si="150"/>
        <v>52749</v>
      </c>
    </row>
    <row r="690" spans="1:32" s="7" customFormat="1" ht="32.15" customHeight="1" x14ac:dyDescent="0.35">
      <c r="A690" s="26">
        <f t="shared" si="142"/>
        <v>646</v>
      </c>
      <c r="B690" s="27" t="s">
        <v>1943</v>
      </c>
      <c r="C690" s="26"/>
      <c r="D690" s="60" t="s">
        <v>1957</v>
      </c>
      <c r="E690" s="24" t="s">
        <v>1958</v>
      </c>
      <c r="F690" s="24" t="s">
        <v>43</v>
      </c>
      <c r="G690" s="4" t="s">
        <v>1959</v>
      </c>
      <c r="H690" s="4" t="s">
        <v>1960</v>
      </c>
      <c r="I690" s="44" t="s">
        <v>1961</v>
      </c>
      <c r="J690" s="65" t="s">
        <v>1748</v>
      </c>
      <c r="K690" s="3" t="str">
        <f t="shared" ca="1" si="146"/>
        <v xml:space="preserve">9 Tahun 7 bulan </v>
      </c>
      <c r="L690" s="36" t="s">
        <v>200</v>
      </c>
      <c r="M690" s="65" t="s">
        <v>1748</v>
      </c>
      <c r="N690" s="3" t="str">
        <f t="shared" ca="1" si="158"/>
        <v xml:space="preserve">9 Tahun 7 bulan </v>
      </c>
      <c r="O690" s="36"/>
      <c r="P690" s="4" t="s">
        <v>35</v>
      </c>
      <c r="Q690" s="4" t="str">
        <f t="shared" si="147"/>
        <v>Laki-Laki</v>
      </c>
      <c r="R690" s="4">
        <v>1</v>
      </c>
      <c r="S690" s="4" t="str">
        <f t="shared" si="157"/>
        <v>1</v>
      </c>
      <c r="T690" s="4">
        <f t="shared" si="143"/>
        <v>0</v>
      </c>
      <c r="U690" s="29"/>
      <c r="V690" s="30" t="s">
        <v>50</v>
      </c>
      <c r="W690" s="30"/>
      <c r="X690" s="30"/>
      <c r="Y690" s="30"/>
      <c r="Z690" s="30"/>
      <c r="AA690" s="30"/>
      <c r="AB690" s="29"/>
      <c r="AC690" s="29"/>
      <c r="AD690" s="37">
        <f t="shared" si="149"/>
        <v>28396</v>
      </c>
      <c r="AE690" s="3" t="str">
        <f t="shared" ca="1" si="148"/>
        <v>48 Tahun 11 bulan 4 Hari</v>
      </c>
      <c r="AF690" s="38">
        <f t="shared" si="150"/>
        <v>50314</v>
      </c>
    </row>
    <row r="691" spans="1:32" s="7" customFormat="1" ht="32.15" customHeight="1" x14ac:dyDescent="0.35">
      <c r="A691" s="26">
        <f t="shared" si="142"/>
        <v>647</v>
      </c>
      <c r="B691" s="27" t="s">
        <v>1943</v>
      </c>
      <c r="C691" s="26"/>
      <c r="D691" s="60" t="s">
        <v>1962</v>
      </c>
      <c r="E691" s="24" t="s">
        <v>1963</v>
      </c>
      <c r="F691" s="24" t="s">
        <v>43</v>
      </c>
      <c r="G691" s="3" t="s">
        <v>1964</v>
      </c>
      <c r="H691" s="4" t="s">
        <v>85</v>
      </c>
      <c r="I691" s="4" t="s">
        <v>86</v>
      </c>
      <c r="J691" s="3" t="s">
        <v>565</v>
      </c>
      <c r="K691" s="3" t="str">
        <f t="shared" ca="1" si="146"/>
        <v xml:space="preserve">5 Tahun 9 bulan </v>
      </c>
      <c r="L691" s="36" t="s">
        <v>200</v>
      </c>
      <c r="M691" s="3" t="s">
        <v>565</v>
      </c>
      <c r="N691" s="3" t="str">
        <f t="shared" ca="1" si="158"/>
        <v xml:space="preserve">5 Tahun 9 bulan </v>
      </c>
      <c r="O691" s="4"/>
      <c r="P691" s="4" t="s">
        <v>35</v>
      </c>
      <c r="Q691" s="4" t="str">
        <f t="shared" si="147"/>
        <v>Laki-Laki</v>
      </c>
      <c r="R691" s="4">
        <v>1</v>
      </c>
      <c r="S691" s="4" t="str">
        <f t="shared" si="157"/>
        <v>1</v>
      </c>
      <c r="T691" s="4">
        <f t="shared" si="143"/>
        <v>0</v>
      </c>
      <c r="U691" s="29"/>
      <c r="V691" s="30" t="s">
        <v>50</v>
      </c>
      <c r="W691" s="30"/>
      <c r="X691" s="30"/>
      <c r="Y691" s="30"/>
      <c r="Z691" s="30"/>
      <c r="AA691" s="30"/>
      <c r="AB691" s="29"/>
      <c r="AC691" s="29"/>
      <c r="AD691" s="37">
        <f t="shared" si="149"/>
        <v>27500</v>
      </c>
      <c r="AE691" s="3" t="str">
        <f t="shared" ca="1" si="148"/>
        <v>51 Tahun 4 bulan 16 Hari</v>
      </c>
      <c r="AF691" s="38">
        <f t="shared" si="150"/>
        <v>49430</v>
      </c>
    </row>
    <row r="692" spans="1:32" s="7" customFormat="1" ht="32.15" customHeight="1" x14ac:dyDescent="0.35">
      <c r="A692" s="26">
        <f t="shared" si="142"/>
        <v>648</v>
      </c>
      <c r="B692" s="27" t="s">
        <v>1943</v>
      </c>
      <c r="C692" s="26"/>
      <c r="D692" s="60" t="s">
        <v>1965</v>
      </c>
      <c r="E692" s="45" t="s">
        <v>1966</v>
      </c>
      <c r="F692" s="24" t="s">
        <v>43</v>
      </c>
      <c r="G692" s="44" t="s">
        <v>1967</v>
      </c>
      <c r="H692" s="4" t="s">
        <v>241</v>
      </c>
      <c r="I692" s="4" t="s">
        <v>86</v>
      </c>
      <c r="J692" s="3" t="s">
        <v>386</v>
      </c>
      <c r="K692" s="3" t="str">
        <f t="shared" ca="1" si="146"/>
        <v xml:space="preserve">5 Tahun 5 bulan </v>
      </c>
      <c r="L692" s="36" t="s">
        <v>200</v>
      </c>
      <c r="M692" s="3" t="s">
        <v>386</v>
      </c>
      <c r="N692" s="3" t="str">
        <f t="shared" ca="1" si="158"/>
        <v xml:space="preserve">5 Tahun 5 bulan </v>
      </c>
      <c r="O692" s="36"/>
      <c r="P692" s="4" t="s">
        <v>35</v>
      </c>
      <c r="Q692" s="4" t="str">
        <f t="shared" si="147"/>
        <v>Laki-Laki</v>
      </c>
      <c r="R692" s="4">
        <v>1</v>
      </c>
      <c r="S692" s="4" t="str">
        <f t="shared" si="157"/>
        <v>1</v>
      </c>
      <c r="T692" s="4">
        <f t="shared" si="143"/>
        <v>0</v>
      </c>
      <c r="U692" s="29"/>
      <c r="V692" s="30" t="s">
        <v>50</v>
      </c>
      <c r="W692" s="30"/>
      <c r="X692" s="30"/>
      <c r="Y692" s="30"/>
      <c r="Z692" s="30"/>
      <c r="AA692" s="30"/>
      <c r="AB692" s="29"/>
      <c r="AC692" s="29"/>
      <c r="AD692" s="37">
        <f t="shared" si="149"/>
        <v>27498</v>
      </c>
      <c r="AE692" s="3" t="str">
        <f t="shared" ca="1" si="148"/>
        <v>51 Tahun 4 bulan 18 Hari</v>
      </c>
      <c r="AF692" s="38">
        <f t="shared" si="150"/>
        <v>49430</v>
      </c>
    </row>
    <row r="693" spans="1:32" s="7" customFormat="1" ht="32.15" customHeight="1" x14ac:dyDescent="0.35">
      <c r="A693" s="26">
        <f t="shared" si="142"/>
        <v>649</v>
      </c>
      <c r="B693" s="27" t="s">
        <v>1943</v>
      </c>
      <c r="C693" s="26"/>
      <c r="D693" s="60" t="s">
        <v>1968</v>
      </c>
      <c r="E693" s="45" t="s">
        <v>1969</v>
      </c>
      <c r="F693" s="24" t="s">
        <v>43</v>
      </c>
      <c r="G693" s="44" t="s">
        <v>1970</v>
      </c>
      <c r="H693" s="4" t="s">
        <v>85</v>
      </c>
      <c r="I693" s="4" t="s">
        <v>86</v>
      </c>
      <c r="J693" s="3" t="s">
        <v>386</v>
      </c>
      <c r="K693" s="3" t="str">
        <f t="shared" ca="1" si="146"/>
        <v xml:space="preserve">5 Tahun 5 bulan </v>
      </c>
      <c r="L693" s="36" t="s">
        <v>200</v>
      </c>
      <c r="M693" s="3" t="s">
        <v>386</v>
      </c>
      <c r="N693" s="3" t="str">
        <f t="shared" ca="1" si="158"/>
        <v xml:space="preserve">5 Tahun 5 bulan </v>
      </c>
      <c r="O693" s="4"/>
      <c r="P693" s="4" t="s">
        <v>35</v>
      </c>
      <c r="Q693" s="4" t="str">
        <f t="shared" si="147"/>
        <v>Laki-Laki</v>
      </c>
      <c r="R693" s="4">
        <v>1</v>
      </c>
      <c r="S693" s="4" t="str">
        <f t="shared" si="157"/>
        <v>1</v>
      </c>
      <c r="T693" s="4">
        <f t="shared" si="143"/>
        <v>0</v>
      </c>
      <c r="U693" s="29"/>
      <c r="V693" s="30" t="s">
        <v>50</v>
      </c>
      <c r="W693" s="30"/>
      <c r="X693" s="30"/>
      <c r="Y693" s="30"/>
      <c r="Z693" s="30"/>
      <c r="AA693" s="30"/>
      <c r="AB693" s="29"/>
      <c r="AC693" s="29"/>
      <c r="AD693" s="37">
        <f t="shared" si="149"/>
        <v>26790</v>
      </c>
      <c r="AE693" s="3" t="str">
        <f t="shared" ca="1" si="148"/>
        <v>53 Tahun 3 bulan 26 Hari</v>
      </c>
      <c r="AF693" s="38">
        <f t="shared" si="150"/>
        <v>48731</v>
      </c>
    </row>
    <row r="694" spans="1:32" s="7" customFormat="1" ht="32.15" customHeight="1" x14ac:dyDescent="0.35">
      <c r="A694" s="26">
        <f t="shared" si="142"/>
        <v>650</v>
      </c>
      <c r="B694" s="27" t="s">
        <v>1943</v>
      </c>
      <c r="C694" s="26"/>
      <c r="D694" s="60" t="s">
        <v>1971</v>
      </c>
      <c r="E694" s="45" t="s">
        <v>1972</v>
      </c>
      <c r="F694" s="24" t="s">
        <v>43</v>
      </c>
      <c r="G694" s="44" t="s">
        <v>1973</v>
      </c>
      <c r="H694" s="4" t="s">
        <v>574</v>
      </c>
      <c r="I694" s="36" t="s">
        <v>184</v>
      </c>
      <c r="J694" s="65" t="s">
        <v>386</v>
      </c>
      <c r="K694" s="3" t="str">
        <f t="shared" ca="1" si="146"/>
        <v xml:space="preserve">5 Tahun 5 bulan </v>
      </c>
      <c r="L694" s="36" t="s">
        <v>200</v>
      </c>
      <c r="M694" s="65" t="s">
        <v>386</v>
      </c>
      <c r="N694" s="3" t="str">
        <f t="shared" ca="1" si="158"/>
        <v xml:space="preserve">5 Tahun 5 bulan </v>
      </c>
      <c r="O694" s="36"/>
      <c r="P694" s="4" t="s">
        <v>35</v>
      </c>
      <c r="Q694" s="4" t="str">
        <f t="shared" si="147"/>
        <v>Laki-Laki</v>
      </c>
      <c r="R694" s="4">
        <f t="shared" si="159"/>
        <v>1</v>
      </c>
      <c r="S694" s="4" t="str">
        <f t="shared" si="157"/>
        <v>1</v>
      </c>
      <c r="T694" s="4">
        <f t="shared" si="143"/>
        <v>0</v>
      </c>
      <c r="U694" s="29"/>
      <c r="V694" s="30" t="s">
        <v>50</v>
      </c>
      <c r="W694" s="30"/>
      <c r="X694" s="30"/>
      <c r="Y694" s="30"/>
      <c r="Z694" s="30"/>
      <c r="AA694" s="30"/>
      <c r="AB694" s="29"/>
      <c r="AC694" s="29"/>
      <c r="AD694" s="37">
        <f t="shared" si="149"/>
        <v>29086</v>
      </c>
      <c r="AE694" s="3" t="str">
        <f t="shared" ca="1" si="148"/>
        <v>47 Tahun 0 bulan 13 Hari</v>
      </c>
      <c r="AF694" s="38">
        <f t="shared" si="150"/>
        <v>51014</v>
      </c>
    </row>
    <row r="695" spans="1:32" s="7" customFormat="1" ht="32.15" customHeight="1" x14ac:dyDescent="0.35">
      <c r="A695" s="26"/>
      <c r="B695" s="27" t="s">
        <v>1974</v>
      </c>
      <c r="C695" s="280" t="s">
        <v>1975</v>
      </c>
      <c r="D695" s="281"/>
      <c r="E695" s="271" t="str">
        <f ca="1">IF(J695="","",CONCATENATE(DATEDIF(J695,NOW(),"Y")," Tahun ",DATEDIF(J695,NOW(),"YM")," bulan "))</f>
        <v/>
      </c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  <c r="AB695" s="272"/>
      <c r="AC695" s="272"/>
      <c r="AD695" s="272"/>
      <c r="AE695" s="272"/>
      <c r="AF695" s="273"/>
    </row>
    <row r="696" spans="1:32" s="7" customFormat="1" ht="32.15" customHeight="1" x14ac:dyDescent="0.35">
      <c r="A696" s="26">
        <f>A694+1</f>
        <v>651</v>
      </c>
      <c r="B696" s="27" t="s">
        <v>1974</v>
      </c>
      <c r="C696" s="282" t="s">
        <v>1976</v>
      </c>
      <c r="D696" s="283"/>
      <c r="E696" s="24" t="s">
        <v>1986</v>
      </c>
      <c r="F696" s="24" t="s">
        <v>43</v>
      </c>
      <c r="G696" s="4" t="s">
        <v>1987</v>
      </c>
      <c r="H696" s="4" t="s">
        <v>303</v>
      </c>
      <c r="I696" s="33" t="s">
        <v>86</v>
      </c>
      <c r="J696" s="53">
        <v>46260</v>
      </c>
      <c r="K696" s="3" t="str">
        <f t="shared" ca="1" si="146"/>
        <v xml:space="preserve">0 Tahun 0 bulan </v>
      </c>
      <c r="L696" s="36" t="s">
        <v>79</v>
      </c>
      <c r="M696" s="53">
        <v>46260</v>
      </c>
      <c r="N696" s="3" t="str">
        <f t="shared" ca="1" si="158"/>
        <v xml:space="preserve">0 Tahun 0 bulan </v>
      </c>
      <c r="O696" s="36"/>
      <c r="P696" s="4" t="s">
        <v>35</v>
      </c>
      <c r="Q696" s="4" t="str">
        <f t="shared" si="147"/>
        <v>Perempuan</v>
      </c>
      <c r="R696" s="4">
        <f>R694</f>
        <v>1</v>
      </c>
      <c r="S696" s="4" t="str">
        <f t="shared" ref="S696:S704" si="160">IF(E696="LOWONG","0","1")</f>
        <v>1</v>
      </c>
      <c r="T696" s="4">
        <f t="shared" si="143"/>
        <v>0</v>
      </c>
      <c r="U696" s="29"/>
      <c r="V696" s="30" t="s">
        <v>50</v>
      </c>
      <c r="W696" s="30"/>
      <c r="X696" s="30"/>
      <c r="Y696" s="30"/>
      <c r="Z696" s="30"/>
      <c r="AA696" s="30"/>
      <c r="AB696" s="29"/>
      <c r="AC696" s="29"/>
      <c r="AD696" s="37">
        <f t="shared" si="149"/>
        <v>25606</v>
      </c>
      <c r="AE696" s="3" t="str">
        <f t="shared" ca="1" si="148"/>
        <v>56 Tahun 6 bulan 25 Hari</v>
      </c>
      <c r="AF696" s="38">
        <f t="shared" si="150"/>
        <v>47543</v>
      </c>
    </row>
    <row r="697" spans="1:32" s="7" customFormat="1" ht="32.15" customHeight="1" x14ac:dyDescent="0.35">
      <c r="A697" s="26">
        <f t="shared" si="142"/>
        <v>652</v>
      </c>
      <c r="B697" s="27" t="s">
        <v>1974</v>
      </c>
      <c r="C697" s="282" t="s">
        <v>1977</v>
      </c>
      <c r="D697" s="283"/>
      <c r="E697" s="45" t="s">
        <v>1978</v>
      </c>
      <c r="F697" s="24" t="s">
        <v>43</v>
      </c>
      <c r="G697" s="44" t="s">
        <v>1979</v>
      </c>
      <c r="H697" s="36" t="s">
        <v>1980</v>
      </c>
      <c r="I697" s="48" t="s">
        <v>86</v>
      </c>
      <c r="J697" s="47" t="s">
        <v>940</v>
      </c>
      <c r="K697" s="3" t="str">
        <f t="shared" ca="1" si="146"/>
        <v xml:space="preserve">4 Tahun 2 bulan </v>
      </c>
      <c r="L697" s="36" t="s">
        <v>346</v>
      </c>
      <c r="M697" s="47" t="s">
        <v>940</v>
      </c>
      <c r="N697" s="3" t="str">
        <f t="shared" ca="1" si="158"/>
        <v xml:space="preserve">4 Tahun 2 bulan </v>
      </c>
      <c r="O697" s="36"/>
      <c r="P697" s="4" t="s">
        <v>35</v>
      </c>
      <c r="Q697" s="4" t="str">
        <f t="shared" si="147"/>
        <v>Laki-Laki</v>
      </c>
      <c r="R697" s="4">
        <f t="shared" si="159"/>
        <v>1</v>
      </c>
      <c r="S697" s="4" t="str">
        <f t="shared" si="160"/>
        <v>1</v>
      </c>
      <c r="T697" s="4">
        <f t="shared" si="143"/>
        <v>0</v>
      </c>
      <c r="U697" s="29"/>
      <c r="V697" s="30" t="s">
        <v>50</v>
      </c>
      <c r="W697" s="30"/>
      <c r="X697" s="30"/>
      <c r="Y697" s="30"/>
      <c r="Z697" s="30"/>
      <c r="AA697" s="30"/>
      <c r="AB697" s="29"/>
      <c r="AC697" s="29"/>
      <c r="AD697" s="37">
        <f t="shared" si="149"/>
        <v>29838</v>
      </c>
      <c r="AE697" s="3" t="str">
        <f t="shared" ca="1" si="148"/>
        <v>44 Tahun 11 bulan 23 Hari</v>
      </c>
      <c r="AF697" s="38">
        <f t="shared" si="150"/>
        <v>51775</v>
      </c>
    </row>
    <row r="698" spans="1:32" s="7" customFormat="1" ht="32.15" customHeight="1" x14ac:dyDescent="0.35">
      <c r="A698" s="26">
        <f t="shared" si="142"/>
        <v>653</v>
      </c>
      <c r="B698" s="27" t="s">
        <v>1974</v>
      </c>
      <c r="C698" s="26"/>
      <c r="D698" s="111" t="s">
        <v>1981</v>
      </c>
      <c r="E698" s="45" t="s">
        <v>1982</v>
      </c>
      <c r="F698" s="24" t="s">
        <v>43</v>
      </c>
      <c r="G698" s="36" t="s">
        <v>1983</v>
      </c>
      <c r="H698" s="36" t="s">
        <v>1984</v>
      </c>
      <c r="I698" s="48" t="s">
        <v>86</v>
      </c>
      <c r="J698" s="47" t="s">
        <v>1032</v>
      </c>
      <c r="K698" s="3" t="str">
        <f t="shared" ca="1" si="146"/>
        <v xml:space="preserve">4 Tahun 5 bulan </v>
      </c>
      <c r="L698" s="36" t="s">
        <v>1749</v>
      </c>
      <c r="M698" s="47" t="s">
        <v>1032</v>
      </c>
      <c r="N698" s="3" t="str">
        <f t="shared" ca="1" si="158"/>
        <v xml:space="preserve">4 Tahun 5 bulan </v>
      </c>
      <c r="O698" s="36"/>
      <c r="P698" s="4" t="s">
        <v>35</v>
      </c>
      <c r="Q698" s="4" t="str">
        <f t="shared" si="147"/>
        <v>Laki-Laki</v>
      </c>
      <c r="R698" s="4">
        <f t="shared" si="159"/>
        <v>1</v>
      </c>
      <c r="S698" s="4" t="str">
        <f t="shared" si="160"/>
        <v>1</v>
      </c>
      <c r="T698" s="4">
        <f t="shared" si="143"/>
        <v>0</v>
      </c>
      <c r="U698" s="29"/>
      <c r="V698" s="30" t="s">
        <v>50</v>
      </c>
      <c r="W698" s="30"/>
      <c r="X698" s="30"/>
      <c r="Y698" s="30"/>
      <c r="Z698" s="30"/>
      <c r="AA698" s="30"/>
      <c r="AB698" s="29"/>
      <c r="AC698" s="29"/>
      <c r="AD698" s="37">
        <f t="shared" si="149"/>
        <v>28222</v>
      </c>
      <c r="AE698" s="3" t="str">
        <f t="shared" ca="1" si="148"/>
        <v>49 Tahun 4 bulan 25 Hari</v>
      </c>
      <c r="AF698" s="38">
        <f t="shared" si="150"/>
        <v>50161</v>
      </c>
    </row>
    <row r="699" spans="1:32" s="7" customFormat="1" ht="32.15" customHeight="1" x14ac:dyDescent="0.35">
      <c r="A699" s="26">
        <f t="shared" si="142"/>
        <v>654</v>
      </c>
      <c r="B699" s="27" t="s">
        <v>1974</v>
      </c>
      <c r="C699" s="26"/>
      <c r="D699" s="111" t="s">
        <v>1985</v>
      </c>
      <c r="E699" s="45" t="s">
        <v>108</v>
      </c>
      <c r="F699" s="24"/>
      <c r="G699" s="44"/>
      <c r="H699" s="36"/>
      <c r="I699" s="48"/>
      <c r="J699" s="47"/>
      <c r="K699" s="3" t="str">
        <f t="shared" ca="1" si="146"/>
        <v/>
      </c>
      <c r="L699" s="36" t="s">
        <v>1749</v>
      </c>
      <c r="M699" s="47"/>
      <c r="N699" s="3" t="str">
        <f t="shared" ca="1" si="158"/>
        <v/>
      </c>
      <c r="O699" s="36"/>
      <c r="P699" s="4" t="s">
        <v>35</v>
      </c>
      <c r="Q699" s="4" t="str">
        <f t="shared" si="147"/>
        <v/>
      </c>
      <c r="R699" s="4">
        <f t="shared" si="159"/>
        <v>1</v>
      </c>
      <c r="S699" s="4" t="str">
        <f t="shared" si="160"/>
        <v>0</v>
      </c>
      <c r="T699" s="4">
        <f t="shared" si="143"/>
        <v>1</v>
      </c>
      <c r="U699" s="29"/>
      <c r="V699" s="30"/>
      <c r="W699" s="30"/>
      <c r="X699" s="30"/>
      <c r="Y699" s="30"/>
      <c r="Z699" s="30"/>
      <c r="AA699" s="30"/>
      <c r="AB699" s="29"/>
      <c r="AC699" s="29"/>
      <c r="AD699" s="37" t="str">
        <f t="shared" si="149"/>
        <v/>
      </c>
      <c r="AE699" s="3" t="str">
        <f t="shared" ca="1" si="148"/>
        <v/>
      </c>
      <c r="AF699" s="38" t="str">
        <f t="shared" si="150"/>
        <v/>
      </c>
    </row>
    <row r="700" spans="1:32" s="7" customFormat="1" ht="32.15" customHeight="1" x14ac:dyDescent="0.35">
      <c r="A700" s="26">
        <f t="shared" si="142"/>
        <v>655</v>
      </c>
      <c r="B700" s="27" t="s">
        <v>1974</v>
      </c>
      <c r="C700" s="26"/>
      <c r="D700" s="60" t="s">
        <v>1988</v>
      </c>
      <c r="E700" s="24" t="s">
        <v>1989</v>
      </c>
      <c r="F700" s="24" t="s">
        <v>43</v>
      </c>
      <c r="G700" s="3" t="s">
        <v>1990</v>
      </c>
      <c r="H700" s="4" t="s">
        <v>1488</v>
      </c>
      <c r="I700" s="4" t="s">
        <v>107</v>
      </c>
      <c r="J700" s="82" t="s">
        <v>199</v>
      </c>
      <c r="K700" s="3" t="str">
        <f t="shared" ca="1" si="146"/>
        <v xml:space="preserve">3 Tahun 11 bulan </v>
      </c>
      <c r="L700" s="36" t="s">
        <v>200</v>
      </c>
      <c r="M700" s="82" t="s">
        <v>199</v>
      </c>
      <c r="N700" s="3" t="str">
        <f t="shared" ca="1" si="158"/>
        <v xml:space="preserve">3 Tahun 11 bulan </v>
      </c>
      <c r="O700" s="36"/>
      <c r="P700" s="4" t="s">
        <v>35</v>
      </c>
      <c r="Q700" s="4" t="str">
        <f t="shared" si="147"/>
        <v>Laki-Laki</v>
      </c>
      <c r="R700" s="4">
        <f>R699</f>
        <v>1</v>
      </c>
      <c r="S700" s="4" t="str">
        <f t="shared" si="160"/>
        <v>1</v>
      </c>
      <c r="T700" s="4">
        <f t="shared" si="143"/>
        <v>0</v>
      </c>
      <c r="U700" s="29"/>
      <c r="V700" s="30" t="s">
        <v>50</v>
      </c>
      <c r="W700" s="30"/>
      <c r="X700" s="30"/>
      <c r="Y700" s="30"/>
      <c r="Z700" s="30"/>
      <c r="AA700" s="30"/>
      <c r="AB700" s="29"/>
      <c r="AC700" s="29"/>
      <c r="AD700" s="37">
        <f t="shared" si="149"/>
        <v>31051</v>
      </c>
      <c r="AE700" s="3" t="str">
        <f t="shared" ca="1" si="148"/>
        <v>41 Tahun 7 bulan 28 Hari</v>
      </c>
      <c r="AF700" s="38">
        <f t="shared" si="150"/>
        <v>52994</v>
      </c>
    </row>
    <row r="701" spans="1:32" s="7" customFormat="1" ht="32.15" customHeight="1" x14ac:dyDescent="0.35">
      <c r="A701" s="26">
        <f t="shared" ref="A701:A704" si="161">A700+1</f>
        <v>656</v>
      </c>
      <c r="B701" s="27" t="s">
        <v>1974</v>
      </c>
      <c r="C701" s="26"/>
      <c r="D701" s="60" t="s">
        <v>1991</v>
      </c>
      <c r="E701" s="45" t="s">
        <v>1992</v>
      </c>
      <c r="F701" s="24" t="s">
        <v>43</v>
      </c>
      <c r="G701" s="44" t="s">
        <v>2980</v>
      </c>
      <c r="H701" s="36" t="s">
        <v>135</v>
      </c>
      <c r="I701" s="48" t="s">
        <v>2977</v>
      </c>
      <c r="J701" s="116">
        <v>45993</v>
      </c>
      <c r="K701" s="3" t="str">
        <f t="shared" ca="1" si="146"/>
        <v xml:space="preserve">0 Tahun 8 bulan </v>
      </c>
      <c r="L701" s="36" t="s">
        <v>200</v>
      </c>
      <c r="M701" s="116">
        <v>45993</v>
      </c>
      <c r="N701" s="3" t="str">
        <f t="shared" ca="1" si="158"/>
        <v xml:space="preserve">0 Tahun 8 bulan </v>
      </c>
      <c r="O701" s="36"/>
      <c r="P701" s="4"/>
      <c r="Q701" s="4" t="str">
        <f t="shared" si="147"/>
        <v>Laki-Laki</v>
      </c>
      <c r="R701" s="4">
        <f t="shared" si="159"/>
        <v>1</v>
      </c>
      <c r="S701" s="4" t="str">
        <f t="shared" si="160"/>
        <v>1</v>
      </c>
      <c r="T701" s="4">
        <f t="shared" si="143"/>
        <v>0</v>
      </c>
      <c r="U701" s="29"/>
      <c r="V701" s="30" t="s">
        <v>50</v>
      </c>
      <c r="W701" s="30"/>
      <c r="X701" s="30"/>
      <c r="Y701" s="30"/>
      <c r="Z701" s="30"/>
      <c r="AA701" s="30"/>
      <c r="AB701" s="29"/>
      <c r="AC701" s="29"/>
      <c r="AD701" s="37">
        <f t="shared" si="149"/>
        <v>27413</v>
      </c>
      <c r="AE701" s="3" t="str">
        <f t="shared" ca="1" si="148"/>
        <v>51 Tahun 7 bulan 13 Hari</v>
      </c>
      <c r="AF701" s="38">
        <f t="shared" si="150"/>
        <v>49341</v>
      </c>
    </row>
    <row r="702" spans="1:32" s="7" customFormat="1" ht="32.15" customHeight="1" x14ac:dyDescent="0.35">
      <c r="A702" s="26">
        <f t="shared" si="161"/>
        <v>657</v>
      </c>
      <c r="B702" s="27" t="s">
        <v>1974</v>
      </c>
      <c r="C702" s="26"/>
      <c r="D702" s="60" t="s">
        <v>1993</v>
      </c>
      <c r="E702" s="45" t="s">
        <v>1834</v>
      </c>
      <c r="F702" s="24" t="s">
        <v>43</v>
      </c>
      <c r="G702" s="44" t="s">
        <v>1835</v>
      </c>
      <c r="H702" s="36" t="s">
        <v>1836</v>
      </c>
      <c r="I702" s="36" t="s">
        <v>107</v>
      </c>
      <c r="J702" s="82">
        <v>46260</v>
      </c>
      <c r="K702" s="3" t="str">
        <f t="shared" ca="1" si="146"/>
        <v xml:space="preserve">0 Tahun 0 bulan </v>
      </c>
      <c r="L702" s="36" t="s">
        <v>200</v>
      </c>
      <c r="M702" s="82" t="s">
        <v>386</v>
      </c>
      <c r="N702" s="3" t="str">
        <f t="shared" ca="1" si="158"/>
        <v xml:space="preserve">5 Tahun 5 bulan </v>
      </c>
      <c r="O702" s="36"/>
      <c r="P702" s="4" t="s">
        <v>35</v>
      </c>
      <c r="Q702" s="4" t="str">
        <f t="shared" si="147"/>
        <v>Laki-Laki</v>
      </c>
      <c r="R702" s="4">
        <f t="shared" si="159"/>
        <v>1</v>
      </c>
      <c r="S702" s="4" t="str">
        <f t="shared" si="160"/>
        <v>1</v>
      </c>
      <c r="T702" s="4">
        <f t="shared" si="143"/>
        <v>0</v>
      </c>
      <c r="U702" s="29"/>
      <c r="V702" s="30" t="s">
        <v>50</v>
      </c>
      <c r="W702" s="30"/>
      <c r="X702" s="30"/>
      <c r="Y702" s="30"/>
      <c r="Z702" s="30"/>
      <c r="AA702" s="30"/>
      <c r="AB702" s="29"/>
      <c r="AC702" s="29"/>
      <c r="AD702" s="37">
        <f t="shared" si="149"/>
        <v>28448</v>
      </c>
      <c r="AE702" s="3" t="str">
        <f t="shared" ca="1" si="148"/>
        <v>48 Tahun 9 bulan 13 Hari</v>
      </c>
      <c r="AF702" s="38">
        <f t="shared" si="150"/>
        <v>50375</v>
      </c>
    </row>
    <row r="703" spans="1:32" s="7" customFormat="1" ht="32.15" customHeight="1" x14ac:dyDescent="0.35">
      <c r="A703" s="26">
        <f t="shared" si="161"/>
        <v>658</v>
      </c>
      <c r="B703" s="27" t="s">
        <v>1974</v>
      </c>
      <c r="C703" s="26"/>
      <c r="D703" s="60" t="s">
        <v>1994</v>
      </c>
      <c r="E703" s="45" t="s">
        <v>1995</v>
      </c>
      <c r="F703" s="24" t="s">
        <v>43</v>
      </c>
      <c r="G703" s="44" t="s">
        <v>1996</v>
      </c>
      <c r="H703" s="4" t="s">
        <v>1315</v>
      </c>
      <c r="I703" s="25" t="s">
        <v>86</v>
      </c>
      <c r="J703" s="81" t="s">
        <v>199</v>
      </c>
      <c r="K703" s="3" t="str">
        <f t="shared" ca="1" si="146"/>
        <v xml:space="preserve">3 Tahun 11 bulan </v>
      </c>
      <c r="L703" s="36" t="s">
        <v>200</v>
      </c>
      <c r="M703" s="81" t="s">
        <v>199</v>
      </c>
      <c r="N703" s="3" t="str">
        <f t="shared" ca="1" si="158"/>
        <v xml:space="preserve">3 Tahun 11 bulan </v>
      </c>
      <c r="O703" s="36"/>
      <c r="P703" s="4" t="s">
        <v>35</v>
      </c>
      <c r="Q703" s="4" t="str">
        <f t="shared" si="147"/>
        <v>Laki-Laki</v>
      </c>
      <c r="R703" s="4">
        <f t="shared" si="159"/>
        <v>1</v>
      </c>
      <c r="S703" s="4" t="str">
        <f t="shared" si="160"/>
        <v>1</v>
      </c>
      <c r="T703" s="4">
        <f t="shared" si="143"/>
        <v>0</v>
      </c>
      <c r="U703" s="29"/>
      <c r="V703" s="30" t="s">
        <v>50</v>
      </c>
      <c r="W703" s="30"/>
      <c r="X703" s="30"/>
      <c r="Y703" s="30"/>
      <c r="Z703" s="30"/>
      <c r="AA703" s="30"/>
      <c r="AB703" s="29"/>
      <c r="AC703" s="29"/>
      <c r="AD703" s="37">
        <f t="shared" si="149"/>
        <v>30108</v>
      </c>
      <c r="AE703" s="3" t="str">
        <f t="shared" ca="1" si="148"/>
        <v>44 Tahun 2 bulan 26 Hari</v>
      </c>
      <c r="AF703" s="38">
        <f t="shared" si="150"/>
        <v>52048</v>
      </c>
    </row>
    <row r="704" spans="1:32" s="7" customFormat="1" ht="32.15" customHeight="1" x14ac:dyDescent="0.35">
      <c r="A704" s="26">
        <f t="shared" si="161"/>
        <v>659</v>
      </c>
      <c r="B704" s="27" t="s">
        <v>1974</v>
      </c>
      <c r="C704" s="26"/>
      <c r="D704" s="60" t="s">
        <v>1997</v>
      </c>
      <c r="E704" s="45" t="s">
        <v>1998</v>
      </c>
      <c r="F704" s="24" t="s">
        <v>43</v>
      </c>
      <c r="G704" s="44" t="s">
        <v>1999</v>
      </c>
      <c r="H704" s="36" t="s">
        <v>106</v>
      </c>
      <c r="I704" s="36" t="s">
        <v>107</v>
      </c>
      <c r="J704" s="47" t="s">
        <v>338</v>
      </c>
      <c r="K704" s="3" t="str">
        <f t="shared" ca="1" si="146"/>
        <v xml:space="preserve">2 Tahun 11 bulan </v>
      </c>
      <c r="L704" s="36" t="s">
        <v>200</v>
      </c>
      <c r="M704" s="47" t="s">
        <v>338</v>
      </c>
      <c r="N704" s="3" t="str">
        <f t="shared" ca="1" si="158"/>
        <v xml:space="preserve">2 Tahun 11 bulan </v>
      </c>
      <c r="O704" s="4"/>
      <c r="P704" s="4" t="s">
        <v>35</v>
      </c>
      <c r="Q704" s="4" t="str">
        <f t="shared" si="147"/>
        <v>Laki-Laki</v>
      </c>
      <c r="R704" s="4">
        <f t="shared" si="159"/>
        <v>1</v>
      </c>
      <c r="S704" s="4" t="str">
        <f t="shared" si="160"/>
        <v>1</v>
      </c>
      <c r="T704" s="4">
        <f t="shared" si="143"/>
        <v>0</v>
      </c>
      <c r="U704" s="29"/>
      <c r="V704" s="30" t="s">
        <v>50</v>
      </c>
      <c r="W704" s="30"/>
      <c r="X704" s="30"/>
      <c r="Y704" s="30"/>
      <c r="Z704" s="30"/>
      <c r="AA704" s="30"/>
      <c r="AB704" s="29"/>
      <c r="AC704" s="29"/>
      <c r="AD704" s="37">
        <f t="shared" si="149"/>
        <v>28668</v>
      </c>
      <c r="AE704" s="3" t="str">
        <f t="shared" ca="1" si="148"/>
        <v>48 Tahun 2 bulan 5 Hari</v>
      </c>
      <c r="AF704" s="38">
        <f t="shared" si="150"/>
        <v>50587</v>
      </c>
    </row>
    <row r="705" spans="1:33" ht="42.65" customHeight="1" x14ac:dyDescent="0.35">
      <c r="A705" s="26"/>
      <c r="B705" s="68" t="s">
        <v>2000</v>
      </c>
      <c r="C705" s="280" t="s">
        <v>2001</v>
      </c>
      <c r="D705" s="281"/>
      <c r="E705" s="271" t="str">
        <f ca="1">IF(J705="","",CONCATENATE(DATEDIF(J705,NOW(),"Y")," Tahun ",DATEDIF(J705,NOW(),"YM")," bulan "))</f>
        <v/>
      </c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  <c r="AB705" s="272"/>
      <c r="AC705" s="272"/>
      <c r="AD705" s="272"/>
      <c r="AE705" s="272"/>
      <c r="AF705" s="273"/>
      <c r="AG705" s="7"/>
    </row>
    <row r="706" spans="1:33" ht="32.15" customHeight="1" x14ac:dyDescent="0.35">
      <c r="A706" s="26">
        <f>A704+1</f>
        <v>660</v>
      </c>
      <c r="B706" s="68" t="s">
        <v>2000</v>
      </c>
      <c r="C706" s="282" t="s">
        <v>2002</v>
      </c>
      <c r="D706" s="283"/>
      <c r="E706" s="45" t="s">
        <v>3047</v>
      </c>
      <c r="F706" s="24" t="s">
        <v>43</v>
      </c>
      <c r="G706" s="44" t="s">
        <v>1260</v>
      </c>
      <c r="H706" s="4" t="s">
        <v>279</v>
      </c>
      <c r="I706" s="36"/>
      <c r="J706" s="53">
        <v>46260</v>
      </c>
      <c r="K706" s="3" t="str">
        <f t="shared" ca="1" si="146"/>
        <v xml:space="preserve">0 Tahun 0 bulan </v>
      </c>
      <c r="L706" s="36" t="s">
        <v>79</v>
      </c>
      <c r="M706" s="53">
        <v>46260</v>
      </c>
      <c r="N706" s="3" t="str">
        <f t="shared" ca="1" si="158"/>
        <v xml:space="preserve">0 Tahun 0 bulan </v>
      </c>
      <c r="O706" s="36"/>
      <c r="P706" s="4" t="s">
        <v>35</v>
      </c>
      <c r="Q706" s="4" t="str">
        <f t="shared" si="147"/>
        <v>Laki-Laki</v>
      </c>
      <c r="R706" s="4">
        <f>R704</f>
        <v>1</v>
      </c>
      <c r="S706" s="4" t="str">
        <f t="shared" ref="S706:S714" si="162">IF(E706="LOWONG","0","1")</f>
        <v>1</v>
      </c>
      <c r="T706" s="4">
        <f t="shared" si="143"/>
        <v>0</v>
      </c>
      <c r="U706" s="29"/>
      <c r="V706" s="30" t="s">
        <v>50</v>
      </c>
      <c r="W706" s="30"/>
      <c r="X706" s="30"/>
      <c r="Y706" s="30"/>
      <c r="Z706" s="30"/>
      <c r="AA706" s="30"/>
      <c r="AB706" s="29"/>
      <c r="AC706" s="29"/>
      <c r="AD706" s="37">
        <f t="shared" si="149"/>
        <v>26486</v>
      </c>
      <c r="AE706" s="3" t="str">
        <f t="shared" ca="1" si="148"/>
        <v>54 Tahun 1 bulan 26 Hari</v>
      </c>
      <c r="AF706" s="38">
        <f t="shared" si="150"/>
        <v>48427</v>
      </c>
      <c r="AG706" s="7"/>
    </row>
    <row r="707" spans="1:33" ht="32.15" customHeight="1" x14ac:dyDescent="0.35">
      <c r="A707" s="26">
        <f t="shared" ref="A707:A770" si="163">A706+1</f>
        <v>661</v>
      </c>
      <c r="B707" s="68" t="s">
        <v>2000</v>
      </c>
      <c r="C707" s="282" t="s">
        <v>2003</v>
      </c>
      <c r="D707" s="283"/>
      <c r="E707" s="24" t="s">
        <v>2004</v>
      </c>
      <c r="F707" s="24" t="s">
        <v>43</v>
      </c>
      <c r="G707" s="4" t="s">
        <v>2005</v>
      </c>
      <c r="H707" s="4" t="s">
        <v>479</v>
      </c>
      <c r="I707" s="33" t="s">
        <v>86</v>
      </c>
      <c r="J707" s="47" t="s">
        <v>314</v>
      </c>
      <c r="K707" s="3" t="str">
        <f t="shared" ca="1" si="146"/>
        <v xml:space="preserve">6 Tahun 4 bulan </v>
      </c>
      <c r="L707" s="36" t="s">
        <v>346</v>
      </c>
      <c r="M707" s="47" t="s">
        <v>314</v>
      </c>
      <c r="N707" s="3" t="str">
        <f t="shared" ca="1" si="158"/>
        <v xml:space="preserve">6 Tahun 4 bulan </v>
      </c>
      <c r="O707" s="4"/>
      <c r="P707" s="4" t="s">
        <v>35</v>
      </c>
      <c r="Q707" s="4" t="str">
        <f t="shared" si="147"/>
        <v>Laki-Laki</v>
      </c>
      <c r="R707" s="4">
        <f t="shared" si="159"/>
        <v>1</v>
      </c>
      <c r="S707" s="4" t="str">
        <f t="shared" si="162"/>
        <v>1</v>
      </c>
      <c r="T707" s="4">
        <f t="shared" ref="T707:T777" si="164">R707-S707</f>
        <v>0</v>
      </c>
      <c r="U707" s="29"/>
      <c r="V707" s="30" t="s">
        <v>50</v>
      </c>
      <c r="W707" s="30"/>
      <c r="X707" s="30"/>
      <c r="Y707" s="30"/>
      <c r="Z707" s="30"/>
      <c r="AA707" s="30"/>
      <c r="AB707" s="29"/>
      <c r="AC707" s="29"/>
      <c r="AD707" s="37">
        <f t="shared" si="149"/>
        <v>26766</v>
      </c>
      <c r="AE707" s="3" t="str">
        <f t="shared" ca="1" si="148"/>
        <v>53 Tahun 4 bulan 20 Hari</v>
      </c>
      <c r="AF707" s="38">
        <f t="shared" si="150"/>
        <v>48700</v>
      </c>
      <c r="AG707" s="7"/>
    </row>
    <row r="708" spans="1:33" ht="32.15" customHeight="1" x14ac:dyDescent="0.35">
      <c r="A708" s="155">
        <f t="shared" si="163"/>
        <v>662</v>
      </c>
      <c r="B708" s="171" t="s">
        <v>2000</v>
      </c>
      <c r="C708" s="155"/>
      <c r="D708" s="172" t="s">
        <v>2006</v>
      </c>
      <c r="E708" s="158" t="s">
        <v>2007</v>
      </c>
      <c r="F708" s="159" t="s">
        <v>43</v>
      </c>
      <c r="G708" s="173" t="s">
        <v>2981</v>
      </c>
      <c r="H708" s="173" t="s">
        <v>2982</v>
      </c>
      <c r="I708" s="170" t="s">
        <v>2965</v>
      </c>
      <c r="J708" s="174">
        <v>45993</v>
      </c>
      <c r="K708" s="163" t="str">
        <f t="shared" ca="1" si="146"/>
        <v xml:space="preserve">0 Tahun 8 bulan </v>
      </c>
      <c r="L708" s="170" t="s">
        <v>1749</v>
      </c>
      <c r="M708" s="174">
        <v>45993</v>
      </c>
      <c r="N708" s="163" t="str">
        <f t="shared" ca="1" si="158"/>
        <v xml:space="preserve">0 Tahun 8 bulan </v>
      </c>
      <c r="O708" s="175"/>
      <c r="P708" s="160"/>
      <c r="Q708" s="160" t="str">
        <f t="shared" si="147"/>
        <v>Perempuan</v>
      </c>
      <c r="R708" s="160">
        <f t="shared" si="159"/>
        <v>1</v>
      </c>
      <c r="S708" s="160" t="str">
        <f t="shared" si="162"/>
        <v>1</v>
      </c>
      <c r="T708" s="160">
        <f t="shared" si="164"/>
        <v>0</v>
      </c>
      <c r="U708" s="165"/>
      <c r="V708" s="164" t="s">
        <v>50</v>
      </c>
      <c r="W708" s="164"/>
      <c r="X708" s="164"/>
      <c r="Y708" s="164"/>
      <c r="Z708" s="164"/>
      <c r="AA708" s="164"/>
      <c r="AB708" s="165"/>
      <c r="AC708" s="165"/>
      <c r="AD708" s="166">
        <f t="shared" si="149"/>
        <v>29799</v>
      </c>
      <c r="AE708" s="163" t="str">
        <f t="shared" ca="1" si="148"/>
        <v>45 Tahun 1 bulan 0 Hari</v>
      </c>
      <c r="AF708" s="167">
        <f t="shared" si="150"/>
        <v>51745</v>
      </c>
      <c r="AG708" s="7"/>
    </row>
    <row r="709" spans="1:33" ht="32.15" customHeight="1" x14ac:dyDescent="0.35">
      <c r="A709" s="26">
        <f t="shared" si="163"/>
        <v>663</v>
      </c>
      <c r="B709" s="68" t="s">
        <v>2000</v>
      </c>
      <c r="C709" s="26"/>
      <c r="D709" s="111" t="s">
        <v>2008</v>
      </c>
      <c r="E709" s="45" t="s">
        <v>108</v>
      </c>
      <c r="F709" s="45"/>
      <c r="G709" s="76"/>
      <c r="H709" s="76"/>
      <c r="I709" s="36"/>
      <c r="J709" s="91"/>
      <c r="K709" s="3" t="str">
        <f t="shared" ca="1" si="146"/>
        <v/>
      </c>
      <c r="L709" s="36" t="s">
        <v>1749</v>
      </c>
      <c r="M709" s="91"/>
      <c r="N709" s="3" t="str">
        <f t="shared" ca="1" si="158"/>
        <v/>
      </c>
      <c r="O709" s="35"/>
      <c r="P709" s="4"/>
      <c r="Q709" s="4" t="str">
        <f t="shared" si="147"/>
        <v/>
      </c>
      <c r="R709" s="4">
        <f t="shared" si="159"/>
        <v>1</v>
      </c>
      <c r="S709" s="4" t="str">
        <f t="shared" si="162"/>
        <v>0</v>
      </c>
      <c r="T709" s="4">
        <f t="shared" si="164"/>
        <v>1</v>
      </c>
      <c r="U709" s="29"/>
      <c r="V709" s="30" t="s">
        <v>50</v>
      </c>
      <c r="W709" s="30"/>
      <c r="X709" s="30"/>
      <c r="Y709" s="30"/>
      <c r="Z709" s="30"/>
      <c r="AA709" s="30"/>
      <c r="AB709" s="29"/>
      <c r="AC709" s="29"/>
      <c r="AD709" s="37" t="str">
        <f t="shared" si="149"/>
        <v/>
      </c>
      <c r="AE709" s="3" t="str">
        <f t="shared" ca="1" si="148"/>
        <v/>
      </c>
      <c r="AF709" s="38" t="str">
        <f t="shared" si="150"/>
        <v/>
      </c>
      <c r="AG709" s="7"/>
    </row>
    <row r="710" spans="1:33" ht="32.15" customHeight="1" x14ac:dyDescent="0.35">
      <c r="A710" s="26">
        <f t="shared" si="163"/>
        <v>664</v>
      </c>
      <c r="B710" s="68" t="s">
        <v>2000</v>
      </c>
      <c r="C710" s="26"/>
      <c r="D710" s="60" t="s">
        <v>2009</v>
      </c>
      <c r="E710" s="45" t="s">
        <v>2010</v>
      </c>
      <c r="F710" s="24" t="s">
        <v>43</v>
      </c>
      <c r="G710" s="44" t="s">
        <v>2011</v>
      </c>
      <c r="H710" s="36" t="s">
        <v>85</v>
      </c>
      <c r="I710" s="36" t="s">
        <v>107</v>
      </c>
      <c r="J710" s="47" t="s">
        <v>565</v>
      </c>
      <c r="K710" s="3" t="str">
        <f t="shared" ca="1" si="146"/>
        <v xml:space="preserve">5 Tahun 9 bulan </v>
      </c>
      <c r="L710" s="36" t="s">
        <v>200</v>
      </c>
      <c r="M710" s="47" t="s">
        <v>565</v>
      </c>
      <c r="N710" s="3" t="str">
        <f t="shared" ca="1" si="158"/>
        <v xml:space="preserve">5 Tahun 9 bulan </v>
      </c>
      <c r="O710" s="36"/>
      <c r="P710" s="4" t="s">
        <v>35</v>
      </c>
      <c r="Q710" s="4" t="str">
        <f t="shared" si="147"/>
        <v>Laki-Laki</v>
      </c>
      <c r="R710" s="4">
        <f t="shared" si="159"/>
        <v>1</v>
      </c>
      <c r="S710" s="4" t="str">
        <f t="shared" si="162"/>
        <v>1</v>
      </c>
      <c r="T710" s="4">
        <f t="shared" si="164"/>
        <v>0</v>
      </c>
      <c r="U710" s="29"/>
      <c r="V710" s="30" t="s">
        <v>50</v>
      </c>
      <c r="W710" s="30"/>
      <c r="X710" s="30"/>
      <c r="Y710" s="30"/>
      <c r="Z710" s="30"/>
      <c r="AA710" s="30"/>
      <c r="AB710" s="29"/>
      <c r="AC710" s="29"/>
      <c r="AD710" s="37">
        <f t="shared" si="149"/>
        <v>25974</v>
      </c>
      <c r="AE710" s="3" t="str">
        <f t="shared" ca="1" si="148"/>
        <v>55 Tahun 6 bulan 22 Hari</v>
      </c>
      <c r="AF710" s="38">
        <f t="shared" si="150"/>
        <v>47908</v>
      </c>
      <c r="AG710" s="7"/>
    </row>
    <row r="711" spans="1:33" ht="32.15" customHeight="1" x14ac:dyDescent="0.35">
      <c r="A711" s="26">
        <f t="shared" si="163"/>
        <v>665</v>
      </c>
      <c r="B711" s="68" t="s">
        <v>2000</v>
      </c>
      <c r="C711" s="26"/>
      <c r="D711" s="60" t="s">
        <v>2012</v>
      </c>
      <c r="E711" s="24" t="s">
        <v>2013</v>
      </c>
      <c r="F711" s="24" t="s">
        <v>43</v>
      </c>
      <c r="G711" s="4" t="s">
        <v>2014</v>
      </c>
      <c r="H711" s="36" t="s">
        <v>2015</v>
      </c>
      <c r="I711" s="36" t="s">
        <v>118</v>
      </c>
      <c r="J711" s="47" t="s">
        <v>1748</v>
      </c>
      <c r="K711" s="3" t="str">
        <f t="shared" ref="K711:K774" ca="1" si="165">IF(J711="","",CONCATENATE(DATEDIF(J711,NOW(),"Y")," Tahun ",DATEDIF(J711,NOW(),"YM")," bulan "))</f>
        <v xml:space="preserve">9 Tahun 7 bulan </v>
      </c>
      <c r="L711" s="36" t="s">
        <v>200</v>
      </c>
      <c r="M711" s="47" t="s">
        <v>1748</v>
      </c>
      <c r="N711" s="3" t="str">
        <f t="shared" ca="1" si="158"/>
        <v xml:space="preserve">9 Tahun 7 bulan </v>
      </c>
      <c r="O711" s="36"/>
      <c r="P711" s="4" t="s">
        <v>35</v>
      </c>
      <c r="Q711" s="4" t="str">
        <f t="shared" ref="Q711:Q774" si="166">CONCATENATE(IF(MID(G711,17,1)="1","Laki-Laki",IF(MID(G711,17,1)="2","Perempuan",)))</f>
        <v>Perempuan</v>
      </c>
      <c r="R711" s="4">
        <f t="shared" si="159"/>
        <v>1</v>
      </c>
      <c r="S711" s="4" t="str">
        <f t="shared" si="162"/>
        <v>1</v>
      </c>
      <c r="T711" s="4">
        <f t="shared" si="164"/>
        <v>0</v>
      </c>
      <c r="U711" s="29"/>
      <c r="V711" s="30"/>
      <c r="W711" s="30"/>
      <c r="X711" s="30"/>
      <c r="Y711" s="30"/>
      <c r="Z711" s="30"/>
      <c r="AA711" s="30"/>
      <c r="AB711" s="29"/>
      <c r="AC711" s="29"/>
      <c r="AD711" s="37">
        <f t="shared" si="149"/>
        <v>25246</v>
      </c>
      <c r="AE711" s="3" t="str">
        <f t="shared" ref="AE711:AE774" ca="1" si="167">IF(TRIM(AD711)="", "", CONCATENATE(DATEDIF(AD711,NOW(),"Y")," Tahun ",DATEDIF(AD711,NOW(),"YM")," bulan ",DATEDIF(AD711,NOW(),"MD")," Hari"))</f>
        <v>57 Tahun 6 bulan 20 Hari</v>
      </c>
      <c r="AF711" s="38">
        <f t="shared" si="150"/>
        <v>47178</v>
      </c>
      <c r="AG711" s="7"/>
    </row>
    <row r="712" spans="1:33" ht="32.15" customHeight="1" x14ac:dyDescent="0.35">
      <c r="A712" s="26">
        <f t="shared" si="163"/>
        <v>666</v>
      </c>
      <c r="B712" s="68" t="s">
        <v>2000</v>
      </c>
      <c r="C712" s="26"/>
      <c r="D712" s="60" t="s">
        <v>2016</v>
      </c>
      <c r="E712" s="45" t="s">
        <v>2017</v>
      </c>
      <c r="F712" s="24" t="s">
        <v>43</v>
      </c>
      <c r="G712" s="44" t="s">
        <v>2018</v>
      </c>
      <c r="H712" s="4" t="s">
        <v>2019</v>
      </c>
      <c r="I712" s="4" t="s">
        <v>1814</v>
      </c>
      <c r="J712" s="47" t="s">
        <v>199</v>
      </c>
      <c r="K712" s="3" t="str">
        <f t="shared" ca="1" si="165"/>
        <v xml:space="preserve">3 Tahun 11 bulan </v>
      </c>
      <c r="L712" s="36" t="s">
        <v>200</v>
      </c>
      <c r="M712" s="47" t="s">
        <v>199</v>
      </c>
      <c r="N712" s="3" t="str">
        <f t="shared" ca="1" si="158"/>
        <v xml:space="preserve">3 Tahun 11 bulan </v>
      </c>
      <c r="O712" s="4"/>
      <c r="P712" s="4" t="s">
        <v>35</v>
      </c>
      <c r="Q712" s="4" t="str">
        <f t="shared" si="166"/>
        <v>Laki-Laki</v>
      </c>
      <c r="R712" s="4">
        <f t="shared" si="159"/>
        <v>1</v>
      </c>
      <c r="S712" s="4" t="str">
        <f t="shared" si="162"/>
        <v>1</v>
      </c>
      <c r="T712" s="4">
        <f t="shared" si="164"/>
        <v>0</v>
      </c>
      <c r="U712" s="29"/>
      <c r="V712" s="30" t="s">
        <v>50</v>
      </c>
      <c r="W712" s="30"/>
      <c r="X712" s="30"/>
      <c r="Y712" s="30"/>
      <c r="Z712" s="30"/>
      <c r="AA712" s="30"/>
      <c r="AB712" s="29"/>
      <c r="AC712" s="29"/>
      <c r="AD712" s="37">
        <f t="shared" ref="AD712:AD775" si="168">IF(TRIM(G712)="", "", DATE(LEFT(G712,4),MID(G712,5,2),MID(G712,7,2)))</f>
        <v>25093</v>
      </c>
      <c r="AE712" s="3" t="str">
        <f t="shared" ca="1" si="167"/>
        <v>57 Tahun 11 bulan 20 Hari</v>
      </c>
      <c r="AF712" s="38">
        <f t="shared" ref="AF712:AF775" si="169">IF(TRIM(AD712)="","",DATE(YEAR(AD712)+60,MONTH(AD712)+1,1))</f>
        <v>47027</v>
      </c>
      <c r="AG712" s="11" t="s">
        <v>3145</v>
      </c>
    </row>
    <row r="713" spans="1:33" ht="32.15" customHeight="1" x14ac:dyDescent="0.35">
      <c r="A713" s="26">
        <f t="shared" si="163"/>
        <v>667</v>
      </c>
      <c r="B713" s="68" t="s">
        <v>2000</v>
      </c>
      <c r="C713" s="26"/>
      <c r="D713" s="60" t="s">
        <v>2020</v>
      </c>
      <c r="E713" s="223" t="s">
        <v>108</v>
      </c>
      <c r="F713" s="24"/>
      <c r="G713" s="52"/>
      <c r="H713" s="36"/>
      <c r="I713" s="4"/>
      <c r="J713" s="82"/>
      <c r="K713" s="3" t="str">
        <f t="shared" ca="1" si="165"/>
        <v/>
      </c>
      <c r="L713" s="36" t="s">
        <v>200</v>
      </c>
      <c r="M713" s="82"/>
      <c r="N713" s="3" t="str">
        <f t="shared" ca="1" si="158"/>
        <v/>
      </c>
      <c r="O713" s="36"/>
      <c r="P713" s="4"/>
      <c r="Q713" s="4" t="str">
        <f t="shared" si="166"/>
        <v/>
      </c>
      <c r="R713" s="4">
        <f t="shared" si="159"/>
        <v>1</v>
      </c>
      <c r="S713" s="4" t="str">
        <f t="shared" si="162"/>
        <v>0</v>
      </c>
      <c r="T713" s="4">
        <f t="shared" si="164"/>
        <v>1</v>
      </c>
      <c r="U713" s="29"/>
      <c r="V713" s="30" t="s">
        <v>50</v>
      </c>
      <c r="W713" s="30"/>
      <c r="X713" s="30"/>
      <c r="Y713" s="30"/>
      <c r="Z713" s="30"/>
      <c r="AA713" s="30"/>
      <c r="AB713" s="29"/>
      <c r="AC713" s="29"/>
      <c r="AD713" s="37" t="str">
        <f t="shared" si="168"/>
        <v/>
      </c>
      <c r="AE713" s="3" t="str">
        <f t="shared" ca="1" si="167"/>
        <v/>
      </c>
      <c r="AF713" s="38" t="str">
        <f t="shared" si="169"/>
        <v/>
      </c>
      <c r="AG713" s="11" t="s">
        <v>3147</v>
      </c>
    </row>
    <row r="714" spans="1:33" ht="32.15" customHeight="1" x14ac:dyDescent="0.35">
      <c r="A714" s="155">
        <f t="shared" si="163"/>
        <v>668</v>
      </c>
      <c r="B714" s="171" t="s">
        <v>2000</v>
      </c>
      <c r="C714" s="155"/>
      <c r="D714" s="176" t="s">
        <v>2021</v>
      </c>
      <c r="E714" s="159" t="s">
        <v>3077</v>
      </c>
      <c r="F714" s="159" t="s">
        <v>43</v>
      </c>
      <c r="G714" s="163" t="s">
        <v>3078</v>
      </c>
      <c r="H714" s="160" t="s">
        <v>231</v>
      </c>
      <c r="I714" s="160" t="s">
        <v>3079</v>
      </c>
      <c r="J714" s="177">
        <v>46260</v>
      </c>
      <c r="K714" s="163" t="str">
        <f t="shared" ca="1" si="165"/>
        <v xml:space="preserve">0 Tahun 0 bulan </v>
      </c>
      <c r="L714" s="170" t="s">
        <v>200</v>
      </c>
      <c r="M714" s="177"/>
      <c r="N714" s="163" t="str">
        <f t="shared" ca="1" si="158"/>
        <v/>
      </c>
      <c r="O714" s="160"/>
      <c r="P714" s="160"/>
      <c r="Q714" s="160" t="str">
        <f t="shared" si="166"/>
        <v>Laki-Laki</v>
      </c>
      <c r="R714" s="160">
        <f t="shared" si="159"/>
        <v>1</v>
      </c>
      <c r="S714" s="160" t="str">
        <f t="shared" si="162"/>
        <v>1</v>
      </c>
      <c r="T714" s="160">
        <f t="shared" si="164"/>
        <v>0</v>
      </c>
      <c r="U714" s="165"/>
      <c r="V714" s="164" t="s">
        <v>50</v>
      </c>
      <c r="W714" s="164"/>
      <c r="X714" s="164"/>
      <c r="Y714" s="164"/>
      <c r="Z714" s="164"/>
      <c r="AA714" s="164"/>
      <c r="AB714" s="165"/>
      <c r="AC714" s="165"/>
      <c r="AD714" s="166">
        <f t="shared" si="168"/>
        <v>28158</v>
      </c>
      <c r="AE714" s="163" t="str">
        <f t="shared" ca="1" si="167"/>
        <v>49 Tahun 6 bulan 30 Hari</v>
      </c>
      <c r="AF714" s="167">
        <f t="shared" si="169"/>
        <v>50100</v>
      </c>
      <c r="AG714" s="7"/>
    </row>
    <row r="715" spans="1:33" ht="23.25" customHeight="1" x14ac:dyDescent="0.35">
      <c r="A715" s="26"/>
      <c r="B715" s="27" t="s">
        <v>2022</v>
      </c>
      <c r="C715" s="280" t="s">
        <v>2023</v>
      </c>
      <c r="D715" s="281"/>
      <c r="E715" s="24"/>
      <c r="F715" s="24"/>
      <c r="G715" s="4"/>
      <c r="H715" s="4"/>
      <c r="I715" s="33"/>
      <c r="J715" s="5"/>
      <c r="K715" s="3" t="str">
        <f t="shared" ca="1" si="165"/>
        <v/>
      </c>
      <c r="L715" s="30"/>
      <c r="M715" s="5"/>
      <c r="N715" s="3" t="str">
        <f t="shared" ca="1" si="158"/>
        <v/>
      </c>
      <c r="O715" s="4"/>
      <c r="P715" s="4"/>
      <c r="Q715" s="4"/>
      <c r="R715" s="4"/>
      <c r="S715" s="4"/>
      <c r="T715" s="4"/>
      <c r="U715" s="29"/>
      <c r="V715" s="30"/>
      <c r="W715" s="30"/>
      <c r="X715" s="30"/>
      <c r="Y715" s="30"/>
      <c r="Z715" s="29"/>
      <c r="AA715" s="29"/>
      <c r="AB715" s="29"/>
      <c r="AC715" s="29"/>
      <c r="AD715" s="37" t="str">
        <f t="shared" si="168"/>
        <v/>
      </c>
      <c r="AE715" s="3" t="str">
        <f t="shared" ca="1" si="167"/>
        <v/>
      </c>
      <c r="AF715" s="38" t="str">
        <f t="shared" si="169"/>
        <v/>
      </c>
      <c r="AG715" s="7"/>
    </row>
    <row r="716" spans="1:33" ht="35.25" customHeight="1" x14ac:dyDescent="0.35">
      <c r="A716" s="26">
        <f>A714+1</f>
        <v>669</v>
      </c>
      <c r="B716" s="27" t="s">
        <v>2022</v>
      </c>
      <c r="C716" s="282" t="s">
        <v>2024</v>
      </c>
      <c r="D716" s="283"/>
      <c r="E716" s="220" t="s">
        <v>509</v>
      </c>
      <c r="F716" s="24" t="s">
        <v>43</v>
      </c>
      <c r="G716" s="3" t="s">
        <v>510</v>
      </c>
      <c r="H716" s="4" t="s">
        <v>2966</v>
      </c>
      <c r="I716" s="4" t="s">
        <v>2967</v>
      </c>
      <c r="J716" s="53">
        <v>46260</v>
      </c>
      <c r="K716" s="3" t="str">
        <f t="shared" ca="1" si="165"/>
        <v xml:space="preserve">0 Tahun 0 bulan </v>
      </c>
      <c r="L716" s="36" t="s">
        <v>79</v>
      </c>
      <c r="M716" s="81">
        <v>45993</v>
      </c>
      <c r="N716" s="3" t="str">
        <f t="shared" ca="1" si="158"/>
        <v xml:space="preserve">0 Tahun 8 bulan </v>
      </c>
      <c r="O716" s="4" t="s">
        <v>81</v>
      </c>
      <c r="P716" s="4" t="s">
        <v>35</v>
      </c>
      <c r="Q716" s="4" t="str">
        <f t="shared" si="166"/>
        <v>Laki-Laki</v>
      </c>
      <c r="R716" s="4">
        <f>R714</f>
        <v>1</v>
      </c>
      <c r="S716" s="4" t="str">
        <f t="shared" ref="S716:S724" si="170">IF(E716="LOWONG","0","1")</f>
        <v>1</v>
      </c>
      <c r="T716" s="4">
        <f t="shared" si="164"/>
        <v>0</v>
      </c>
      <c r="U716" s="29"/>
      <c r="V716" s="30" t="s">
        <v>50</v>
      </c>
      <c r="W716" s="30"/>
      <c r="X716" s="30"/>
      <c r="Y716" s="30"/>
      <c r="Z716" s="30"/>
      <c r="AA716" s="30"/>
      <c r="AB716" s="29"/>
      <c r="AC716" s="29"/>
      <c r="AD716" s="37">
        <f t="shared" si="168"/>
        <v>25096</v>
      </c>
      <c r="AE716" s="3" t="str">
        <f t="shared" ca="1" si="167"/>
        <v>57 Tahun 11 bulan 17 Hari</v>
      </c>
      <c r="AF716" s="38">
        <f t="shared" si="169"/>
        <v>47027</v>
      </c>
      <c r="AG716" s="11" t="s">
        <v>3143</v>
      </c>
    </row>
    <row r="717" spans="1:33" ht="30" customHeight="1" x14ac:dyDescent="0.35">
      <c r="A717" s="26">
        <f t="shared" si="163"/>
        <v>670</v>
      </c>
      <c r="B717" s="27" t="s">
        <v>2022</v>
      </c>
      <c r="C717" s="282" t="s">
        <v>2026</v>
      </c>
      <c r="D717" s="283"/>
      <c r="E717" s="39" t="s">
        <v>2027</v>
      </c>
      <c r="F717" s="24" t="s">
        <v>43</v>
      </c>
      <c r="G717" s="25" t="s">
        <v>2854</v>
      </c>
      <c r="H717" s="4" t="s">
        <v>159</v>
      </c>
      <c r="I717" s="25" t="s">
        <v>2834</v>
      </c>
      <c r="J717" s="5">
        <v>45993</v>
      </c>
      <c r="K717" s="3" t="str">
        <f t="shared" ca="1" si="165"/>
        <v xml:space="preserve">0 Tahun 8 bulan </v>
      </c>
      <c r="L717" s="36" t="s">
        <v>346</v>
      </c>
      <c r="M717" s="5"/>
      <c r="N717" s="3" t="str">
        <f t="shared" ca="1" si="158"/>
        <v/>
      </c>
      <c r="O717" s="4"/>
      <c r="P717" s="4" t="s">
        <v>35</v>
      </c>
      <c r="Q717" s="4" t="str">
        <f t="shared" si="166"/>
        <v>Laki-Laki</v>
      </c>
      <c r="R717" s="4">
        <f t="shared" si="159"/>
        <v>1</v>
      </c>
      <c r="S717" s="4" t="str">
        <f t="shared" si="170"/>
        <v>1</v>
      </c>
      <c r="T717" s="4">
        <f t="shared" si="164"/>
        <v>0</v>
      </c>
      <c r="U717" s="29"/>
      <c r="V717" s="30" t="s">
        <v>50</v>
      </c>
      <c r="W717" s="30"/>
      <c r="X717" s="30"/>
      <c r="Y717" s="30"/>
      <c r="Z717" s="30"/>
      <c r="AA717" s="30"/>
      <c r="AB717" s="29"/>
      <c r="AC717" s="29"/>
      <c r="AD717" s="37">
        <f t="shared" si="168"/>
        <v>29641</v>
      </c>
      <c r="AE717" s="3" t="str">
        <f t="shared" ca="1" si="167"/>
        <v>45 Tahun 6 bulan 8 Hari</v>
      </c>
      <c r="AF717" s="38">
        <f t="shared" si="169"/>
        <v>51561</v>
      </c>
      <c r="AG717" s="7"/>
    </row>
    <row r="718" spans="1:33" ht="30" customHeight="1" x14ac:dyDescent="0.35">
      <c r="A718" s="26">
        <f t="shared" si="163"/>
        <v>671</v>
      </c>
      <c r="B718" s="27" t="s">
        <v>2022</v>
      </c>
      <c r="C718" s="26"/>
      <c r="D718" s="111" t="s">
        <v>2028</v>
      </c>
      <c r="E718" s="45" t="s">
        <v>2029</v>
      </c>
      <c r="F718" s="24" t="s">
        <v>43</v>
      </c>
      <c r="G718" s="44" t="s">
        <v>2030</v>
      </c>
      <c r="H718" s="56" t="s">
        <v>94</v>
      </c>
      <c r="I718" s="33" t="s">
        <v>86</v>
      </c>
      <c r="J718" s="65" t="s">
        <v>338</v>
      </c>
      <c r="K718" s="3" t="str">
        <f t="shared" ca="1" si="165"/>
        <v xml:space="preserve">2 Tahun 11 bulan </v>
      </c>
      <c r="L718" s="36" t="s">
        <v>1749</v>
      </c>
      <c r="M718" s="65" t="s">
        <v>338</v>
      </c>
      <c r="N718" s="3" t="str">
        <f t="shared" ca="1" si="158"/>
        <v xml:space="preserve">2 Tahun 11 bulan </v>
      </c>
      <c r="O718" s="4"/>
      <c r="P718" s="4" t="s">
        <v>35</v>
      </c>
      <c r="Q718" s="4" t="str">
        <f t="shared" si="166"/>
        <v>Laki-Laki</v>
      </c>
      <c r="R718" s="4">
        <f t="shared" si="159"/>
        <v>1</v>
      </c>
      <c r="S718" s="4" t="str">
        <f t="shared" si="170"/>
        <v>1</v>
      </c>
      <c r="T718" s="4">
        <f t="shared" si="164"/>
        <v>0</v>
      </c>
      <c r="U718" s="29"/>
      <c r="V718" s="30" t="s">
        <v>50</v>
      </c>
      <c r="W718" s="30"/>
      <c r="X718" s="30"/>
      <c r="Y718" s="30"/>
      <c r="Z718" s="30"/>
      <c r="AA718" s="30"/>
      <c r="AB718" s="29"/>
      <c r="AC718" s="29"/>
      <c r="AD718" s="37">
        <f t="shared" si="168"/>
        <v>29201</v>
      </c>
      <c r="AE718" s="3" t="str">
        <f t="shared" ca="1" si="167"/>
        <v>46 Tahun 8 bulan 20 Hari</v>
      </c>
      <c r="AF718" s="38">
        <f t="shared" si="169"/>
        <v>51136</v>
      </c>
      <c r="AG718" s="7"/>
    </row>
    <row r="719" spans="1:33" ht="30" customHeight="1" x14ac:dyDescent="0.35">
      <c r="A719" s="26">
        <f t="shared" si="163"/>
        <v>672</v>
      </c>
      <c r="B719" s="27" t="s">
        <v>2022</v>
      </c>
      <c r="C719" s="26"/>
      <c r="D719" s="111" t="s">
        <v>2031</v>
      </c>
      <c r="E719" s="45" t="s">
        <v>2032</v>
      </c>
      <c r="F719" s="24" t="s">
        <v>43</v>
      </c>
      <c r="G719" s="44" t="s">
        <v>2033</v>
      </c>
      <c r="H719" s="56" t="s">
        <v>2034</v>
      </c>
      <c r="I719" s="33" t="s">
        <v>2035</v>
      </c>
      <c r="J719" s="65" t="s">
        <v>338</v>
      </c>
      <c r="K719" s="3" t="str">
        <f t="shared" ca="1" si="165"/>
        <v xml:space="preserve">2 Tahun 11 bulan </v>
      </c>
      <c r="L719" s="36" t="s">
        <v>1749</v>
      </c>
      <c r="M719" s="65" t="s">
        <v>338</v>
      </c>
      <c r="N719" s="3" t="str">
        <f t="shared" ca="1" si="158"/>
        <v xml:space="preserve">2 Tahun 11 bulan </v>
      </c>
      <c r="O719" s="4"/>
      <c r="P719" s="4" t="s">
        <v>35</v>
      </c>
      <c r="Q719" s="4" t="str">
        <f t="shared" si="166"/>
        <v>Laki-Laki</v>
      </c>
      <c r="R719" s="4">
        <f t="shared" si="159"/>
        <v>1</v>
      </c>
      <c r="S719" s="4" t="str">
        <f t="shared" si="170"/>
        <v>1</v>
      </c>
      <c r="T719" s="4">
        <f t="shared" si="164"/>
        <v>0</v>
      </c>
      <c r="U719" s="29"/>
      <c r="V719" s="30" t="s">
        <v>50</v>
      </c>
      <c r="W719" s="30"/>
      <c r="X719" s="30"/>
      <c r="Y719" s="30"/>
      <c r="Z719" s="30"/>
      <c r="AA719" s="30"/>
      <c r="AB719" s="29"/>
      <c r="AC719" s="29"/>
      <c r="AD719" s="37">
        <f t="shared" si="168"/>
        <v>28776</v>
      </c>
      <c r="AE719" s="3" t="str">
        <f t="shared" ca="1" si="167"/>
        <v>47 Tahun 10 bulan 19 Hari</v>
      </c>
      <c r="AF719" s="38">
        <f t="shared" si="169"/>
        <v>50710</v>
      </c>
      <c r="AG719" s="7"/>
    </row>
    <row r="720" spans="1:33" ht="30" customHeight="1" x14ac:dyDescent="0.35">
      <c r="A720" s="26">
        <f t="shared" si="163"/>
        <v>673</v>
      </c>
      <c r="B720" s="27" t="s">
        <v>2022</v>
      </c>
      <c r="C720" s="26"/>
      <c r="D720" s="60" t="s">
        <v>2036</v>
      </c>
      <c r="E720" s="24" t="s">
        <v>2037</v>
      </c>
      <c r="F720" s="24" t="s">
        <v>43</v>
      </c>
      <c r="G720" s="3" t="s">
        <v>2038</v>
      </c>
      <c r="H720" s="56" t="s">
        <v>1866</v>
      </c>
      <c r="I720" s="33" t="s">
        <v>86</v>
      </c>
      <c r="J720" s="47" t="s">
        <v>338</v>
      </c>
      <c r="K720" s="3" t="str">
        <f t="shared" ca="1" si="165"/>
        <v xml:space="preserve">2 Tahun 11 bulan </v>
      </c>
      <c r="L720" s="25" t="s">
        <v>200</v>
      </c>
      <c r="M720" s="47" t="s">
        <v>338</v>
      </c>
      <c r="N720" s="3" t="str">
        <f t="shared" ca="1" si="158"/>
        <v xml:space="preserve">2 Tahun 11 bulan </v>
      </c>
      <c r="O720" s="35"/>
      <c r="P720" s="4" t="s">
        <v>35</v>
      </c>
      <c r="Q720" s="4" t="str">
        <f t="shared" si="166"/>
        <v>Laki-Laki</v>
      </c>
      <c r="R720" s="4">
        <f t="shared" si="159"/>
        <v>1</v>
      </c>
      <c r="S720" s="4" t="str">
        <f t="shared" si="170"/>
        <v>1</v>
      </c>
      <c r="T720" s="4">
        <f t="shared" si="164"/>
        <v>0</v>
      </c>
      <c r="U720" s="29"/>
      <c r="V720" s="30" t="s">
        <v>50</v>
      </c>
      <c r="W720" s="30"/>
      <c r="X720" s="30"/>
      <c r="Y720" s="30"/>
      <c r="Z720" s="30"/>
      <c r="AA720" s="30"/>
      <c r="AB720" s="29"/>
      <c r="AC720" s="29"/>
      <c r="AD720" s="37">
        <f t="shared" si="168"/>
        <v>28718</v>
      </c>
      <c r="AE720" s="3" t="str">
        <f t="shared" ca="1" si="167"/>
        <v>48 Tahun 0 bulan 16 Hari</v>
      </c>
      <c r="AF720" s="38">
        <f t="shared" si="169"/>
        <v>50649</v>
      </c>
      <c r="AG720" s="7"/>
    </row>
    <row r="721" spans="1:33" ht="30" customHeight="1" x14ac:dyDescent="0.35">
      <c r="A721" s="26">
        <f t="shared" si="163"/>
        <v>674</v>
      </c>
      <c r="B721" s="27" t="s">
        <v>2022</v>
      </c>
      <c r="C721" s="26"/>
      <c r="D721" s="60" t="s">
        <v>2039</v>
      </c>
      <c r="E721" s="45" t="s">
        <v>2040</v>
      </c>
      <c r="F721" s="24" t="s">
        <v>43</v>
      </c>
      <c r="G721" s="44" t="s">
        <v>2041</v>
      </c>
      <c r="H721" s="56" t="s">
        <v>1823</v>
      </c>
      <c r="I721" s="33" t="s">
        <v>86</v>
      </c>
      <c r="J721" s="65" t="s">
        <v>338</v>
      </c>
      <c r="K721" s="3" t="str">
        <f t="shared" ca="1" si="165"/>
        <v xml:space="preserve">2 Tahun 11 bulan </v>
      </c>
      <c r="L721" s="36" t="s">
        <v>200</v>
      </c>
      <c r="M721" s="65" t="s">
        <v>338</v>
      </c>
      <c r="N721" s="3" t="str">
        <f t="shared" ca="1" si="158"/>
        <v xml:space="preserve">2 Tahun 11 bulan </v>
      </c>
      <c r="O721" s="35"/>
      <c r="P721" s="4" t="s">
        <v>35</v>
      </c>
      <c r="Q721" s="4" t="str">
        <f t="shared" si="166"/>
        <v>Laki-Laki</v>
      </c>
      <c r="R721" s="4">
        <f t="shared" si="159"/>
        <v>1</v>
      </c>
      <c r="S721" s="4" t="str">
        <f t="shared" si="170"/>
        <v>1</v>
      </c>
      <c r="T721" s="4">
        <f t="shared" si="164"/>
        <v>0</v>
      </c>
      <c r="U721" s="29"/>
      <c r="V721" s="30" t="s">
        <v>50</v>
      </c>
      <c r="W721" s="30"/>
      <c r="X721" s="30"/>
      <c r="Y721" s="30"/>
      <c r="Z721" s="30"/>
      <c r="AA721" s="30"/>
      <c r="AB721" s="29"/>
      <c r="AC721" s="29"/>
      <c r="AD721" s="37">
        <f t="shared" si="168"/>
        <v>27964</v>
      </c>
      <c r="AE721" s="3" t="str">
        <f t="shared" ca="1" si="167"/>
        <v>50 Tahun 1 bulan 9 Hari</v>
      </c>
      <c r="AF721" s="38">
        <f t="shared" si="169"/>
        <v>49888</v>
      </c>
      <c r="AG721" s="7"/>
    </row>
    <row r="722" spans="1:33" ht="30" customHeight="1" x14ac:dyDescent="0.35">
      <c r="A722" s="26">
        <f t="shared" si="163"/>
        <v>675</v>
      </c>
      <c r="B722" s="27" t="s">
        <v>2022</v>
      </c>
      <c r="C722" s="26"/>
      <c r="D722" s="111" t="s">
        <v>2042</v>
      </c>
      <c r="E722" s="45" t="s">
        <v>2043</v>
      </c>
      <c r="F722" s="24" t="s">
        <v>43</v>
      </c>
      <c r="G722" s="44" t="s">
        <v>2044</v>
      </c>
      <c r="H722" s="56" t="s">
        <v>621</v>
      </c>
      <c r="I722" s="36" t="s">
        <v>184</v>
      </c>
      <c r="J722" s="65" t="s">
        <v>1748</v>
      </c>
      <c r="K722" s="3" t="str">
        <f t="shared" ca="1" si="165"/>
        <v xml:space="preserve">9 Tahun 7 bulan </v>
      </c>
      <c r="L722" s="36" t="s">
        <v>200</v>
      </c>
      <c r="M722" s="65" t="s">
        <v>1748</v>
      </c>
      <c r="N722" s="3" t="str">
        <f t="shared" ca="1" si="158"/>
        <v xml:space="preserve">9 Tahun 7 bulan </v>
      </c>
      <c r="O722" s="36"/>
      <c r="P722" s="4" t="s">
        <v>35</v>
      </c>
      <c r="Q722" s="4" t="str">
        <f t="shared" si="166"/>
        <v>Laki-Laki</v>
      </c>
      <c r="R722" s="4">
        <f t="shared" si="159"/>
        <v>1</v>
      </c>
      <c r="S722" s="4" t="str">
        <f t="shared" si="170"/>
        <v>1</v>
      </c>
      <c r="T722" s="4">
        <f t="shared" si="164"/>
        <v>0</v>
      </c>
      <c r="U722" s="29"/>
      <c r="V722" s="30" t="s">
        <v>50</v>
      </c>
      <c r="W722" s="30"/>
      <c r="X722" s="30"/>
      <c r="Y722" s="30"/>
      <c r="Z722" s="30"/>
      <c r="AA722" s="30"/>
      <c r="AB722" s="29"/>
      <c r="AC722" s="29"/>
      <c r="AD722" s="37">
        <f t="shared" si="168"/>
        <v>29876</v>
      </c>
      <c r="AE722" s="3" t="str">
        <f t="shared" ca="1" si="167"/>
        <v>44 Tahun 10 bulan 15 Hari</v>
      </c>
      <c r="AF722" s="38">
        <f t="shared" si="169"/>
        <v>51806</v>
      </c>
      <c r="AG722" s="7"/>
    </row>
    <row r="723" spans="1:33" ht="30" customHeight="1" x14ac:dyDescent="0.35">
      <c r="A723" s="26">
        <f t="shared" si="163"/>
        <v>676</v>
      </c>
      <c r="B723" s="27" t="s">
        <v>2022</v>
      </c>
      <c r="C723" s="26"/>
      <c r="D723" s="60" t="s">
        <v>2045</v>
      </c>
      <c r="E723" s="45" t="s">
        <v>2046</v>
      </c>
      <c r="F723" s="24" t="s">
        <v>43</v>
      </c>
      <c r="G723" s="36" t="s">
        <v>2047</v>
      </c>
      <c r="H723" s="25" t="s">
        <v>274</v>
      </c>
      <c r="I723" s="36" t="s">
        <v>86</v>
      </c>
      <c r="J723" s="44" t="s">
        <v>565</v>
      </c>
      <c r="K723" s="3" t="str">
        <f t="shared" ca="1" si="165"/>
        <v xml:space="preserve">5 Tahun 9 bulan </v>
      </c>
      <c r="L723" s="36" t="s">
        <v>200</v>
      </c>
      <c r="M723" s="44" t="s">
        <v>565</v>
      </c>
      <c r="N723" s="3" t="str">
        <f t="shared" ca="1" si="158"/>
        <v xml:space="preserve">5 Tahun 9 bulan </v>
      </c>
      <c r="O723" s="36"/>
      <c r="P723" s="36" t="s">
        <v>35</v>
      </c>
      <c r="Q723" s="4" t="str">
        <f t="shared" si="166"/>
        <v>Laki-Laki</v>
      </c>
      <c r="R723" s="4">
        <f t="shared" si="159"/>
        <v>1</v>
      </c>
      <c r="S723" s="4" t="str">
        <f t="shared" si="170"/>
        <v>1</v>
      </c>
      <c r="T723" s="4">
        <f t="shared" si="164"/>
        <v>0</v>
      </c>
      <c r="U723" s="29"/>
      <c r="V723" s="30" t="s">
        <v>50</v>
      </c>
      <c r="W723" s="30"/>
      <c r="X723" s="30"/>
      <c r="Y723" s="30"/>
      <c r="Z723" s="30"/>
      <c r="AA723" s="30"/>
      <c r="AB723" s="29"/>
      <c r="AC723" s="29"/>
      <c r="AD723" s="37">
        <f t="shared" si="168"/>
        <v>28303</v>
      </c>
      <c r="AE723" s="3" t="str">
        <f t="shared" ca="1" si="167"/>
        <v>49 Tahun 2 bulan 5 Hari</v>
      </c>
      <c r="AF723" s="38">
        <f t="shared" si="169"/>
        <v>50222</v>
      </c>
      <c r="AG723" s="7"/>
    </row>
    <row r="724" spans="1:33" ht="30" customHeight="1" x14ac:dyDescent="0.35">
      <c r="A724" s="26">
        <f t="shared" si="163"/>
        <v>677</v>
      </c>
      <c r="B724" s="27" t="s">
        <v>2022</v>
      </c>
      <c r="C724" s="26"/>
      <c r="D724" s="111" t="s">
        <v>2048</v>
      </c>
      <c r="E724" s="45" t="s">
        <v>2049</v>
      </c>
      <c r="F724" s="24" t="s">
        <v>43</v>
      </c>
      <c r="G724" s="36" t="s">
        <v>2050</v>
      </c>
      <c r="H724" s="4" t="s">
        <v>337</v>
      </c>
      <c r="I724" s="48" t="s">
        <v>86</v>
      </c>
      <c r="J724" s="47" t="s">
        <v>338</v>
      </c>
      <c r="K724" s="3" t="str">
        <f t="shared" ca="1" si="165"/>
        <v xml:space="preserve">2 Tahun 11 bulan </v>
      </c>
      <c r="L724" s="36" t="s">
        <v>200</v>
      </c>
      <c r="M724" s="47" t="s">
        <v>338</v>
      </c>
      <c r="N724" s="3" t="str">
        <f t="shared" ca="1" si="158"/>
        <v xml:space="preserve">2 Tahun 11 bulan </v>
      </c>
      <c r="O724" s="36"/>
      <c r="P724" s="4" t="s">
        <v>35</v>
      </c>
      <c r="Q724" s="4" t="str">
        <f t="shared" si="166"/>
        <v>Laki-Laki</v>
      </c>
      <c r="R724" s="4">
        <f t="shared" si="159"/>
        <v>1</v>
      </c>
      <c r="S724" s="4" t="str">
        <f t="shared" si="170"/>
        <v>1</v>
      </c>
      <c r="T724" s="4">
        <f t="shared" si="164"/>
        <v>0</v>
      </c>
      <c r="U724" s="29"/>
      <c r="V724" s="30" t="s">
        <v>50</v>
      </c>
      <c r="W724" s="30"/>
      <c r="X724" s="30"/>
      <c r="Y724" s="30"/>
      <c r="Z724" s="30"/>
      <c r="AA724" s="30"/>
      <c r="AB724" s="29"/>
      <c r="AC724" s="29"/>
      <c r="AD724" s="37">
        <f t="shared" si="168"/>
        <v>30108</v>
      </c>
      <c r="AE724" s="3" t="str">
        <f t="shared" ca="1" si="167"/>
        <v>44 Tahun 2 bulan 26 Hari</v>
      </c>
      <c r="AF724" s="38">
        <f t="shared" si="169"/>
        <v>52048</v>
      </c>
      <c r="AG724" s="7"/>
    </row>
    <row r="725" spans="1:33" ht="22.5" customHeight="1" x14ac:dyDescent="0.35">
      <c r="A725" s="26"/>
      <c r="B725" s="27" t="s">
        <v>2051</v>
      </c>
      <c r="C725" s="280" t="s">
        <v>2052</v>
      </c>
      <c r="D725" s="281"/>
      <c r="E725" s="24"/>
      <c r="F725" s="24"/>
      <c r="G725" s="4"/>
      <c r="H725" s="4"/>
      <c r="I725" s="33"/>
      <c r="J725" s="5"/>
      <c r="K725" s="3" t="str">
        <f t="shared" ca="1" si="165"/>
        <v/>
      </c>
      <c r="L725" s="30"/>
      <c r="M725" s="5"/>
      <c r="N725" s="3" t="str">
        <f t="shared" ca="1" si="158"/>
        <v/>
      </c>
      <c r="O725" s="4"/>
      <c r="P725" s="4"/>
      <c r="Q725" s="4"/>
      <c r="R725" s="4"/>
      <c r="S725" s="4"/>
      <c r="T725" s="4"/>
      <c r="U725" s="29"/>
      <c r="V725" s="30"/>
      <c r="W725" s="30"/>
      <c r="X725" s="30"/>
      <c r="Y725" s="30"/>
      <c r="Z725" s="29"/>
      <c r="AA725" s="29"/>
      <c r="AB725" s="29"/>
      <c r="AC725" s="29"/>
      <c r="AD725" s="37" t="str">
        <f t="shared" si="168"/>
        <v/>
      </c>
      <c r="AE725" s="3" t="str">
        <f t="shared" ca="1" si="167"/>
        <v/>
      </c>
      <c r="AF725" s="38" t="str">
        <f t="shared" si="169"/>
        <v/>
      </c>
      <c r="AG725" s="7"/>
    </row>
    <row r="726" spans="1:33" ht="32.15" customHeight="1" x14ac:dyDescent="0.35">
      <c r="A726" s="26">
        <f>A724+1</f>
        <v>678</v>
      </c>
      <c r="B726" s="27" t="s">
        <v>2051</v>
      </c>
      <c r="C726" s="282" t="s">
        <v>2053</v>
      </c>
      <c r="D726" s="283"/>
      <c r="E726" s="24" t="s">
        <v>3036</v>
      </c>
      <c r="F726" s="24" t="s">
        <v>43</v>
      </c>
      <c r="G726" s="3" t="s">
        <v>920</v>
      </c>
      <c r="H726" s="4" t="s">
        <v>345</v>
      </c>
      <c r="I726" s="4"/>
      <c r="J726" s="82">
        <v>46260</v>
      </c>
      <c r="K726" s="3" t="str">
        <f t="shared" ca="1" si="165"/>
        <v xml:space="preserve">0 Tahun 0 bulan </v>
      </c>
      <c r="L726" s="36" t="s">
        <v>79</v>
      </c>
      <c r="M726" s="53">
        <v>46260</v>
      </c>
      <c r="N726" s="3" t="str">
        <f t="shared" ca="1" si="158"/>
        <v xml:space="preserve">0 Tahun 0 bulan </v>
      </c>
      <c r="O726" s="4"/>
      <c r="P726" s="4" t="s">
        <v>35</v>
      </c>
      <c r="Q726" s="4" t="str">
        <f t="shared" si="166"/>
        <v>Laki-Laki</v>
      </c>
      <c r="R726" s="4">
        <f>R724</f>
        <v>1</v>
      </c>
      <c r="S726" s="4" t="str">
        <f t="shared" ref="S726:S734" si="171">IF(E726="LOWONG","0","1")</f>
        <v>1</v>
      </c>
      <c r="T726" s="4">
        <f t="shared" si="164"/>
        <v>0</v>
      </c>
      <c r="U726" s="29"/>
      <c r="V726" s="30" t="s">
        <v>50</v>
      </c>
      <c r="W726" s="30"/>
      <c r="X726" s="30"/>
      <c r="Y726" s="30"/>
      <c r="Z726" s="30"/>
      <c r="AA726" s="30"/>
      <c r="AB726" s="29"/>
      <c r="AC726" s="29"/>
      <c r="AD726" s="37">
        <f t="shared" si="168"/>
        <v>30107</v>
      </c>
      <c r="AE726" s="3" t="str">
        <f t="shared" ca="1" si="167"/>
        <v>44 Tahun 2 bulan 27 Hari</v>
      </c>
      <c r="AF726" s="38">
        <f t="shared" si="169"/>
        <v>52048</v>
      </c>
      <c r="AG726" s="7"/>
    </row>
    <row r="727" spans="1:33" ht="32.15" customHeight="1" x14ac:dyDescent="0.35">
      <c r="A727" s="26">
        <f t="shared" si="163"/>
        <v>679</v>
      </c>
      <c r="B727" s="27" t="s">
        <v>2051</v>
      </c>
      <c r="C727" s="282" t="s">
        <v>2054</v>
      </c>
      <c r="D727" s="283"/>
      <c r="E727" s="24" t="s">
        <v>2055</v>
      </c>
      <c r="F727" s="24" t="s">
        <v>43</v>
      </c>
      <c r="G727" s="3" t="s">
        <v>2056</v>
      </c>
      <c r="H727" s="4" t="s">
        <v>1488</v>
      </c>
      <c r="I727" s="4" t="s">
        <v>107</v>
      </c>
      <c r="J727" s="82" t="s">
        <v>338</v>
      </c>
      <c r="K727" s="3" t="str">
        <f t="shared" ca="1" si="165"/>
        <v xml:space="preserve">2 Tahun 11 bulan </v>
      </c>
      <c r="L727" s="36" t="s">
        <v>346</v>
      </c>
      <c r="M727" s="82" t="s">
        <v>338</v>
      </c>
      <c r="N727" s="3" t="str">
        <f t="shared" ca="1" si="158"/>
        <v xml:space="preserve">2 Tahun 11 bulan </v>
      </c>
      <c r="O727" s="35"/>
      <c r="P727" s="4" t="s">
        <v>35</v>
      </c>
      <c r="Q727" s="4" t="str">
        <f t="shared" si="166"/>
        <v>Laki-Laki</v>
      </c>
      <c r="R727" s="4">
        <f t="shared" si="159"/>
        <v>1</v>
      </c>
      <c r="S727" s="4" t="str">
        <f t="shared" si="171"/>
        <v>1</v>
      </c>
      <c r="T727" s="4">
        <f t="shared" si="164"/>
        <v>0</v>
      </c>
      <c r="U727" s="29"/>
      <c r="V727" s="30" t="s">
        <v>50</v>
      </c>
      <c r="W727" s="30"/>
      <c r="X727" s="30"/>
      <c r="Y727" s="30"/>
      <c r="Z727" s="30"/>
      <c r="AA727" s="30"/>
      <c r="AB727" s="29"/>
      <c r="AC727" s="29"/>
      <c r="AD727" s="37">
        <f t="shared" si="168"/>
        <v>26301</v>
      </c>
      <c r="AE727" s="3" t="str">
        <f t="shared" ca="1" si="167"/>
        <v>54 Tahun 7 bulan 29 Hari</v>
      </c>
      <c r="AF727" s="38">
        <f t="shared" si="169"/>
        <v>48245</v>
      </c>
      <c r="AG727" s="7"/>
    </row>
    <row r="728" spans="1:33" ht="27" customHeight="1" x14ac:dyDescent="0.35">
      <c r="A728" s="26">
        <f t="shared" si="163"/>
        <v>680</v>
      </c>
      <c r="B728" s="27" t="s">
        <v>2051</v>
      </c>
      <c r="C728" s="26"/>
      <c r="D728" s="111" t="s">
        <v>2057</v>
      </c>
      <c r="E728" s="45" t="s">
        <v>108</v>
      </c>
      <c r="F728" s="24"/>
      <c r="G728" s="44"/>
      <c r="H728" s="36"/>
      <c r="I728" s="36"/>
      <c r="J728" s="47"/>
      <c r="K728" s="3" t="str">
        <f t="shared" ca="1" si="165"/>
        <v/>
      </c>
      <c r="L728" s="36" t="s">
        <v>1749</v>
      </c>
      <c r="M728" s="47"/>
      <c r="N728" s="3" t="str">
        <f t="shared" ca="1" si="158"/>
        <v/>
      </c>
      <c r="O728" s="36"/>
      <c r="P728" s="4" t="s">
        <v>35</v>
      </c>
      <c r="Q728" s="4" t="str">
        <f t="shared" si="166"/>
        <v/>
      </c>
      <c r="R728" s="4">
        <f t="shared" si="159"/>
        <v>1</v>
      </c>
      <c r="S728" s="4" t="str">
        <f t="shared" si="171"/>
        <v>0</v>
      </c>
      <c r="T728" s="4">
        <f t="shared" si="164"/>
        <v>1</v>
      </c>
      <c r="U728" s="29"/>
      <c r="V728" s="30" t="s">
        <v>50</v>
      </c>
      <c r="W728" s="30"/>
      <c r="X728" s="30"/>
      <c r="Y728" s="30"/>
      <c r="Z728" s="30"/>
      <c r="AA728" s="30"/>
      <c r="AB728" s="29"/>
      <c r="AC728" s="29"/>
      <c r="AD728" s="37" t="str">
        <f t="shared" si="168"/>
        <v/>
      </c>
      <c r="AE728" s="3" t="str">
        <f t="shared" ca="1" si="167"/>
        <v/>
      </c>
      <c r="AF728" s="38" t="str">
        <f t="shared" si="169"/>
        <v/>
      </c>
    </row>
    <row r="729" spans="1:33" ht="27" customHeight="1" x14ac:dyDescent="0.35">
      <c r="A729" s="26">
        <f t="shared" si="163"/>
        <v>681</v>
      </c>
      <c r="B729" s="27" t="s">
        <v>2051</v>
      </c>
      <c r="C729" s="26"/>
      <c r="D729" s="111" t="s">
        <v>2059</v>
      </c>
      <c r="E729" s="24" t="s">
        <v>2060</v>
      </c>
      <c r="F729" s="24" t="s">
        <v>43</v>
      </c>
      <c r="G729" s="3" t="s">
        <v>2061</v>
      </c>
      <c r="H729" s="36" t="s">
        <v>414</v>
      </c>
      <c r="I729" s="36" t="s">
        <v>107</v>
      </c>
      <c r="J729" s="47" t="s">
        <v>386</v>
      </c>
      <c r="K729" s="3" t="str">
        <f t="shared" ca="1" si="165"/>
        <v xml:space="preserve">5 Tahun 5 bulan </v>
      </c>
      <c r="L729" s="36" t="s">
        <v>1749</v>
      </c>
      <c r="M729" s="47" t="s">
        <v>386</v>
      </c>
      <c r="N729" s="3" t="str">
        <f t="shared" ca="1" si="158"/>
        <v xml:space="preserve">5 Tahun 5 bulan </v>
      </c>
      <c r="O729" s="4"/>
      <c r="P729" s="4" t="s">
        <v>35</v>
      </c>
      <c r="Q729" s="4" t="str">
        <f t="shared" si="166"/>
        <v>Perempuan</v>
      </c>
      <c r="R729" s="4">
        <f t="shared" si="159"/>
        <v>1</v>
      </c>
      <c r="S729" s="4" t="str">
        <f t="shared" si="171"/>
        <v>1</v>
      </c>
      <c r="T729" s="4">
        <f t="shared" si="164"/>
        <v>0</v>
      </c>
      <c r="U729" s="29"/>
      <c r="V729" s="30"/>
      <c r="W729" s="30"/>
      <c r="X729" s="30"/>
      <c r="Y729" s="30"/>
      <c r="Z729" s="30"/>
      <c r="AA729" s="30"/>
      <c r="AB729" s="29"/>
      <c r="AC729" s="29"/>
      <c r="AD729" s="37">
        <f t="shared" si="168"/>
        <v>29248</v>
      </c>
      <c r="AE729" s="3" t="str">
        <f t="shared" ca="1" si="167"/>
        <v>46 Tahun 7 bulan 4 Hari</v>
      </c>
      <c r="AF729" s="38">
        <f t="shared" si="169"/>
        <v>51167</v>
      </c>
      <c r="AG729" s="7"/>
    </row>
    <row r="730" spans="1:33" ht="27" customHeight="1" x14ac:dyDescent="0.35">
      <c r="A730" s="26">
        <f t="shared" si="163"/>
        <v>682</v>
      </c>
      <c r="B730" s="27" t="s">
        <v>2051</v>
      </c>
      <c r="C730" s="26"/>
      <c r="D730" s="60" t="s">
        <v>2062</v>
      </c>
      <c r="E730" s="45" t="s">
        <v>2063</v>
      </c>
      <c r="F730" s="24" t="s">
        <v>43</v>
      </c>
      <c r="G730" s="44" t="s">
        <v>2064</v>
      </c>
      <c r="H730" s="4" t="s">
        <v>135</v>
      </c>
      <c r="I730" s="36" t="s">
        <v>86</v>
      </c>
      <c r="J730" s="82" t="s">
        <v>354</v>
      </c>
      <c r="K730" s="3" t="str">
        <f t="shared" ca="1" si="165"/>
        <v xml:space="preserve">6 Tahun 9 bulan </v>
      </c>
      <c r="L730" s="36" t="s">
        <v>200</v>
      </c>
      <c r="M730" s="82" t="s">
        <v>354</v>
      </c>
      <c r="N730" s="3" t="str">
        <f t="shared" ca="1" si="158"/>
        <v xml:space="preserve">6 Tahun 9 bulan </v>
      </c>
      <c r="O730" s="36"/>
      <c r="P730" s="4" t="s">
        <v>35</v>
      </c>
      <c r="Q730" s="4" t="str">
        <f t="shared" si="166"/>
        <v>Laki-Laki</v>
      </c>
      <c r="R730" s="4">
        <f t="shared" si="159"/>
        <v>1</v>
      </c>
      <c r="S730" s="4" t="str">
        <f t="shared" si="171"/>
        <v>1</v>
      </c>
      <c r="T730" s="4">
        <f t="shared" si="164"/>
        <v>0</v>
      </c>
      <c r="U730" s="29"/>
      <c r="V730" s="30" t="s">
        <v>50</v>
      </c>
      <c r="W730" s="30"/>
      <c r="X730" s="30"/>
      <c r="Y730" s="30"/>
      <c r="Z730" s="30"/>
      <c r="AA730" s="30"/>
      <c r="AB730" s="29"/>
      <c r="AC730" s="29"/>
      <c r="AD730" s="37">
        <f t="shared" si="168"/>
        <v>28265</v>
      </c>
      <c r="AE730" s="3" t="str">
        <f t="shared" ca="1" si="167"/>
        <v>49 Tahun 3 bulan 12 Hari</v>
      </c>
      <c r="AF730" s="38">
        <f t="shared" si="169"/>
        <v>50192</v>
      </c>
      <c r="AG730" s="7"/>
    </row>
    <row r="731" spans="1:33" ht="27" customHeight="1" x14ac:dyDescent="0.35">
      <c r="A731" s="26">
        <f t="shared" si="163"/>
        <v>683</v>
      </c>
      <c r="B731" s="27" t="s">
        <v>2051</v>
      </c>
      <c r="C731" s="26"/>
      <c r="D731" s="60" t="s">
        <v>2065</v>
      </c>
      <c r="E731" s="45" t="s">
        <v>3075</v>
      </c>
      <c r="F731" s="24" t="s">
        <v>43</v>
      </c>
      <c r="G731" s="36" t="s">
        <v>3076</v>
      </c>
      <c r="H731" s="4" t="s">
        <v>329</v>
      </c>
      <c r="I731" s="25" t="s">
        <v>778</v>
      </c>
      <c r="J731" s="81">
        <v>46260</v>
      </c>
      <c r="K731" s="3" t="str">
        <f t="shared" ca="1" si="165"/>
        <v xml:space="preserve">0 Tahun 0 bulan </v>
      </c>
      <c r="L731" s="36" t="s">
        <v>200</v>
      </c>
      <c r="M731" s="81"/>
      <c r="N731" s="3" t="str">
        <f t="shared" ca="1" si="158"/>
        <v/>
      </c>
      <c r="O731" s="36"/>
      <c r="P731" s="4" t="s">
        <v>35</v>
      </c>
      <c r="Q731" s="4" t="str">
        <f t="shared" si="166"/>
        <v>Laki-Laki</v>
      </c>
      <c r="R731" s="4">
        <f t="shared" si="159"/>
        <v>1</v>
      </c>
      <c r="S731" s="4" t="str">
        <f t="shared" si="171"/>
        <v>1</v>
      </c>
      <c r="T731" s="4">
        <f t="shared" si="164"/>
        <v>0</v>
      </c>
      <c r="U731" s="29"/>
      <c r="V731" s="30" t="s">
        <v>50</v>
      </c>
      <c r="W731" s="30"/>
      <c r="X731" s="30"/>
      <c r="Y731" s="30"/>
      <c r="Z731" s="30"/>
      <c r="AA731" s="30"/>
      <c r="AB731" s="29"/>
      <c r="AC731" s="29"/>
      <c r="AD731" s="37">
        <f t="shared" si="168"/>
        <v>27276</v>
      </c>
      <c r="AE731" s="3" t="str">
        <f t="shared" ca="1" si="167"/>
        <v>51 Tahun 11 bulan 28 Hari</v>
      </c>
      <c r="AF731" s="38">
        <f t="shared" si="169"/>
        <v>49218</v>
      </c>
      <c r="AG731" s="7"/>
    </row>
    <row r="732" spans="1:33" ht="27" customHeight="1" x14ac:dyDescent="0.35">
      <c r="A732" s="26">
        <f t="shared" si="163"/>
        <v>684</v>
      </c>
      <c r="B732" s="27" t="s">
        <v>2051</v>
      </c>
      <c r="C732" s="26"/>
      <c r="D732" s="60" t="s">
        <v>2066</v>
      </c>
      <c r="E732" s="45" t="s">
        <v>2067</v>
      </c>
      <c r="F732" s="24" t="s">
        <v>43</v>
      </c>
      <c r="G732" s="44" t="s">
        <v>2068</v>
      </c>
      <c r="H732" s="4" t="s">
        <v>554</v>
      </c>
      <c r="I732" s="25" t="s">
        <v>1736</v>
      </c>
      <c r="J732" s="81" t="s">
        <v>199</v>
      </c>
      <c r="K732" s="3" t="str">
        <f t="shared" ca="1" si="165"/>
        <v xml:space="preserve">3 Tahun 11 bulan </v>
      </c>
      <c r="L732" s="36" t="s">
        <v>200</v>
      </c>
      <c r="M732" s="81" t="s">
        <v>199</v>
      </c>
      <c r="N732" s="3" t="str">
        <f t="shared" ca="1" si="158"/>
        <v xml:space="preserve">3 Tahun 11 bulan </v>
      </c>
      <c r="O732" s="36"/>
      <c r="P732" s="4" t="s">
        <v>35</v>
      </c>
      <c r="Q732" s="4" t="str">
        <f t="shared" si="166"/>
        <v/>
      </c>
      <c r="R732" s="4">
        <f t="shared" si="159"/>
        <v>1</v>
      </c>
      <c r="S732" s="4" t="str">
        <f t="shared" si="171"/>
        <v>1</v>
      </c>
      <c r="T732" s="4">
        <f t="shared" si="164"/>
        <v>0</v>
      </c>
      <c r="U732" s="29"/>
      <c r="V732" s="30"/>
      <c r="W732" s="30"/>
      <c r="X732" s="30"/>
      <c r="Y732" s="30"/>
      <c r="Z732" s="30"/>
      <c r="AA732" s="30"/>
      <c r="AB732" s="29"/>
      <c r="AC732" s="29"/>
      <c r="AD732" s="37">
        <f t="shared" si="168"/>
        <v>27938</v>
      </c>
      <c r="AE732" s="3" t="str">
        <f t="shared" ca="1" si="167"/>
        <v>50 Tahun 2 bulan 5 Hari</v>
      </c>
      <c r="AF732" s="38">
        <f t="shared" si="169"/>
        <v>49857</v>
      </c>
      <c r="AG732" s="7"/>
    </row>
    <row r="733" spans="1:33" ht="27" customHeight="1" x14ac:dyDescent="0.35">
      <c r="A733" s="26">
        <f t="shared" si="163"/>
        <v>685</v>
      </c>
      <c r="B733" s="27" t="s">
        <v>2051</v>
      </c>
      <c r="C733" s="26"/>
      <c r="D733" s="60" t="s">
        <v>2069</v>
      </c>
      <c r="E733" s="51" t="s">
        <v>2070</v>
      </c>
      <c r="F733" s="24" t="s">
        <v>43</v>
      </c>
      <c r="G733" s="59" t="s">
        <v>2071</v>
      </c>
      <c r="H733" s="4" t="s">
        <v>135</v>
      </c>
      <c r="I733" s="33" t="s">
        <v>46</v>
      </c>
      <c r="J733" s="47" t="s">
        <v>386</v>
      </c>
      <c r="K733" s="3" t="str">
        <f t="shared" ca="1" si="165"/>
        <v xml:space="preserve">5 Tahun 5 bulan </v>
      </c>
      <c r="L733" s="36" t="s">
        <v>200</v>
      </c>
      <c r="M733" s="47" t="s">
        <v>386</v>
      </c>
      <c r="N733" s="3" t="str">
        <f t="shared" ca="1" si="158"/>
        <v xml:space="preserve">5 Tahun 5 bulan </v>
      </c>
      <c r="O733" s="4"/>
      <c r="P733" s="4" t="s">
        <v>35</v>
      </c>
      <c r="Q733" s="4" t="str">
        <f t="shared" si="166"/>
        <v>Perempuan</v>
      </c>
      <c r="R733" s="4">
        <f t="shared" si="159"/>
        <v>1</v>
      </c>
      <c r="S733" s="4" t="str">
        <f t="shared" si="171"/>
        <v>1</v>
      </c>
      <c r="T733" s="4">
        <f t="shared" si="164"/>
        <v>0</v>
      </c>
      <c r="U733" s="29"/>
      <c r="V733" s="30"/>
      <c r="W733" s="30"/>
      <c r="X733" s="30"/>
      <c r="Y733" s="30"/>
      <c r="Z733" s="30"/>
      <c r="AA733" s="30"/>
      <c r="AB733" s="29"/>
      <c r="AC733" s="29"/>
      <c r="AD733" s="37">
        <f t="shared" si="168"/>
        <v>30063</v>
      </c>
      <c r="AE733" s="3" t="str">
        <f t="shared" ca="1" si="167"/>
        <v>44 Tahun 4 bulan 10 Hari</v>
      </c>
      <c r="AF733" s="38">
        <f t="shared" si="169"/>
        <v>51987</v>
      </c>
      <c r="AG733" s="7"/>
    </row>
    <row r="734" spans="1:33" ht="27" customHeight="1" x14ac:dyDescent="0.35">
      <c r="A734" s="26">
        <f t="shared" si="163"/>
        <v>686</v>
      </c>
      <c r="B734" s="27" t="s">
        <v>2051</v>
      </c>
      <c r="C734" s="26"/>
      <c r="D734" s="60" t="s">
        <v>2072</v>
      </c>
      <c r="E734" s="45" t="s">
        <v>2911</v>
      </c>
      <c r="F734" s="24" t="s">
        <v>43</v>
      </c>
      <c r="G734" s="44" t="s">
        <v>2912</v>
      </c>
      <c r="H734" s="4" t="s">
        <v>2913</v>
      </c>
      <c r="I734" s="36" t="s">
        <v>2910</v>
      </c>
      <c r="J734" s="81">
        <v>46132</v>
      </c>
      <c r="K734" s="3" t="str">
        <f t="shared" ca="1" si="165"/>
        <v xml:space="preserve">0 Tahun 4 bulan </v>
      </c>
      <c r="L734" s="36" t="s">
        <v>200</v>
      </c>
      <c r="M734" s="81">
        <v>46132</v>
      </c>
      <c r="N734" s="3" t="str">
        <f t="shared" ca="1" si="158"/>
        <v xml:space="preserve">0 Tahun 4 bulan </v>
      </c>
      <c r="O734" s="36"/>
      <c r="P734" s="4" t="s">
        <v>35</v>
      </c>
      <c r="Q734" s="4" t="str">
        <f t="shared" si="166"/>
        <v>Perempuan</v>
      </c>
      <c r="R734" s="4">
        <f t="shared" si="159"/>
        <v>1</v>
      </c>
      <c r="S734" s="4" t="str">
        <f t="shared" si="171"/>
        <v>1</v>
      </c>
      <c r="T734" s="4">
        <f t="shared" si="164"/>
        <v>0</v>
      </c>
      <c r="U734" s="29"/>
      <c r="V734" s="30"/>
      <c r="W734" s="30"/>
      <c r="X734" s="30"/>
      <c r="Y734" s="30"/>
      <c r="Z734" s="30"/>
      <c r="AA734" s="30"/>
      <c r="AB734" s="29"/>
      <c r="AC734" s="29"/>
      <c r="AD734" s="37">
        <f t="shared" si="168"/>
        <v>30559</v>
      </c>
      <c r="AE734" s="3" t="str">
        <f t="shared" ca="1" si="167"/>
        <v>43 Tahun 0 bulan 1 Hari</v>
      </c>
      <c r="AF734" s="38">
        <f t="shared" si="169"/>
        <v>52475</v>
      </c>
      <c r="AG734" s="7"/>
    </row>
    <row r="735" spans="1:33" ht="35.4" customHeight="1" x14ac:dyDescent="0.35">
      <c r="A735" s="26"/>
      <c r="B735" s="27" t="s">
        <v>2073</v>
      </c>
      <c r="C735" s="280" t="s">
        <v>2074</v>
      </c>
      <c r="D735" s="281"/>
      <c r="E735" s="24"/>
      <c r="F735" s="24"/>
      <c r="G735" s="4"/>
      <c r="H735" s="4"/>
      <c r="I735" s="33"/>
      <c r="J735" s="5"/>
      <c r="K735" s="3" t="str">
        <f t="shared" ca="1" si="165"/>
        <v/>
      </c>
      <c r="L735" s="30"/>
      <c r="M735" s="5"/>
      <c r="N735" s="3" t="str">
        <f t="shared" ca="1" si="158"/>
        <v/>
      </c>
      <c r="O735" s="4"/>
      <c r="P735" s="4"/>
      <c r="Q735" s="4"/>
      <c r="R735" s="4"/>
      <c r="S735" s="4"/>
      <c r="T735" s="4"/>
      <c r="U735" s="29"/>
      <c r="V735" s="30"/>
      <c r="W735" s="30"/>
      <c r="X735" s="30"/>
      <c r="Y735" s="30"/>
      <c r="Z735" s="29"/>
      <c r="AA735" s="29"/>
      <c r="AB735" s="29"/>
      <c r="AC735" s="29"/>
      <c r="AD735" s="37" t="str">
        <f t="shared" si="168"/>
        <v/>
      </c>
      <c r="AE735" s="3" t="str">
        <f t="shared" ca="1" si="167"/>
        <v/>
      </c>
      <c r="AF735" s="38" t="str">
        <f t="shared" si="169"/>
        <v/>
      </c>
      <c r="AG735" s="7"/>
    </row>
    <row r="736" spans="1:33" ht="32.15" customHeight="1" x14ac:dyDescent="0.35">
      <c r="A736" s="26">
        <f>A734+1</f>
        <v>687</v>
      </c>
      <c r="B736" s="27" t="s">
        <v>2073</v>
      </c>
      <c r="C736" s="282" t="s">
        <v>2075</v>
      </c>
      <c r="D736" s="283"/>
      <c r="E736" s="45" t="s">
        <v>2881</v>
      </c>
      <c r="F736" s="24" t="s">
        <v>43</v>
      </c>
      <c r="G736" s="44" t="s">
        <v>406</v>
      </c>
      <c r="H736" s="44" t="s">
        <v>181</v>
      </c>
      <c r="I736" s="44" t="s">
        <v>415</v>
      </c>
      <c r="J736" s="81">
        <v>46087</v>
      </c>
      <c r="K736" s="3" t="str">
        <f t="shared" ca="1" si="165"/>
        <v xml:space="preserve">0 Tahun 5 bulan </v>
      </c>
      <c r="L736" s="36" t="s">
        <v>79</v>
      </c>
      <c r="M736" s="81">
        <v>46087</v>
      </c>
      <c r="N736" s="3" t="str">
        <f t="shared" ca="1" si="158"/>
        <v xml:space="preserve">0 Tahun 5 bulan </v>
      </c>
      <c r="O736" s="4"/>
      <c r="P736" s="4" t="str">
        <f t="shared" ref="P736" si="172">P717</f>
        <v>Islam</v>
      </c>
      <c r="Q736" s="4" t="str">
        <f t="shared" si="166"/>
        <v>Laki-Laki</v>
      </c>
      <c r="R736" s="4">
        <f>R734</f>
        <v>1</v>
      </c>
      <c r="S736" s="4" t="str">
        <f t="shared" ref="S736:S744" si="173">IF(E736="LOWONG","0","1")</f>
        <v>1</v>
      </c>
      <c r="T736" s="4">
        <f t="shared" si="164"/>
        <v>0</v>
      </c>
      <c r="U736" s="117"/>
      <c r="V736" s="30" t="s">
        <v>50</v>
      </c>
      <c r="W736" s="30"/>
      <c r="X736" s="30"/>
      <c r="Y736" s="30"/>
      <c r="Z736" s="30"/>
      <c r="AA736" s="30"/>
      <c r="AB736" s="29"/>
      <c r="AC736" s="29"/>
      <c r="AD736" s="37">
        <f t="shared" si="168"/>
        <v>28801</v>
      </c>
      <c r="AE736" s="3" t="str">
        <f t="shared" ca="1" si="167"/>
        <v>47 Tahun 9 bulan 25 Hari</v>
      </c>
      <c r="AF736" s="38">
        <f t="shared" si="169"/>
        <v>50740</v>
      </c>
      <c r="AG736" s="7"/>
    </row>
    <row r="737" spans="1:32" s="7" customFormat="1" ht="32.15" customHeight="1" x14ac:dyDescent="0.35">
      <c r="A737" s="26">
        <f t="shared" si="163"/>
        <v>688</v>
      </c>
      <c r="B737" s="27" t="s">
        <v>2073</v>
      </c>
      <c r="C737" s="282" t="s">
        <v>2076</v>
      </c>
      <c r="D737" s="283"/>
      <c r="E737" s="57" t="s">
        <v>2077</v>
      </c>
      <c r="F737" s="24" t="s">
        <v>43</v>
      </c>
      <c r="G737" s="4" t="s">
        <v>2078</v>
      </c>
      <c r="H737" s="44" t="s">
        <v>159</v>
      </c>
      <c r="I737" s="4" t="s">
        <v>67</v>
      </c>
      <c r="J737" s="81" t="s">
        <v>237</v>
      </c>
      <c r="K737" s="3" t="str">
        <f t="shared" ca="1" si="165"/>
        <v xml:space="preserve">4 Tahun 7 bulan </v>
      </c>
      <c r="L737" s="30" t="s">
        <v>346</v>
      </c>
      <c r="M737" s="81" t="s">
        <v>237</v>
      </c>
      <c r="N737" s="3" t="str">
        <f t="shared" ca="1" si="158"/>
        <v xml:space="preserve">4 Tahun 7 bulan </v>
      </c>
      <c r="O737" s="4"/>
      <c r="P737" s="4" t="s">
        <v>35</v>
      </c>
      <c r="Q737" s="4" t="str">
        <f t="shared" si="166"/>
        <v>Laki-Laki</v>
      </c>
      <c r="R737" s="4">
        <f t="shared" si="159"/>
        <v>1</v>
      </c>
      <c r="S737" s="4" t="str">
        <f t="shared" si="173"/>
        <v>1</v>
      </c>
      <c r="T737" s="4">
        <f t="shared" si="164"/>
        <v>0</v>
      </c>
      <c r="U737" s="117"/>
      <c r="V737" s="30" t="s">
        <v>50</v>
      </c>
      <c r="W737" s="30"/>
      <c r="X737" s="30"/>
      <c r="Y737" s="30"/>
      <c r="Z737" s="30"/>
      <c r="AA737" s="30"/>
      <c r="AB737" s="29"/>
      <c r="AC737" s="29"/>
      <c r="AD737" s="37">
        <f t="shared" si="168"/>
        <v>28726</v>
      </c>
      <c r="AE737" s="3" t="str">
        <f t="shared" ca="1" si="167"/>
        <v>48 Tahun 0 bulan 8 Hari</v>
      </c>
      <c r="AF737" s="38">
        <f t="shared" si="169"/>
        <v>50649</v>
      </c>
    </row>
    <row r="738" spans="1:32" s="7" customFormat="1" ht="32.15" customHeight="1" x14ac:dyDescent="0.35">
      <c r="A738" s="26">
        <f t="shared" si="163"/>
        <v>689</v>
      </c>
      <c r="B738" s="27" t="s">
        <v>2073</v>
      </c>
      <c r="C738" s="26"/>
      <c r="D738" s="111" t="s">
        <v>2079</v>
      </c>
      <c r="E738" s="24" t="s">
        <v>2080</v>
      </c>
      <c r="F738" s="24" t="s">
        <v>43</v>
      </c>
      <c r="G738" s="4" t="s">
        <v>2081</v>
      </c>
      <c r="H738" s="4" t="s">
        <v>891</v>
      </c>
      <c r="I738" s="4" t="s">
        <v>86</v>
      </c>
      <c r="J738" s="47" t="s">
        <v>711</v>
      </c>
      <c r="K738" s="3" t="str">
        <f t="shared" ca="1" si="165"/>
        <v xml:space="preserve">4 Tahun 11 bulan </v>
      </c>
      <c r="L738" s="36" t="s">
        <v>1749</v>
      </c>
      <c r="M738" s="47" t="s">
        <v>711</v>
      </c>
      <c r="N738" s="3" t="str">
        <f t="shared" ca="1" si="158"/>
        <v xml:space="preserve">4 Tahun 11 bulan </v>
      </c>
      <c r="O738" s="36"/>
      <c r="P738" s="4" t="s">
        <v>35</v>
      </c>
      <c r="Q738" s="4" t="str">
        <f t="shared" si="166"/>
        <v>Perempuan</v>
      </c>
      <c r="R738" s="4">
        <f t="shared" si="159"/>
        <v>1</v>
      </c>
      <c r="S738" s="4" t="str">
        <f t="shared" si="173"/>
        <v>1</v>
      </c>
      <c r="T738" s="4">
        <f t="shared" si="164"/>
        <v>0</v>
      </c>
      <c r="U738" s="29"/>
      <c r="V738" s="30"/>
      <c r="W738" s="30"/>
      <c r="X738" s="30"/>
      <c r="Y738" s="30"/>
      <c r="Z738" s="30"/>
      <c r="AA738" s="30"/>
      <c r="AB738" s="29"/>
      <c r="AC738" s="29"/>
      <c r="AD738" s="37">
        <f t="shared" si="168"/>
        <v>30632</v>
      </c>
      <c r="AE738" s="3" t="str">
        <f t="shared" ca="1" si="167"/>
        <v>42 Tahun 9 bulan 20 Hari</v>
      </c>
      <c r="AF738" s="38">
        <f t="shared" si="169"/>
        <v>52566</v>
      </c>
    </row>
    <row r="739" spans="1:32" s="7" customFormat="1" ht="32.15" customHeight="1" x14ac:dyDescent="0.35">
      <c r="A739" s="26">
        <f t="shared" si="163"/>
        <v>690</v>
      </c>
      <c r="B739" s="27" t="s">
        <v>2073</v>
      </c>
      <c r="C739" s="26"/>
      <c r="D739" s="111" t="s">
        <v>2082</v>
      </c>
      <c r="E739" s="45" t="s">
        <v>2083</v>
      </c>
      <c r="F739" s="45" t="s">
        <v>71</v>
      </c>
      <c r="G739" s="44" t="str">
        <f>G824</f>
        <v>19830918 201001 2 033</v>
      </c>
      <c r="H739" s="44" t="s">
        <v>1723</v>
      </c>
      <c r="I739" s="44" t="str">
        <f t="shared" ref="I739" si="174">I824</f>
        <v>S.1 Ekonomi</v>
      </c>
      <c r="J739" s="81">
        <v>45805</v>
      </c>
      <c r="K739" s="3" t="str">
        <f t="shared" ca="1" si="165"/>
        <v xml:space="preserve">1 Tahun 3 bulan </v>
      </c>
      <c r="L739" s="36" t="str">
        <f>L824</f>
        <v>4B</v>
      </c>
      <c r="M739" s="36" t="str">
        <f>M824</f>
        <v>19-09-2022</v>
      </c>
      <c r="N739" s="3" t="str">
        <f t="shared" ca="1" si="158"/>
        <v xml:space="preserve">3 Tahun 11 bulan </v>
      </c>
      <c r="O739" s="36"/>
      <c r="P739" s="4" t="str">
        <f>P824</f>
        <v>Islam</v>
      </c>
      <c r="Q739" s="4" t="str">
        <f t="shared" si="166"/>
        <v>Perempuan</v>
      </c>
      <c r="R739" s="4">
        <f t="shared" si="159"/>
        <v>1</v>
      </c>
      <c r="S739" s="4" t="str">
        <f t="shared" si="173"/>
        <v>1</v>
      </c>
      <c r="T739" s="4">
        <f t="shared" si="164"/>
        <v>0</v>
      </c>
      <c r="U739" s="29"/>
      <c r="V739" s="30" t="s">
        <v>50</v>
      </c>
      <c r="W739" s="30"/>
      <c r="X739" s="30"/>
      <c r="Y739" s="30"/>
      <c r="Z739" s="30"/>
      <c r="AA739" s="30"/>
      <c r="AB739" s="29"/>
      <c r="AC739" s="29"/>
      <c r="AD739" s="37">
        <f t="shared" si="168"/>
        <v>30577</v>
      </c>
      <c r="AE739" s="3" t="str">
        <f t="shared" ca="1" si="167"/>
        <v>42 Tahun 11 bulan 14 Hari</v>
      </c>
      <c r="AF739" s="38">
        <f t="shared" si="169"/>
        <v>52505</v>
      </c>
    </row>
    <row r="740" spans="1:32" s="7" customFormat="1" ht="32.15" customHeight="1" x14ac:dyDescent="0.35">
      <c r="A740" s="26">
        <f t="shared" si="163"/>
        <v>691</v>
      </c>
      <c r="B740" s="27" t="s">
        <v>2073</v>
      </c>
      <c r="C740" s="26"/>
      <c r="D740" s="60" t="s">
        <v>2084</v>
      </c>
      <c r="E740" s="45" t="s">
        <v>2085</v>
      </c>
      <c r="F740" s="24" t="s">
        <v>43</v>
      </c>
      <c r="G740" s="44" t="s">
        <v>2086</v>
      </c>
      <c r="H740" s="4" t="s">
        <v>94</v>
      </c>
      <c r="I740" s="4" t="s">
        <v>184</v>
      </c>
      <c r="J740" s="82" t="s">
        <v>711</v>
      </c>
      <c r="K740" s="3" t="str">
        <f t="shared" ca="1" si="165"/>
        <v xml:space="preserve">4 Tahun 11 bulan </v>
      </c>
      <c r="L740" s="36" t="s">
        <v>200</v>
      </c>
      <c r="M740" s="82" t="s">
        <v>711</v>
      </c>
      <c r="N740" s="3" t="str">
        <f t="shared" ca="1" si="158"/>
        <v xml:space="preserve">4 Tahun 11 bulan </v>
      </c>
      <c r="O740" s="36"/>
      <c r="P740" s="4" t="s">
        <v>35</v>
      </c>
      <c r="Q740" s="4" t="str">
        <f t="shared" si="166"/>
        <v>Laki-Laki</v>
      </c>
      <c r="R740" s="4">
        <f t="shared" si="159"/>
        <v>1</v>
      </c>
      <c r="S740" s="4" t="str">
        <f t="shared" si="173"/>
        <v>1</v>
      </c>
      <c r="T740" s="4">
        <f t="shared" si="164"/>
        <v>0</v>
      </c>
      <c r="U740" s="29"/>
      <c r="V740" s="30" t="s">
        <v>50</v>
      </c>
      <c r="W740" s="30"/>
      <c r="X740" s="30"/>
      <c r="Y740" s="30"/>
      <c r="Z740" s="30"/>
      <c r="AA740" s="30"/>
      <c r="AB740" s="29"/>
      <c r="AC740" s="29"/>
      <c r="AD740" s="37">
        <f t="shared" si="168"/>
        <v>28687</v>
      </c>
      <c r="AE740" s="3" t="str">
        <f t="shared" ca="1" si="167"/>
        <v>48 Tahun 1 bulan 16 Hari</v>
      </c>
      <c r="AF740" s="38">
        <f t="shared" si="169"/>
        <v>50618</v>
      </c>
    </row>
    <row r="741" spans="1:32" s="7" customFormat="1" ht="32.15" customHeight="1" x14ac:dyDescent="0.35">
      <c r="A741" s="26">
        <f t="shared" si="163"/>
        <v>692</v>
      </c>
      <c r="B741" s="27" t="s">
        <v>2073</v>
      </c>
      <c r="C741" s="26"/>
      <c r="D741" s="60" t="s">
        <v>2087</v>
      </c>
      <c r="E741" s="45" t="s">
        <v>2088</v>
      </c>
      <c r="F741" s="24" t="s">
        <v>43</v>
      </c>
      <c r="G741" s="44" t="s">
        <v>2089</v>
      </c>
      <c r="H741" s="4" t="s">
        <v>1158</v>
      </c>
      <c r="I741" s="36" t="s">
        <v>86</v>
      </c>
      <c r="J741" s="82" t="s">
        <v>1032</v>
      </c>
      <c r="K741" s="3" t="str">
        <f t="shared" ca="1" si="165"/>
        <v xml:space="preserve">4 Tahun 5 bulan </v>
      </c>
      <c r="L741" s="36" t="s">
        <v>200</v>
      </c>
      <c r="M741" s="82" t="s">
        <v>1032</v>
      </c>
      <c r="N741" s="3" t="str">
        <f t="shared" ca="1" si="158"/>
        <v xml:space="preserve">4 Tahun 5 bulan </v>
      </c>
      <c r="O741" s="36"/>
      <c r="P741" s="4" t="s">
        <v>35</v>
      </c>
      <c r="Q741" s="4" t="str">
        <f t="shared" si="166"/>
        <v>Laki-Laki</v>
      </c>
      <c r="R741" s="4">
        <f t="shared" si="159"/>
        <v>1</v>
      </c>
      <c r="S741" s="4" t="str">
        <f t="shared" si="173"/>
        <v>1</v>
      </c>
      <c r="T741" s="4">
        <f t="shared" si="164"/>
        <v>0</v>
      </c>
      <c r="U741" s="29"/>
      <c r="V741" s="30" t="s">
        <v>50</v>
      </c>
      <c r="W741" s="30"/>
      <c r="X741" s="30"/>
      <c r="Y741" s="30"/>
      <c r="Z741" s="30"/>
      <c r="AA741" s="30"/>
      <c r="AB741" s="29"/>
      <c r="AC741" s="29"/>
      <c r="AD741" s="37">
        <f t="shared" si="168"/>
        <v>27570</v>
      </c>
      <c r="AE741" s="3" t="str">
        <f t="shared" ca="1" si="167"/>
        <v>51 Tahun 2 bulan 7 Hari</v>
      </c>
      <c r="AF741" s="38">
        <f t="shared" si="169"/>
        <v>49491</v>
      </c>
    </row>
    <row r="742" spans="1:32" s="7" customFormat="1" ht="32.15" customHeight="1" x14ac:dyDescent="0.35">
      <c r="A742" s="26">
        <f t="shared" si="163"/>
        <v>693</v>
      </c>
      <c r="B742" s="27" t="s">
        <v>2073</v>
      </c>
      <c r="C742" s="26"/>
      <c r="D742" s="60" t="s">
        <v>2090</v>
      </c>
      <c r="E742" s="45" t="s">
        <v>2091</v>
      </c>
      <c r="F742" s="24" t="s">
        <v>43</v>
      </c>
      <c r="G742" s="44"/>
      <c r="H742" s="4"/>
      <c r="I742" s="36"/>
      <c r="J742" s="116">
        <v>45993</v>
      </c>
      <c r="K742" s="3" t="str">
        <f t="shared" ca="1" si="165"/>
        <v xml:space="preserve">0 Tahun 8 bulan </v>
      </c>
      <c r="L742" s="36" t="s">
        <v>200</v>
      </c>
      <c r="M742" s="116"/>
      <c r="N742" s="3" t="str">
        <f t="shared" ca="1" si="158"/>
        <v/>
      </c>
      <c r="O742" s="36"/>
      <c r="P742" s="4"/>
      <c r="Q742" s="4" t="str">
        <f t="shared" si="166"/>
        <v/>
      </c>
      <c r="R742" s="4">
        <f t="shared" si="159"/>
        <v>1</v>
      </c>
      <c r="S742" s="4" t="str">
        <f t="shared" si="173"/>
        <v>1</v>
      </c>
      <c r="T742" s="4">
        <f t="shared" si="164"/>
        <v>0</v>
      </c>
      <c r="U742" s="29"/>
      <c r="V742" s="30" t="s">
        <v>50</v>
      </c>
      <c r="W742" s="30"/>
      <c r="X742" s="30"/>
      <c r="Y742" s="30"/>
      <c r="Z742" s="30"/>
      <c r="AA742" s="30"/>
      <c r="AB742" s="29"/>
      <c r="AC742" s="29"/>
      <c r="AD742" s="37" t="str">
        <f t="shared" si="168"/>
        <v/>
      </c>
      <c r="AE742" s="3" t="str">
        <f t="shared" ca="1" si="167"/>
        <v/>
      </c>
      <c r="AF742" s="38" t="str">
        <f t="shared" si="169"/>
        <v/>
      </c>
    </row>
    <row r="743" spans="1:32" s="7" customFormat="1" ht="32.15" customHeight="1" x14ac:dyDescent="0.35">
      <c r="A743" s="26">
        <f t="shared" si="163"/>
        <v>694</v>
      </c>
      <c r="B743" s="27" t="s">
        <v>2073</v>
      </c>
      <c r="C743" s="26"/>
      <c r="D743" s="60" t="s">
        <v>2092</v>
      </c>
      <c r="E743" s="45" t="s">
        <v>2093</v>
      </c>
      <c r="F743" s="24" t="s">
        <v>43</v>
      </c>
      <c r="G743" s="44" t="s">
        <v>2094</v>
      </c>
      <c r="H743" s="4" t="s">
        <v>1031</v>
      </c>
      <c r="I743" s="48" t="s">
        <v>86</v>
      </c>
      <c r="J743" s="47" t="s">
        <v>565</v>
      </c>
      <c r="K743" s="3" t="str">
        <f t="shared" ca="1" si="165"/>
        <v xml:space="preserve">5 Tahun 9 bulan </v>
      </c>
      <c r="L743" s="36" t="s">
        <v>200</v>
      </c>
      <c r="M743" s="47" t="s">
        <v>565</v>
      </c>
      <c r="N743" s="3" t="str">
        <f t="shared" ca="1" si="158"/>
        <v xml:space="preserve">5 Tahun 9 bulan </v>
      </c>
      <c r="O743" s="35"/>
      <c r="P743" s="4" t="s">
        <v>35</v>
      </c>
      <c r="Q743" s="4" t="str">
        <f t="shared" si="166"/>
        <v>Laki-Laki</v>
      </c>
      <c r="R743" s="4">
        <f t="shared" si="159"/>
        <v>1</v>
      </c>
      <c r="S743" s="4" t="str">
        <f t="shared" si="173"/>
        <v>1</v>
      </c>
      <c r="T743" s="4">
        <f t="shared" si="164"/>
        <v>0</v>
      </c>
      <c r="U743" s="29"/>
      <c r="V743" s="30" t="s">
        <v>50</v>
      </c>
      <c r="W743" s="30"/>
      <c r="X743" s="30"/>
      <c r="Y743" s="30"/>
      <c r="Z743" s="30"/>
      <c r="AA743" s="30"/>
      <c r="AB743" s="29"/>
      <c r="AC743" s="29"/>
      <c r="AD743" s="37">
        <f t="shared" si="168"/>
        <v>31232</v>
      </c>
      <c r="AE743" s="3" t="str">
        <f t="shared" ca="1" si="167"/>
        <v>41 Tahun 1 bulan 28 Hari</v>
      </c>
      <c r="AF743" s="38">
        <f t="shared" si="169"/>
        <v>53175</v>
      </c>
    </row>
    <row r="744" spans="1:32" s="7" customFormat="1" ht="32.15" customHeight="1" x14ac:dyDescent="0.35">
      <c r="A744" s="26">
        <f t="shared" si="163"/>
        <v>695</v>
      </c>
      <c r="B744" s="27" t="s">
        <v>2073</v>
      </c>
      <c r="C744" s="26"/>
      <c r="D744" s="60" t="s">
        <v>2095</v>
      </c>
      <c r="E744" s="45" t="s">
        <v>2096</v>
      </c>
      <c r="F744" s="24" t="s">
        <v>43</v>
      </c>
      <c r="G744" s="44" t="s">
        <v>2097</v>
      </c>
      <c r="H744" s="4" t="s">
        <v>1031</v>
      </c>
      <c r="I744" s="36" t="s">
        <v>242</v>
      </c>
      <c r="J744" s="82" t="s">
        <v>338</v>
      </c>
      <c r="K744" s="3" t="str">
        <f t="shared" ca="1" si="165"/>
        <v xml:space="preserve">2 Tahun 11 bulan </v>
      </c>
      <c r="L744" s="36" t="s">
        <v>200</v>
      </c>
      <c r="M744" s="82" t="s">
        <v>338</v>
      </c>
      <c r="N744" s="3" t="str">
        <f t="shared" ca="1" si="158"/>
        <v xml:space="preserve">2 Tahun 11 bulan </v>
      </c>
      <c r="O744" s="36"/>
      <c r="P744" s="4"/>
      <c r="Q744" s="4" t="str">
        <f t="shared" si="166"/>
        <v>Laki-Laki</v>
      </c>
      <c r="R744" s="4">
        <f t="shared" si="159"/>
        <v>1</v>
      </c>
      <c r="S744" s="4" t="str">
        <f t="shared" si="173"/>
        <v>1</v>
      </c>
      <c r="T744" s="4">
        <f t="shared" si="164"/>
        <v>0</v>
      </c>
      <c r="U744" s="29"/>
      <c r="V744" s="30"/>
      <c r="W744" s="30"/>
      <c r="X744" s="30"/>
      <c r="Y744" s="30"/>
      <c r="Z744" s="30"/>
      <c r="AA744" s="30"/>
      <c r="AB744" s="29"/>
      <c r="AC744" s="29"/>
      <c r="AD744" s="37">
        <f t="shared" si="168"/>
        <v>27962</v>
      </c>
      <c r="AE744" s="3" t="str">
        <f t="shared" ca="1" si="167"/>
        <v>50 Tahun 1 bulan 11 Hari</v>
      </c>
      <c r="AF744" s="38">
        <f t="shared" si="169"/>
        <v>49888</v>
      </c>
    </row>
    <row r="745" spans="1:32" s="7" customFormat="1" ht="25.5" customHeight="1" x14ac:dyDescent="0.35">
      <c r="A745" s="26"/>
      <c r="B745" s="27" t="s">
        <v>2098</v>
      </c>
      <c r="C745" s="280" t="s">
        <v>2099</v>
      </c>
      <c r="D745" s="281"/>
      <c r="E745" s="24"/>
      <c r="F745" s="24"/>
      <c r="G745" s="4"/>
      <c r="H745" s="4"/>
      <c r="I745" s="33"/>
      <c r="J745" s="5"/>
      <c r="K745" s="3" t="str">
        <f t="shared" ca="1" si="165"/>
        <v/>
      </c>
      <c r="L745" s="30"/>
      <c r="M745" s="5"/>
      <c r="N745" s="3" t="str">
        <f t="shared" ca="1" si="158"/>
        <v/>
      </c>
      <c r="O745" s="4"/>
      <c r="P745" s="4"/>
      <c r="Q745" s="4"/>
      <c r="R745" s="4"/>
      <c r="S745" s="4"/>
      <c r="T745" s="4"/>
      <c r="U745" s="29"/>
      <c r="V745" s="30"/>
      <c r="W745" s="30"/>
      <c r="X745" s="30"/>
      <c r="Y745" s="30"/>
      <c r="Z745" s="29"/>
      <c r="AA745" s="29"/>
      <c r="AB745" s="29"/>
      <c r="AC745" s="29"/>
      <c r="AD745" s="37" t="str">
        <f t="shared" si="168"/>
        <v/>
      </c>
      <c r="AE745" s="3" t="str">
        <f t="shared" ca="1" si="167"/>
        <v/>
      </c>
      <c r="AF745" s="38" t="str">
        <f t="shared" si="169"/>
        <v/>
      </c>
    </row>
    <row r="746" spans="1:32" s="7" customFormat="1" ht="32.15" customHeight="1" x14ac:dyDescent="0.35">
      <c r="A746" s="26">
        <f>A744+1</f>
        <v>696</v>
      </c>
      <c r="B746" s="27" t="s">
        <v>2098</v>
      </c>
      <c r="C746" s="282" t="s">
        <v>2100</v>
      </c>
      <c r="D746" s="283"/>
      <c r="E746" s="24" t="s">
        <v>1141</v>
      </c>
      <c r="F746" s="24" t="s">
        <v>43</v>
      </c>
      <c r="G746" s="3" t="s">
        <v>1787</v>
      </c>
      <c r="H746" s="3" t="s">
        <v>85</v>
      </c>
      <c r="I746" s="33" t="s">
        <v>2835</v>
      </c>
      <c r="J746" s="5">
        <v>46260</v>
      </c>
      <c r="K746" s="3" t="str">
        <f t="shared" ca="1" si="165"/>
        <v xml:space="preserve">0 Tahun 0 bulan </v>
      </c>
      <c r="L746" s="36" t="s">
        <v>79</v>
      </c>
      <c r="M746" s="5"/>
      <c r="N746" s="3" t="str">
        <f t="shared" ca="1" si="158"/>
        <v/>
      </c>
      <c r="O746" s="4"/>
      <c r="P746" s="4" t="s">
        <v>35</v>
      </c>
      <c r="Q746" s="4" t="str">
        <f t="shared" si="166"/>
        <v>Laki-Laki</v>
      </c>
      <c r="R746" s="4">
        <f>R744</f>
        <v>1</v>
      </c>
      <c r="S746" s="4" t="str">
        <f t="shared" ref="S746:S754" si="175">IF(E746="LOWONG","0","1")</f>
        <v>1</v>
      </c>
      <c r="T746" s="4">
        <f t="shared" si="164"/>
        <v>0</v>
      </c>
      <c r="U746" s="29"/>
      <c r="V746" s="30" t="s">
        <v>50</v>
      </c>
      <c r="W746" s="30"/>
      <c r="X746" s="30"/>
      <c r="Y746" s="30"/>
      <c r="Z746" s="30"/>
      <c r="AA746" s="30"/>
      <c r="AB746" s="29"/>
      <c r="AC746" s="29"/>
      <c r="AD746" s="37">
        <f t="shared" si="168"/>
        <v>34091</v>
      </c>
      <c r="AE746" s="3" t="str">
        <f t="shared" ca="1" si="167"/>
        <v>33 Tahun 3 bulan 30 Hari</v>
      </c>
      <c r="AF746" s="38">
        <f t="shared" si="169"/>
        <v>56036</v>
      </c>
    </row>
    <row r="747" spans="1:32" s="7" customFormat="1" ht="32.15" customHeight="1" x14ac:dyDescent="0.35">
      <c r="A747" s="26">
        <f t="shared" si="163"/>
        <v>697</v>
      </c>
      <c r="B747" s="27" t="s">
        <v>2098</v>
      </c>
      <c r="C747" s="282" t="s">
        <v>2101</v>
      </c>
      <c r="D747" s="283"/>
      <c r="E747" s="24" t="s">
        <v>3057</v>
      </c>
      <c r="F747" s="24" t="s">
        <v>43</v>
      </c>
      <c r="G747" s="4" t="s">
        <v>3058</v>
      </c>
      <c r="H747" s="4" t="s">
        <v>313</v>
      </c>
      <c r="I747" s="33" t="s">
        <v>759</v>
      </c>
      <c r="J747" s="53">
        <v>46260</v>
      </c>
      <c r="K747" s="3" t="str">
        <f t="shared" ca="1" si="165"/>
        <v xml:space="preserve">0 Tahun 0 bulan </v>
      </c>
      <c r="L747" s="36" t="s">
        <v>346</v>
      </c>
      <c r="M747" s="47"/>
      <c r="N747" s="3" t="str">
        <f t="shared" ca="1" si="158"/>
        <v/>
      </c>
      <c r="O747" s="36"/>
      <c r="P747" s="4" t="s">
        <v>35</v>
      </c>
      <c r="Q747" s="4" t="str">
        <f t="shared" si="166"/>
        <v>Laki-Laki</v>
      </c>
      <c r="R747" s="4">
        <f t="shared" si="159"/>
        <v>1</v>
      </c>
      <c r="S747" s="4" t="str">
        <f t="shared" si="175"/>
        <v>1</v>
      </c>
      <c r="T747" s="4">
        <f t="shared" si="164"/>
        <v>0</v>
      </c>
      <c r="U747" s="29"/>
      <c r="V747" s="30" t="s">
        <v>50</v>
      </c>
      <c r="W747" s="30"/>
      <c r="X747" s="30"/>
      <c r="Y747" s="30"/>
      <c r="Z747" s="30"/>
      <c r="AA747" s="30"/>
      <c r="AB747" s="29"/>
      <c r="AC747" s="29"/>
      <c r="AD747" s="37">
        <f t="shared" si="168"/>
        <v>27365</v>
      </c>
      <c r="AE747" s="3" t="str">
        <f t="shared" ca="1" si="167"/>
        <v>51 Tahun 8 bulan 30 Hari</v>
      </c>
      <c r="AF747" s="38">
        <f t="shared" si="169"/>
        <v>49310</v>
      </c>
    </row>
    <row r="748" spans="1:32" s="7" customFormat="1" ht="32.15" customHeight="1" x14ac:dyDescent="0.35">
      <c r="A748" s="26">
        <f t="shared" si="163"/>
        <v>698</v>
      </c>
      <c r="B748" s="27" t="s">
        <v>2098</v>
      </c>
      <c r="C748" s="26"/>
      <c r="D748" s="111" t="s">
        <v>2103</v>
      </c>
      <c r="E748" s="45" t="s">
        <v>2104</v>
      </c>
      <c r="F748" s="24" t="s">
        <v>43</v>
      </c>
      <c r="G748" s="44" t="s">
        <v>2105</v>
      </c>
      <c r="H748" s="4" t="s">
        <v>703</v>
      </c>
      <c r="I748" s="4" t="s">
        <v>1734</v>
      </c>
      <c r="J748" s="65" t="s">
        <v>199</v>
      </c>
      <c r="K748" s="3" t="str">
        <f t="shared" ca="1" si="165"/>
        <v xml:space="preserve">3 Tahun 11 bulan </v>
      </c>
      <c r="L748" s="36" t="s">
        <v>1749</v>
      </c>
      <c r="M748" s="65" t="s">
        <v>199</v>
      </c>
      <c r="N748" s="3" t="str">
        <f t="shared" ca="1" si="158"/>
        <v xml:space="preserve">3 Tahun 11 bulan </v>
      </c>
      <c r="O748" s="36"/>
      <c r="P748" s="4" t="s">
        <v>35</v>
      </c>
      <c r="Q748" s="4" t="str">
        <f t="shared" si="166"/>
        <v>Perempuan</v>
      </c>
      <c r="R748" s="4">
        <f t="shared" si="159"/>
        <v>1</v>
      </c>
      <c r="S748" s="4" t="str">
        <f t="shared" si="175"/>
        <v>1</v>
      </c>
      <c r="T748" s="4">
        <f t="shared" si="164"/>
        <v>0</v>
      </c>
      <c r="U748" s="29"/>
      <c r="V748" s="30"/>
      <c r="W748" s="30"/>
      <c r="X748" s="30"/>
      <c r="Y748" s="30"/>
      <c r="Z748" s="30"/>
      <c r="AA748" s="30"/>
      <c r="AB748" s="29"/>
      <c r="AC748" s="29"/>
      <c r="AD748" s="37">
        <f t="shared" si="168"/>
        <v>31055</v>
      </c>
      <c r="AE748" s="3" t="str">
        <f t="shared" ca="1" si="167"/>
        <v>41 Tahun 7 bulan 24 Hari</v>
      </c>
      <c r="AF748" s="38">
        <f t="shared" si="169"/>
        <v>52994</v>
      </c>
    </row>
    <row r="749" spans="1:32" s="7" customFormat="1" ht="32.15" customHeight="1" x14ac:dyDescent="0.35">
      <c r="A749" s="26">
        <f t="shared" si="163"/>
        <v>699</v>
      </c>
      <c r="B749" s="27" t="s">
        <v>2098</v>
      </c>
      <c r="C749" s="26"/>
      <c r="D749" s="111" t="s">
        <v>2106</v>
      </c>
      <c r="E749" s="45" t="s">
        <v>2107</v>
      </c>
      <c r="F749" s="24" t="s">
        <v>43</v>
      </c>
      <c r="G749" s="44" t="s">
        <v>2108</v>
      </c>
      <c r="H749" s="36" t="s">
        <v>554</v>
      </c>
      <c r="I749" s="36" t="s">
        <v>267</v>
      </c>
      <c r="J749" s="82" t="s">
        <v>338</v>
      </c>
      <c r="K749" s="3" t="str">
        <f t="shared" ca="1" si="165"/>
        <v xml:space="preserve">2 Tahun 11 bulan </v>
      </c>
      <c r="L749" s="36" t="s">
        <v>1749</v>
      </c>
      <c r="M749" s="82" t="s">
        <v>338</v>
      </c>
      <c r="N749" s="3" t="str">
        <f t="shared" ca="1" si="158"/>
        <v xml:space="preserve">2 Tahun 11 bulan </v>
      </c>
      <c r="O749" s="36"/>
      <c r="P749" s="4" t="s">
        <v>35</v>
      </c>
      <c r="Q749" s="4" t="str">
        <f t="shared" si="166"/>
        <v>Perempuan</v>
      </c>
      <c r="R749" s="4">
        <f t="shared" si="159"/>
        <v>1</v>
      </c>
      <c r="S749" s="4" t="str">
        <f t="shared" si="175"/>
        <v>1</v>
      </c>
      <c r="T749" s="4">
        <f t="shared" si="164"/>
        <v>0</v>
      </c>
      <c r="U749" s="29"/>
      <c r="V749" s="30"/>
      <c r="W749" s="30"/>
      <c r="X749" s="30"/>
      <c r="Y749" s="30"/>
      <c r="Z749" s="30"/>
      <c r="AA749" s="30"/>
      <c r="AB749" s="29"/>
      <c r="AC749" s="29"/>
      <c r="AD749" s="37">
        <f t="shared" si="168"/>
        <v>28987</v>
      </c>
      <c r="AE749" s="3" t="str">
        <f t="shared" ca="1" si="167"/>
        <v>47 Tahun 3 bulan 20 Hari</v>
      </c>
      <c r="AF749" s="38">
        <f t="shared" si="169"/>
        <v>50922</v>
      </c>
    </row>
    <row r="750" spans="1:32" s="7" customFormat="1" ht="32.15" customHeight="1" x14ac:dyDescent="0.35">
      <c r="A750" s="26">
        <f t="shared" si="163"/>
        <v>700</v>
      </c>
      <c r="B750" s="27" t="s">
        <v>2098</v>
      </c>
      <c r="C750" s="26"/>
      <c r="D750" s="60" t="s">
        <v>2109</v>
      </c>
      <c r="E750" s="45" t="s">
        <v>2110</v>
      </c>
      <c r="F750" s="24" t="s">
        <v>43</v>
      </c>
      <c r="G750" s="44" t="s">
        <v>2111</v>
      </c>
      <c r="H750" s="36" t="s">
        <v>106</v>
      </c>
      <c r="I750" s="4" t="s">
        <v>415</v>
      </c>
      <c r="J750" s="82" t="s">
        <v>338</v>
      </c>
      <c r="K750" s="3" t="str">
        <f t="shared" ca="1" si="165"/>
        <v xml:space="preserve">2 Tahun 11 bulan </v>
      </c>
      <c r="L750" s="36" t="s">
        <v>200</v>
      </c>
      <c r="M750" s="82" t="s">
        <v>338</v>
      </c>
      <c r="N750" s="3" t="str">
        <f t="shared" ca="1" si="158"/>
        <v xml:space="preserve">2 Tahun 11 bulan </v>
      </c>
      <c r="O750" s="36"/>
      <c r="P750" s="4" t="s">
        <v>35</v>
      </c>
      <c r="Q750" s="4" t="str">
        <f t="shared" si="166"/>
        <v>Laki-Laki</v>
      </c>
      <c r="R750" s="4">
        <f t="shared" si="159"/>
        <v>1</v>
      </c>
      <c r="S750" s="4" t="str">
        <f t="shared" si="175"/>
        <v>1</v>
      </c>
      <c r="T750" s="4">
        <f t="shared" si="164"/>
        <v>0</v>
      </c>
      <c r="U750" s="29"/>
      <c r="V750" s="30" t="s">
        <v>50</v>
      </c>
      <c r="W750" s="30"/>
      <c r="X750" s="30"/>
      <c r="Y750" s="30"/>
      <c r="Z750" s="30"/>
      <c r="AA750" s="30"/>
      <c r="AB750" s="29"/>
      <c r="AC750" s="29"/>
      <c r="AD750" s="37">
        <f t="shared" si="168"/>
        <v>28170</v>
      </c>
      <c r="AE750" s="3" t="str">
        <f t="shared" ca="1" si="167"/>
        <v>49 Tahun 6 bulan 18 Hari</v>
      </c>
      <c r="AF750" s="38">
        <f t="shared" si="169"/>
        <v>50100</v>
      </c>
    </row>
    <row r="751" spans="1:32" s="7" customFormat="1" ht="32.15" customHeight="1" x14ac:dyDescent="0.35">
      <c r="A751" s="26">
        <f t="shared" si="163"/>
        <v>701</v>
      </c>
      <c r="B751" s="27" t="s">
        <v>2098</v>
      </c>
      <c r="C751" s="26"/>
      <c r="D751" s="60" t="s">
        <v>2112</v>
      </c>
      <c r="E751" s="39" t="s">
        <v>2113</v>
      </c>
      <c r="F751" s="24" t="s">
        <v>43</v>
      </c>
      <c r="G751" s="25" t="s">
        <v>2114</v>
      </c>
      <c r="H751" s="4" t="s">
        <v>94</v>
      </c>
      <c r="I751" s="4" t="s">
        <v>86</v>
      </c>
      <c r="J751" s="82" t="s">
        <v>501</v>
      </c>
      <c r="K751" s="3" t="str">
        <f t="shared" ca="1" si="165"/>
        <v xml:space="preserve">5 Tahun 2 bulan </v>
      </c>
      <c r="L751" s="36" t="s">
        <v>200</v>
      </c>
      <c r="M751" s="82" t="s">
        <v>501</v>
      </c>
      <c r="N751" s="3" t="str">
        <f t="shared" ref="N751:N814" ca="1" si="176">IF(M751="","",CONCATENATE(DATEDIF(M751,NOW(),"Y")," Tahun ",DATEDIF(M751,NOW(),"YM")," bulan "))</f>
        <v xml:space="preserve">5 Tahun 2 bulan </v>
      </c>
      <c r="O751" s="36"/>
      <c r="P751" s="4" t="s">
        <v>35</v>
      </c>
      <c r="Q751" s="4" t="str">
        <f t="shared" si="166"/>
        <v>Laki-Laki</v>
      </c>
      <c r="R751" s="4">
        <f t="shared" ref="R751:R774" si="177">R750</f>
        <v>1</v>
      </c>
      <c r="S751" s="4" t="str">
        <f t="shared" si="175"/>
        <v>1</v>
      </c>
      <c r="T751" s="4">
        <f t="shared" si="164"/>
        <v>0</v>
      </c>
      <c r="U751" s="29"/>
      <c r="V751" s="30" t="s">
        <v>50</v>
      </c>
      <c r="W751" s="30"/>
      <c r="X751" s="30"/>
      <c r="Y751" s="30"/>
      <c r="Z751" s="30"/>
      <c r="AA751" s="30"/>
      <c r="AB751" s="29"/>
      <c r="AC751" s="29"/>
      <c r="AD751" s="37">
        <f t="shared" si="168"/>
        <v>25369</v>
      </c>
      <c r="AE751" s="3" t="str">
        <f t="shared" ca="1" si="167"/>
        <v>57 Tahun 2 bulan 17 Hari</v>
      </c>
      <c r="AF751" s="38">
        <f t="shared" si="169"/>
        <v>47300</v>
      </c>
    </row>
    <row r="752" spans="1:32" s="7" customFormat="1" ht="32.15" customHeight="1" x14ac:dyDescent="0.35">
      <c r="A752" s="26">
        <f t="shared" si="163"/>
        <v>702</v>
      </c>
      <c r="B752" s="27" t="s">
        <v>2098</v>
      </c>
      <c r="C752" s="26"/>
      <c r="D752" s="60" t="s">
        <v>2115</v>
      </c>
      <c r="E752" s="45" t="s">
        <v>2116</v>
      </c>
      <c r="F752" s="24" t="s">
        <v>43</v>
      </c>
      <c r="G752" s="44" t="s">
        <v>2117</v>
      </c>
      <c r="H752" s="4" t="s">
        <v>2118</v>
      </c>
      <c r="I752" s="36" t="s">
        <v>86</v>
      </c>
      <c r="J752" s="47" t="s">
        <v>292</v>
      </c>
      <c r="K752" s="3" t="str">
        <f t="shared" ca="1" si="165"/>
        <v xml:space="preserve">7 Tahun 7 bulan </v>
      </c>
      <c r="L752" s="36" t="s">
        <v>200</v>
      </c>
      <c r="M752" s="47" t="s">
        <v>292</v>
      </c>
      <c r="N752" s="3" t="str">
        <f t="shared" ca="1" si="176"/>
        <v xml:space="preserve">7 Tahun 7 bulan </v>
      </c>
      <c r="O752" s="36"/>
      <c r="P752" s="4" t="s">
        <v>35</v>
      </c>
      <c r="Q752" s="4" t="str">
        <f t="shared" si="166"/>
        <v>Laki-Laki</v>
      </c>
      <c r="R752" s="4">
        <f t="shared" si="177"/>
        <v>1</v>
      </c>
      <c r="S752" s="4" t="str">
        <f t="shared" si="175"/>
        <v>1</v>
      </c>
      <c r="T752" s="4">
        <f t="shared" si="164"/>
        <v>0</v>
      </c>
      <c r="U752" s="29"/>
      <c r="V752" s="30" t="s">
        <v>50</v>
      </c>
      <c r="W752" s="30"/>
      <c r="X752" s="30"/>
      <c r="Y752" s="30"/>
      <c r="Z752" s="30"/>
      <c r="AA752" s="30"/>
      <c r="AB752" s="29"/>
      <c r="AC752" s="29"/>
      <c r="AD752" s="37">
        <f t="shared" si="168"/>
        <v>27711</v>
      </c>
      <c r="AE752" s="3" t="str">
        <f t="shared" ca="1" si="167"/>
        <v>50 Tahun 9 bulan 19 Hari</v>
      </c>
      <c r="AF752" s="38">
        <f t="shared" si="169"/>
        <v>49644</v>
      </c>
    </row>
    <row r="753" spans="1:32" s="7" customFormat="1" ht="32.15" customHeight="1" x14ac:dyDescent="0.35">
      <c r="A753" s="26">
        <f t="shared" si="163"/>
        <v>703</v>
      </c>
      <c r="B753" s="27" t="s">
        <v>2098</v>
      </c>
      <c r="C753" s="26"/>
      <c r="D753" s="60" t="s">
        <v>2119</v>
      </c>
      <c r="E753" s="45" t="s">
        <v>2120</v>
      </c>
      <c r="F753" s="24" t="s">
        <v>43</v>
      </c>
      <c r="G753" s="44" t="s">
        <v>2121</v>
      </c>
      <c r="H753" s="4" t="s">
        <v>1956</v>
      </c>
      <c r="I753" s="4" t="s">
        <v>86</v>
      </c>
      <c r="J753" s="65" t="s">
        <v>711</v>
      </c>
      <c r="K753" s="3" t="str">
        <f t="shared" ca="1" si="165"/>
        <v xml:space="preserve">4 Tahun 11 bulan </v>
      </c>
      <c r="L753" s="36" t="s">
        <v>200</v>
      </c>
      <c r="M753" s="65" t="s">
        <v>711</v>
      </c>
      <c r="N753" s="3" t="str">
        <f t="shared" ca="1" si="176"/>
        <v xml:space="preserve">4 Tahun 11 bulan </v>
      </c>
      <c r="O753" s="36"/>
      <c r="P753" s="4" t="s">
        <v>35</v>
      </c>
      <c r="Q753" s="4" t="str">
        <f t="shared" si="166"/>
        <v>Laki-Laki</v>
      </c>
      <c r="R753" s="4">
        <f t="shared" si="177"/>
        <v>1</v>
      </c>
      <c r="S753" s="4" t="str">
        <f t="shared" si="175"/>
        <v>1</v>
      </c>
      <c r="T753" s="4">
        <f t="shared" si="164"/>
        <v>0</v>
      </c>
      <c r="U753" s="29"/>
      <c r="V753" s="30" t="s">
        <v>50</v>
      </c>
      <c r="W753" s="30"/>
      <c r="X753" s="30"/>
      <c r="Y753" s="30"/>
      <c r="Z753" s="30"/>
      <c r="AA753" s="30"/>
      <c r="AB753" s="29"/>
      <c r="AC753" s="29"/>
      <c r="AD753" s="37">
        <f t="shared" si="168"/>
        <v>27627</v>
      </c>
      <c r="AE753" s="3" t="str">
        <f t="shared" ca="1" si="167"/>
        <v>51 Tahun 0 bulan 11 Hari</v>
      </c>
      <c r="AF753" s="38">
        <f t="shared" si="169"/>
        <v>49553</v>
      </c>
    </row>
    <row r="754" spans="1:32" s="7" customFormat="1" ht="32.15" customHeight="1" x14ac:dyDescent="0.35">
      <c r="A754" s="26">
        <f t="shared" si="163"/>
        <v>704</v>
      </c>
      <c r="B754" s="27" t="s">
        <v>2098</v>
      </c>
      <c r="C754" s="26"/>
      <c r="D754" s="60" t="s">
        <v>2122</v>
      </c>
      <c r="E754" s="45" t="s">
        <v>2123</v>
      </c>
      <c r="F754" s="24" t="s">
        <v>43</v>
      </c>
      <c r="G754" s="44" t="s">
        <v>2124</v>
      </c>
      <c r="H754" s="36" t="s">
        <v>472</v>
      </c>
      <c r="I754" s="36" t="s">
        <v>86</v>
      </c>
      <c r="J754" s="82" t="s">
        <v>1748</v>
      </c>
      <c r="K754" s="3" t="str">
        <f t="shared" ca="1" si="165"/>
        <v xml:space="preserve">9 Tahun 7 bulan </v>
      </c>
      <c r="L754" s="36" t="s">
        <v>200</v>
      </c>
      <c r="M754" s="82" t="s">
        <v>1748</v>
      </c>
      <c r="N754" s="3" t="str">
        <f t="shared" ca="1" si="176"/>
        <v xml:space="preserve">9 Tahun 7 bulan </v>
      </c>
      <c r="O754" s="36"/>
      <c r="P754" s="4" t="s">
        <v>35</v>
      </c>
      <c r="Q754" s="4" t="str">
        <f t="shared" si="166"/>
        <v>Perempuan</v>
      </c>
      <c r="R754" s="4">
        <f t="shared" si="177"/>
        <v>1</v>
      </c>
      <c r="S754" s="4" t="str">
        <f t="shared" si="175"/>
        <v>1</v>
      </c>
      <c r="T754" s="4">
        <f t="shared" si="164"/>
        <v>0</v>
      </c>
      <c r="U754" s="29"/>
      <c r="V754" s="30"/>
      <c r="W754" s="30"/>
      <c r="X754" s="30"/>
      <c r="Y754" s="30"/>
      <c r="Z754" s="30"/>
      <c r="AA754" s="30"/>
      <c r="AB754" s="29"/>
      <c r="AC754" s="29"/>
      <c r="AD754" s="37">
        <f t="shared" si="168"/>
        <v>28523</v>
      </c>
      <c r="AE754" s="3" t="str">
        <f t="shared" ca="1" si="167"/>
        <v>48 Tahun 6 bulan 30 Hari</v>
      </c>
      <c r="AF754" s="38">
        <f t="shared" si="169"/>
        <v>50465</v>
      </c>
    </row>
    <row r="755" spans="1:32" s="7" customFormat="1" ht="25.5" customHeight="1" x14ac:dyDescent="0.35">
      <c r="A755" s="26"/>
      <c r="B755" s="27" t="s">
        <v>2125</v>
      </c>
      <c r="C755" s="280" t="s">
        <v>2126</v>
      </c>
      <c r="D755" s="281"/>
      <c r="E755" s="24"/>
      <c r="F755" s="24"/>
      <c r="G755" s="4"/>
      <c r="H755" s="4"/>
      <c r="I755" s="33"/>
      <c r="J755" s="5"/>
      <c r="K755" s="3" t="str">
        <f t="shared" ca="1" si="165"/>
        <v/>
      </c>
      <c r="L755" s="30"/>
      <c r="M755" s="5"/>
      <c r="N755" s="3" t="str">
        <f t="shared" ca="1" si="176"/>
        <v/>
      </c>
      <c r="O755" s="4"/>
      <c r="P755" s="4"/>
      <c r="Q755" s="4"/>
      <c r="R755" s="4"/>
      <c r="S755" s="4"/>
      <c r="T755" s="4"/>
      <c r="U755" s="29"/>
      <c r="V755" s="30"/>
      <c r="W755" s="30"/>
      <c r="X755" s="30"/>
      <c r="Y755" s="30"/>
      <c r="Z755" s="29"/>
      <c r="AA755" s="29"/>
      <c r="AB755" s="29"/>
      <c r="AC755" s="29"/>
      <c r="AD755" s="37" t="str">
        <f t="shared" si="168"/>
        <v/>
      </c>
      <c r="AE755" s="3" t="str">
        <f t="shared" ca="1" si="167"/>
        <v/>
      </c>
      <c r="AF755" s="38" t="str">
        <f t="shared" si="169"/>
        <v/>
      </c>
    </row>
    <row r="756" spans="1:32" s="7" customFormat="1" ht="32.15" customHeight="1" x14ac:dyDescent="0.35">
      <c r="A756" s="26">
        <f>A754+1</f>
        <v>705</v>
      </c>
      <c r="B756" s="27" t="s">
        <v>2125</v>
      </c>
      <c r="C756" s="282" t="s">
        <v>2127</v>
      </c>
      <c r="D756" s="283"/>
      <c r="E756" s="45" t="s">
        <v>2129</v>
      </c>
      <c r="F756" s="24" t="s">
        <v>43</v>
      </c>
      <c r="G756" s="44" t="s">
        <v>2130</v>
      </c>
      <c r="H756" s="4" t="s">
        <v>2131</v>
      </c>
      <c r="I756" s="36" t="s">
        <v>1814</v>
      </c>
      <c r="J756" s="53">
        <v>46198</v>
      </c>
      <c r="K756" s="3" t="str">
        <f t="shared" ca="1" si="165"/>
        <v xml:space="preserve">0 Tahun 2 bulan </v>
      </c>
      <c r="L756" s="36" t="s">
        <v>79</v>
      </c>
      <c r="M756" s="47" t="s">
        <v>3004</v>
      </c>
      <c r="N756" s="3" t="str">
        <f t="shared" ca="1" si="176"/>
        <v xml:space="preserve">3 Tahun 11 bulan </v>
      </c>
      <c r="O756" s="36"/>
      <c r="P756" s="4" t="s">
        <v>35</v>
      </c>
      <c r="Q756" s="4" t="str">
        <f t="shared" si="166"/>
        <v>Laki-Laki</v>
      </c>
      <c r="R756" s="4">
        <f>R754</f>
        <v>1</v>
      </c>
      <c r="S756" s="4" t="str">
        <f t="shared" ref="S756:S764" si="178">IF(E756="LOWONG","0","1")</f>
        <v>1</v>
      </c>
      <c r="T756" s="4">
        <f t="shared" si="164"/>
        <v>0</v>
      </c>
      <c r="U756" s="29"/>
      <c r="V756" s="30" t="s">
        <v>50</v>
      </c>
      <c r="W756" s="30"/>
      <c r="X756" s="30"/>
      <c r="Y756" s="30"/>
      <c r="Z756" s="30"/>
      <c r="AA756" s="30"/>
      <c r="AB756" s="29"/>
      <c r="AC756" s="29"/>
      <c r="AD756" s="37">
        <f t="shared" si="168"/>
        <v>25298</v>
      </c>
      <c r="AE756" s="3" t="str">
        <f t="shared" ca="1" si="167"/>
        <v>57 Tahun 4 bulan 27 Hari</v>
      </c>
      <c r="AF756" s="38">
        <f t="shared" si="169"/>
        <v>47239</v>
      </c>
    </row>
    <row r="757" spans="1:32" s="7" customFormat="1" ht="32.15" customHeight="1" x14ac:dyDescent="0.35">
      <c r="A757" s="26">
        <f t="shared" si="163"/>
        <v>706</v>
      </c>
      <c r="B757" s="27" t="s">
        <v>2125</v>
      </c>
      <c r="C757" s="282" t="s">
        <v>2128</v>
      </c>
      <c r="D757" s="283"/>
      <c r="E757" s="24" t="s">
        <v>108</v>
      </c>
      <c r="F757" s="24"/>
      <c r="G757" s="3"/>
      <c r="H757" s="4"/>
      <c r="I757" s="33"/>
      <c r="J757" s="47"/>
      <c r="K757" s="3" t="str">
        <f t="shared" ca="1" si="165"/>
        <v/>
      </c>
      <c r="L757" s="36" t="s">
        <v>346</v>
      </c>
      <c r="M757" s="47"/>
      <c r="N757" s="3" t="str">
        <f t="shared" ca="1" si="176"/>
        <v/>
      </c>
      <c r="O757" s="36"/>
      <c r="P757" s="4"/>
      <c r="Q757" s="4" t="str">
        <f t="shared" si="166"/>
        <v/>
      </c>
      <c r="R757" s="4">
        <f t="shared" si="177"/>
        <v>1</v>
      </c>
      <c r="S757" s="4" t="str">
        <f t="shared" si="178"/>
        <v>0</v>
      </c>
      <c r="T757" s="4">
        <f t="shared" si="164"/>
        <v>1</v>
      </c>
      <c r="U757" s="29"/>
      <c r="V757" s="30" t="s">
        <v>50</v>
      </c>
      <c r="W757" s="30"/>
      <c r="X757" s="30"/>
      <c r="Y757" s="30"/>
      <c r="Z757" s="30"/>
      <c r="AA757" s="30"/>
      <c r="AB757" s="29"/>
      <c r="AC757" s="29"/>
      <c r="AD757" s="37" t="str">
        <f t="shared" si="168"/>
        <v/>
      </c>
      <c r="AE757" s="3" t="str">
        <f t="shared" ca="1" si="167"/>
        <v/>
      </c>
      <c r="AF757" s="38" t="str">
        <f t="shared" si="169"/>
        <v/>
      </c>
    </row>
    <row r="758" spans="1:32" s="7" customFormat="1" ht="32.15" customHeight="1" x14ac:dyDescent="0.35">
      <c r="A758" s="26">
        <f t="shared" si="163"/>
        <v>707</v>
      </c>
      <c r="B758" s="27" t="s">
        <v>2125</v>
      </c>
      <c r="C758" s="26"/>
      <c r="D758" s="111" t="s">
        <v>2132</v>
      </c>
      <c r="E758" s="45" t="s">
        <v>108</v>
      </c>
      <c r="F758" s="24"/>
      <c r="G758" s="44"/>
      <c r="H758" s="36"/>
      <c r="I758" s="4"/>
      <c r="J758" s="82"/>
      <c r="K758" s="3" t="str">
        <f t="shared" ca="1" si="165"/>
        <v/>
      </c>
      <c r="L758" s="36" t="s">
        <v>1749</v>
      </c>
      <c r="M758" s="82"/>
      <c r="N758" s="3" t="str">
        <f t="shared" ca="1" si="176"/>
        <v/>
      </c>
      <c r="O758" s="36"/>
      <c r="P758" s="4" t="s">
        <v>35</v>
      </c>
      <c r="Q758" s="4" t="str">
        <f t="shared" si="166"/>
        <v/>
      </c>
      <c r="R758" s="4">
        <f t="shared" si="177"/>
        <v>1</v>
      </c>
      <c r="S758" s="4" t="str">
        <f t="shared" si="178"/>
        <v>0</v>
      </c>
      <c r="T758" s="4">
        <f t="shared" si="164"/>
        <v>1</v>
      </c>
      <c r="U758" s="29"/>
      <c r="V758" s="30" t="s">
        <v>50</v>
      </c>
      <c r="W758" s="30"/>
      <c r="X758" s="30"/>
      <c r="Y758" s="30"/>
      <c r="Z758" s="30"/>
      <c r="AA758" s="30"/>
      <c r="AB758" s="29"/>
      <c r="AC758" s="29"/>
      <c r="AD758" s="37" t="str">
        <f t="shared" si="168"/>
        <v/>
      </c>
      <c r="AE758" s="3" t="str">
        <f t="shared" ca="1" si="167"/>
        <v/>
      </c>
      <c r="AF758" s="38" t="str">
        <f t="shared" si="169"/>
        <v/>
      </c>
    </row>
    <row r="759" spans="1:32" s="7" customFormat="1" ht="32.15" customHeight="1" x14ac:dyDescent="0.35">
      <c r="A759" s="26">
        <f t="shared" si="163"/>
        <v>708</v>
      </c>
      <c r="B759" s="27" t="s">
        <v>2125</v>
      </c>
      <c r="C759" s="26"/>
      <c r="D759" s="111" t="s">
        <v>2134</v>
      </c>
      <c r="E759" s="45" t="s">
        <v>2135</v>
      </c>
      <c r="F759" s="24" t="s">
        <v>43</v>
      </c>
      <c r="G759" s="44" t="s">
        <v>2136</v>
      </c>
      <c r="H759" s="36" t="s">
        <v>2137</v>
      </c>
      <c r="I759" s="4" t="s">
        <v>350</v>
      </c>
      <c r="J759" s="82" t="s">
        <v>386</v>
      </c>
      <c r="K759" s="3" t="str">
        <f t="shared" ca="1" si="165"/>
        <v xml:space="preserve">5 Tahun 5 bulan </v>
      </c>
      <c r="L759" s="36" t="s">
        <v>1749</v>
      </c>
      <c r="M759" s="82" t="s">
        <v>386</v>
      </c>
      <c r="N759" s="3" t="str">
        <f t="shared" ca="1" si="176"/>
        <v xml:space="preserve">5 Tahun 5 bulan </v>
      </c>
      <c r="O759" s="36"/>
      <c r="P759" s="4" t="s">
        <v>35</v>
      </c>
      <c r="Q759" s="4" t="str">
        <f t="shared" si="166"/>
        <v/>
      </c>
      <c r="R759" s="4">
        <f t="shared" si="177"/>
        <v>1</v>
      </c>
      <c r="S759" s="4" t="str">
        <f t="shared" si="178"/>
        <v>1</v>
      </c>
      <c r="T759" s="4">
        <f t="shared" si="164"/>
        <v>0</v>
      </c>
      <c r="U759" s="29"/>
      <c r="V759" s="30" t="s">
        <v>50</v>
      </c>
      <c r="W759" s="30"/>
      <c r="X759" s="30"/>
      <c r="Y759" s="30"/>
      <c r="Z759" s="30"/>
      <c r="AA759" s="30"/>
      <c r="AB759" s="29"/>
      <c r="AC759" s="29"/>
      <c r="AD759" s="37">
        <f t="shared" si="168"/>
        <v>25702</v>
      </c>
      <c r="AE759" s="3" t="str">
        <f t="shared" ca="1" si="167"/>
        <v>56 Tahun 3 bulan 18 Hari</v>
      </c>
      <c r="AF759" s="38">
        <f t="shared" si="169"/>
        <v>47635</v>
      </c>
    </row>
    <row r="760" spans="1:32" s="7" customFormat="1" ht="32.15" customHeight="1" x14ac:dyDescent="0.35">
      <c r="A760" s="26">
        <f t="shared" si="163"/>
        <v>709</v>
      </c>
      <c r="B760" s="27" t="s">
        <v>2125</v>
      </c>
      <c r="C760" s="26"/>
      <c r="D760" s="245" t="s">
        <v>2138</v>
      </c>
      <c r="E760" s="45" t="s">
        <v>108</v>
      </c>
      <c r="F760" s="45"/>
      <c r="G760" s="44"/>
      <c r="H760" s="4"/>
      <c r="I760" s="48"/>
      <c r="J760" s="84"/>
      <c r="K760" s="3" t="str">
        <f t="shared" ca="1" si="165"/>
        <v/>
      </c>
      <c r="L760" s="36" t="s">
        <v>200</v>
      </c>
      <c r="M760" s="84"/>
      <c r="N760" s="3" t="str">
        <f t="shared" ca="1" si="176"/>
        <v/>
      </c>
      <c r="O760" s="36"/>
      <c r="P760" s="4"/>
      <c r="Q760" s="4" t="str">
        <f t="shared" si="166"/>
        <v/>
      </c>
      <c r="R760" s="4">
        <f t="shared" si="177"/>
        <v>1</v>
      </c>
      <c r="S760" s="4" t="str">
        <f t="shared" si="178"/>
        <v>0</v>
      </c>
      <c r="T760" s="4">
        <f t="shared" si="164"/>
        <v>1</v>
      </c>
      <c r="U760" s="29"/>
      <c r="V760" s="30" t="s">
        <v>50</v>
      </c>
      <c r="W760" s="30"/>
      <c r="X760" s="30"/>
      <c r="Y760" s="30"/>
      <c r="Z760" s="30"/>
      <c r="AA760" s="30"/>
      <c r="AB760" s="29"/>
      <c r="AC760" s="29"/>
      <c r="AD760" s="37" t="str">
        <f t="shared" si="168"/>
        <v/>
      </c>
      <c r="AE760" s="3" t="str">
        <f t="shared" ca="1" si="167"/>
        <v/>
      </c>
      <c r="AF760" s="38" t="str">
        <f t="shared" si="169"/>
        <v/>
      </c>
    </row>
    <row r="761" spans="1:32" s="7" customFormat="1" ht="32.15" customHeight="1" x14ac:dyDescent="0.35">
      <c r="A761" s="26">
        <f t="shared" si="163"/>
        <v>710</v>
      </c>
      <c r="B761" s="27" t="s">
        <v>2125</v>
      </c>
      <c r="C761" s="26"/>
      <c r="D761" s="60" t="s">
        <v>2139</v>
      </c>
      <c r="E761" s="45" t="s">
        <v>2140</v>
      </c>
      <c r="F761" s="24" t="s">
        <v>43</v>
      </c>
      <c r="G761" s="44" t="s">
        <v>2141</v>
      </c>
      <c r="H761" s="4" t="s">
        <v>85</v>
      </c>
      <c r="I761" s="4" t="s">
        <v>350</v>
      </c>
      <c r="J761" s="82" t="s">
        <v>386</v>
      </c>
      <c r="K761" s="3" t="str">
        <f t="shared" ca="1" si="165"/>
        <v xml:space="preserve">5 Tahun 5 bulan </v>
      </c>
      <c r="L761" s="36" t="s">
        <v>200</v>
      </c>
      <c r="M761" s="82" t="s">
        <v>386</v>
      </c>
      <c r="N761" s="3" t="str">
        <f t="shared" ca="1" si="176"/>
        <v xml:space="preserve">5 Tahun 5 bulan </v>
      </c>
      <c r="O761" s="36"/>
      <c r="P761" s="4" t="s">
        <v>35</v>
      </c>
      <c r="Q761" s="4" t="str">
        <f t="shared" si="166"/>
        <v>Laki-Laki</v>
      </c>
      <c r="R761" s="4">
        <f t="shared" si="177"/>
        <v>1</v>
      </c>
      <c r="S761" s="4" t="str">
        <f t="shared" si="178"/>
        <v>1</v>
      </c>
      <c r="T761" s="4">
        <f t="shared" si="164"/>
        <v>0</v>
      </c>
      <c r="U761" s="29"/>
      <c r="V761" s="30" t="s">
        <v>50</v>
      </c>
      <c r="W761" s="30"/>
      <c r="X761" s="30"/>
      <c r="Y761" s="30"/>
      <c r="Z761" s="30"/>
      <c r="AA761" s="30"/>
      <c r="AB761" s="29"/>
      <c r="AC761" s="29"/>
      <c r="AD761" s="37">
        <f t="shared" si="168"/>
        <v>28706</v>
      </c>
      <c r="AE761" s="3" t="str">
        <f t="shared" ca="1" si="167"/>
        <v>48 Tahun 0 bulan 28 Hari</v>
      </c>
      <c r="AF761" s="38">
        <f t="shared" si="169"/>
        <v>50649</v>
      </c>
    </row>
    <row r="762" spans="1:32" s="7" customFormat="1" ht="32.15" customHeight="1" x14ac:dyDescent="0.35">
      <c r="A762" s="26">
        <f t="shared" si="163"/>
        <v>711</v>
      </c>
      <c r="B762" s="27" t="s">
        <v>2125</v>
      </c>
      <c r="C762" s="26"/>
      <c r="D762" s="60" t="s">
        <v>2142</v>
      </c>
      <c r="E762" s="45" t="s">
        <v>2143</v>
      </c>
      <c r="F762" s="24" t="s">
        <v>43</v>
      </c>
      <c r="G762" s="44" t="s">
        <v>2144</v>
      </c>
      <c r="H762" s="36" t="s">
        <v>662</v>
      </c>
      <c r="I762" s="4" t="s">
        <v>184</v>
      </c>
      <c r="J762" s="82" t="s">
        <v>338</v>
      </c>
      <c r="K762" s="3" t="str">
        <f t="shared" ca="1" si="165"/>
        <v xml:space="preserve">2 Tahun 11 bulan </v>
      </c>
      <c r="L762" s="36" t="s">
        <v>200</v>
      </c>
      <c r="M762" s="82" t="s">
        <v>338</v>
      </c>
      <c r="N762" s="3" t="str">
        <f t="shared" ca="1" si="176"/>
        <v xml:space="preserve">2 Tahun 11 bulan </v>
      </c>
      <c r="O762" s="36"/>
      <c r="P762" s="4" t="s">
        <v>35</v>
      </c>
      <c r="Q762" s="4" t="str">
        <f t="shared" si="166"/>
        <v>Laki-Laki</v>
      </c>
      <c r="R762" s="4">
        <f t="shared" si="177"/>
        <v>1</v>
      </c>
      <c r="S762" s="4" t="str">
        <f t="shared" si="178"/>
        <v>1</v>
      </c>
      <c r="T762" s="4">
        <f t="shared" si="164"/>
        <v>0</v>
      </c>
      <c r="U762" s="29"/>
      <c r="V762" s="30" t="s">
        <v>50</v>
      </c>
      <c r="W762" s="30"/>
      <c r="X762" s="30"/>
      <c r="Y762" s="30"/>
      <c r="Z762" s="30"/>
      <c r="AA762" s="30"/>
      <c r="AB762" s="29"/>
      <c r="AC762" s="29"/>
      <c r="AD762" s="37">
        <f t="shared" si="168"/>
        <v>26849</v>
      </c>
      <c r="AE762" s="3" t="str">
        <f t="shared" ca="1" si="167"/>
        <v>53 Tahun 1 bulan 28 Hari</v>
      </c>
      <c r="AF762" s="38">
        <f t="shared" si="169"/>
        <v>48792</v>
      </c>
    </row>
    <row r="763" spans="1:32" s="7" customFormat="1" ht="32.15" customHeight="1" x14ac:dyDescent="0.35">
      <c r="A763" s="26">
        <f t="shared" si="163"/>
        <v>712</v>
      </c>
      <c r="B763" s="27" t="s">
        <v>2125</v>
      </c>
      <c r="C763" s="26"/>
      <c r="D763" s="60" t="s">
        <v>2145</v>
      </c>
      <c r="E763" s="24" t="s">
        <v>3093</v>
      </c>
      <c r="F763" s="24" t="s">
        <v>43</v>
      </c>
      <c r="G763" s="3" t="s">
        <v>2133</v>
      </c>
      <c r="H763" s="4" t="s">
        <v>3094</v>
      </c>
      <c r="I763" s="33" t="s">
        <v>86</v>
      </c>
      <c r="J763" s="53">
        <v>46260</v>
      </c>
      <c r="K763" s="3" t="str">
        <f t="shared" ca="1" si="165"/>
        <v xml:space="preserve">0 Tahun 0 bulan </v>
      </c>
      <c r="L763" s="36" t="s">
        <v>200</v>
      </c>
      <c r="M763" s="47" t="s">
        <v>565</v>
      </c>
      <c r="N763" s="3" t="str">
        <f t="shared" ca="1" si="176"/>
        <v xml:space="preserve">5 Tahun 9 bulan </v>
      </c>
      <c r="O763" s="36"/>
      <c r="P763" s="4"/>
      <c r="Q763" s="4" t="str">
        <f t="shared" si="166"/>
        <v>Laki-Laki</v>
      </c>
      <c r="R763" s="4">
        <f t="shared" si="177"/>
        <v>1</v>
      </c>
      <c r="S763" s="4" t="str">
        <f t="shared" si="178"/>
        <v>1</v>
      </c>
      <c r="T763" s="4">
        <f t="shared" si="164"/>
        <v>0</v>
      </c>
      <c r="U763" s="29"/>
      <c r="V763" s="30" t="s">
        <v>50</v>
      </c>
      <c r="W763" s="30"/>
      <c r="X763" s="30"/>
      <c r="Y763" s="30"/>
      <c r="Z763" s="30"/>
      <c r="AA763" s="30"/>
      <c r="AB763" s="29"/>
      <c r="AC763" s="29"/>
      <c r="AD763" s="37">
        <f t="shared" si="168"/>
        <v>29900</v>
      </c>
      <c r="AE763" s="3" t="str">
        <f t="shared" ca="1" si="167"/>
        <v>44 Tahun 9 bulan 22 Hari</v>
      </c>
      <c r="AF763" s="38">
        <f t="shared" si="169"/>
        <v>51836</v>
      </c>
    </row>
    <row r="764" spans="1:32" s="7" customFormat="1" ht="32.15" customHeight="1" x14ac:dyDescent="0.35">
      <c r="A764" s="26">
        <f t="shared" si="163"/>
        <v>713</v>
      </c>
      <c r="B764" s="27" t="s">
        <v>2125</v>
      </c>
      <c r="C764" s="26"/>
      <c r="D764" s="60" t="s">
        <v>2148</v>
      </c>
      <c r="E764" s="24" t="s">
        <v>2149</v>
      </c>
      <c r="F764" s="24" t="s">
        <v>43</v>
      </c>
      <c r="G764" s="3" t="s">
        <v>2150</v>
      </c>
      <c r="H764" s="4" t="s">
        <v>85</v>
      </c>
      <c r="I764" s="36" t="s">
        <v>86</v>
      </c>
      <c r="J764" s="82" t="s">
        <v>386</v>
      </c>
      <c r="K764" s="3" t="str">
        <f t="shared" ca="1" si="165"/>
        <v xml:space="preserve">5 Tahun 5 bulan </v>
      </c>
      <c r="L764" s="36" t="s">
        <v>200</v>
      </c>
      <c r="M764" s="82" t="s">
        <v>386</v>
      </c>
      <c r="N764" s="3" t="str">
        <f t="shared" ca="1" si="176"/>
        <v xml:space="preserve">5 Tahun 5 bulan </v>
      </c>
      <c r="O764" s="36"/>
      <c r="P764" s="4" t="s">
        <v>35</v>
      </c>
      <c r="Q764" s="4" t="str">
        <f t="shared" si="166"/>
        <v/>
      </c>
      <c r="R764" s="4">
        <f t="shared" si="177"/>
        <v>1</v>
      </c>
      <c r="S764" s="4" t="str">
        <f t="shared" si="178"/>
        <v>1</v>
      </c>
      <c r="T764" s="4">
        <f t="shared" si="164"/>
        <v>0</v>
      </c>
      <c r="U764" s="29"/>
      <c r="V764" s="30" t="s">
        <v>50</v>
      </c>
      <c r="W764" s="30"/>
      <c r="X764" s="30"/>
      <c r="Y764" s="30"/>
      <c r="Z764" s="30"/>
      <c r="AA764" s="30"/>
      <c r="AB764" s="29"/>
      <c r="AC764" s="29"/>
      <c r="AD764" s="37">
        <f t="shared" si="168"/>
        <v>25385</v>
      </c>
      <c r="AE764" s="3" t="str">
        <f t="shared" ca="1" si="167"/>
        <v>57 Tahun 2 bulan 0 Hari</v>
      </c>
      <c r="AF764" s="38">
        <f t="shared" si="169"/>
        <v>47331</v>
      </c>
    </row>
    <row r="765" spans="1:32" s="7" customFormat="1" ht="25.5" customHeight="1" x14ac:dyDescent="0.35">
      <c r="A765" s="26"/>
      <c r="B765" s="27" t="s">
        <v>2151</v>
      </c>
      <c r="C765" s="280" t="s">
        <v>2152</v>
      </c>
      <c r="D765" s="281"/>
      <c r="E765" s="24"/>
      <c r="F765" s="24"/>
      <c r="G765" s="4"/>
      <c r="H765" s="4"/>
      <c r="I765" s="33"/>
      <c r="J765" s="5"/>
      <c r="K765" s="3" t="str">
        <f t="shared" ca="1" si="165"/>
        <v/>
      </c>
      <c r="L765" s="30"/>
      <c r="M765" s="5"/>
      <c r="N765" s="3" t="str">
        <f t="shared" ca="1" si="176"/>
        <v/>
      </c>
      <c r="O765" s="4"/>
      <c r="P765" s="4"/>
      <c r="Q765" s="4"/>
      <c r="R765" s="4"/>
      <c r="S765" s="4"/>
      <c r="T765" s="4"/>
      <c r="U765" s="29"/>
      <c r="V765" s="30"/>
      <c r="W765" s="30"/>
      <c r="X765" s="30"/>
      <c r="Y765" s="30"/>
      <c r="Z765" s="29"/>
      <c r="AA765" s="29"/>
      <c r="AB765" s="29"/>
      <c r="AC765" s="29"/>
      <c r="AD765" s="37" t="str">
        <f t="shared" si="168"/>
        <v/>
      </c>
      <c r="AE765" s="3" t="str">
        <f t="shared" ca="1" si="167"/>
        <v/>
      </c>
      <c r="AF765" s="38" t="str">
        <f t="shared" si="169"/>
        <v/>
      </c>
    </row>
    <row r="766" spans="1:32" s="7" customFormat="1" ht="32.15" customHeight="1" x14ac:dyDescent="0.35">
      <c r="A766" s="26">
        <f>A764+1</f>
        <v>714</v>
      </c>
      <c r="B766" s="27" t="s">
        <v>2151</v>
      </c>
      <c r="C766" s="282" t="s">
        <v>2153</v>
      </c>
      <c r="D766" s="283"/>
      <c r="E766" s="45" t="s">
        <v>3037</v>
      </c>
      <c r="F766" s="24" t="s">
        <v>43</v>
      </c>
      <c r="G766" s="44" t="s">
        <v>212</v>
      </c>
      <c r="H766" s="4" t="s">
        <v>3038</v>
      </c>
      <c r="I766" s="33"/>
      <c r="J766" s="53">
        <v>46260</v>
      </c>
      <c r="K766" s="3" t="str">
        <f t="shared" ca="1" si="165"/>
        <v xml:space="preserve">0 Tahun 0 bulan </v>
      </c>
      <c r="L766" s="36" t="s">
        <v>79</v>
      </c>
      <c r="M766" s="53">
        <v>46260</v>
      </c>
      <c r="N766" s="3" t="str">
        <f t="shared" ca="1" si="176"/>
        <v xml:space="preserve">0 Tahun 0 bulan </v>
      </c>
      <c r="O766" s="56"/>
      <c r="P766" s="4" t="s">
        <v>35</v>
      </c>
      <c r="Q766" s="4" t="str">
        <f t="shared" si="166"/>
        <v>Laki-Laki</v>
      </c>
      <c r="R766" s="4">
        <f>R764</f>
        <v>1</v>
      </c>
      <c r="S766" s="4" t="str">
        <f t="shared" ref="S766:S774" si="179">IF(E766="LOWONG","0","1")</f>
        <v>1</v>
      </c>
      <c r="T766" s="4">
        <f t="shared" si="164"/>
        <v>0</v>
      </c>
      <c r="U766" s="29"/>
      <c r="V766" s="30" t="s">
        <v>50</v>
      </c>
      <c r="W766" s="30"/>
      <c r="X766" s="30"/>
      <c r="Y766" s="30"/>
      <c r="Z766" s="30"/>
      <c r="AA766" s="30"/>
      <c r="AB766" s="29"/>
      <c r="AC766" s="29"/>
      <c r="AD766" s="37">
        <f t="shared" si="168"/>
        <v>33775</v>
      </c>
      <c r="AE766" s="3" t="str">
        <f t="shared" ca="1" si="167"/>
        <v>34 Tahun 2 bulan 12 Hari</v>
      </c>
      <c r="AF766" s="38">
        <f t="shared" si="169"/>
        <v>55701</v>
      </c>
    </row>
    <row r="767" spans="1:32" s="7" customFormat="1" ht="32.15" customHeight="1" x14ac:dyDescent="0.35">
      <c r="A767" s="26">
        <f t="shared" si="163"/>
        <v>715</v>
      </c>
      <c r="B767" s="27" t="s">
        <v>2151</v>
      </c>
      <c r="C767" s="284" t="s">
        <v>2154</v>
      </c>
      <c r="D767" s="285"/>
      <c r="E767" s="24" t="s">
        <v>2155</v>
      </c>
      <c r="F767" s="24" t="s">
        <v>43</v>
      </c>
      <c r="G767" s="3" t="s">
        <v>2856</v>
      </c>
      <c r="H767" s="36" t="s">
        <v>625</v>
      </c>
      <c r="I767" s="4" t="s">
        <v>2857</v>
      </c>
      <c r="J767" s="115" t="s">
        <v>898</v>
      </c>
      <c r="K767" s="3" t="str">
        <f t="shared" ca="1" si="165"/>
        <v xml:space="preserve">0 Tahun 8 bulan </v>
      </c>
      <c r="L767" s="36" t="s">
        <v>346</v>
      </c>
      <c r="M767" s="65"/>
      <c r="N767" s="3" t="str">
        <f t="shared" ca="1" si="176"/>
        <v/>
      </c>
      <c r="O767" s="4"/>
      <c r="P767" s="4" t="s">
        <v>35</v>
      </c>
      <c r="Q767" s="4" t="str">
        <f t="shared" si="166"/>
        <v>Perempuan</v>
      </c>
      <c r="R767" s="4">
        <f t="shared" si="177"/>
        <v>1</v>
      </c>
      <c r="S767" s="4" t="str">
        <f t="shared" si="179"/>
        <v>1</v>
      </c>
      <c r="T767" s="4">
        <f t="shared" si="164"/>
        <v>0</v>
      </c>
      <c r="U767" s="29"/>
      <c r="V767" s="30" t="s">
        <v>50</v>
      </c>
      <c r="W767" s="30"/>
      <c r="X767" s="30"/>
      <c r="Y767" s="30"/>
      <c r="Z767" s="30"/>
      <c r="AA767" s="30"/>
      <c r="AB767" s="29"/>
      <c r="AC767" s="29"/>
      <c r="AD767" s="37">
        <f t="shared" si="168"/>
        <v>27011</v>
      </c>
      <c r="AE767" s="3" t="str">
        <f t="shared" ca="1" si="167"/>
        <v>52 Tahun 8 bulan 19 Hari</v>
      </c>
      <c r="AF767" s="38">
        <f t="shared" si="169"/>
        <v>48945</v>
      </c>
    </row>
    <row r="768" spans="1:32" s="7" customFormat="1" ht="32.15" customHeight="1" x14ac:dyDescent="0.35">
      <c r="A768" s="26">
        <f t="shared" si="163"/>
        <v>716</v>
      </c>
      <c r="B768" s="27" t="s">
        <v>2151</v>
      </c>
      <c r="C768" s="26"/>
      <c r="D768" s="111" t="s">
        <v>2156</v>
      </c>
      <c r="E768" s="51" t="s">
        <v>2157</v>
      </c>
      <c r="F768" s="24" t="s">
        <v>43</v>
      </c>
      <c r="G768" s="59" t="s">
        <v>2158</v>
      </c>
      <c r="H768" s="36" t="s">
        <v>2159</v>
      </c>
      <c r="I768" s="36" t="s">
        <v>86</v>
      </c>
      <c r="J768" s="47" t="s">
        <v>565</v>
      </c>
      <c r="K768" s="3" t="str">
        <f t="shared" ca="1" si="165"/>
        <v xml:space="preserve">5 Tahun 9 bulan </v>
      </c>
      <c r="L768" s="36" t="s">
        <v>1749</v>
      </c>
      <c r="M768" s="47" t="s">
        <v>565</v>
      </c>
      <c r="N768" s="3" t="str">
        <f t="shared" ca="1" si="176"/>
        <v xml:space="preserve">5 Tahun 9 bulan </v>
      </c>
      <c r="O768" s="4"/>
      <c r="P768" s="4" t="s">
        <v>35</v>
      </c>
      <c r="Q768" s="4" t="str">
        <f t="shared" si="166"/>
        <v>Laki-Laki</v>
      </c>
      <c r="R768" s="4">
        <f t="shared" si="177"/>
        <v>1</v>
      </c>
      <c r="S768" s="4" t="str">
        <f t="shared" si="179"/>
        <v>1</v>
      </c>
      <c r="T768" s="4">
        <f t="shared" si="164"/>
        <v>0</v>
      </c>
      <c r="U768" s="29"/>
      <c r="V768" s="30" t="s">
        <v>50</v>
      </c>
      <c r="W768" s="30"/>
      <c r="X768" s="30"/>
      <c r="Y768" s="30"/>
      <c r="Z768" s="30"/>
      <c r="AA768" s="30"/>
      <c r="AB768" s="29"/>
      <c r="AC768" s="29"/>
      <c r="AD768" s="37">
        <f t="shared" si="168"/>
        <v>27934</v>
      </c>
      <c r="AE768" s="3" t="str">
        <f t="shared" ca="1" si="167"/>
        <v>50 Tahun 2 bulan 9 Hari</v>
      </c>
      <c r="AF768" s="38">
        <f t="shared" si="169"/>
        <v>49857</v>
      </c>
    </row>
    <row r="769" spans="1:33" ht="32.15" customHeight="1" x14ac:dyDescent="0.35">
      <c r="A769" s="26">
        <f t="shared" si="163"/>
        <v>717</v>
      </c>
      <c r="B769" s="27" t="s">
        <v>2151</v>
      </c>
      <c r="C769" s="26"/>
      <c r="D769" s="111" t="s">
        <v>2160</v>
      </c>
      <c r="E769" s="39" t="s">
        <v>108</v>
      </c>
      <c r="F769" s="39"/>
      <c r="G769" s="40"/>
      <c r="H769" s="4"/>
      <c r="I769" s="36"/>
      <c r="J769" s="91"/>
      <c r="K769" s="3" t="str">
        <f t="shared" ca="1" si="165"/>
        <v/>
      </c>
      <c r="L769" s="36" t="s">
        <v>1749</v>
      </c>
      <c r="M769" s="91"/>
      <c r="N769" s="3" t="str">
        <f t="shared" ca="1" si="176"/>
        <v/>
      </c>
      <c r="O769" s="4"/>
      <c r="P769" s="4"/>
      <c r="Q769" s="4" t="str">
        <f t="shared" si="166"/>
        <v/>
      </c>
      <c r="R769" s="4">
        <f t="shared" si="177"/>
        <v>1</v>
      </c>
      <c r="S769" s="4" t="str">
        <f t="shared" si="179"/>
        <v>0</v>
      </c>
      <c r="T769" s="4">
        <f t="shared" si="164"/>
        <v>1</v>
      </c>
      <c r="U769" s="29"/>
      <c r="V769" s="30"/>
      <c r="W769" s="30"/>
      <c r="X769" s="30"/>
      <c r="Y769" s="30"/>
      <c r="Z769" s="30"/>
      <c r="AA769" s="30"/>
      <c r="AB769" s="29"/>
      <c r="AC769" s="29"/>
      <c r="AD769" s="37" t="str">
        <f t="shared" si="168"/>
        <v/>
      </c>
      <c r="AE769" s="3" t="str">
        <f t="shared" ca="1" si="167"/>
        <v/>
      </c>
      <c r="AF769" s="38" t="str">
        <f t="shared" si="169"/>
        <v/>
      </c>
      <c r="AG769" s="7"/>
    </row>
    <row r="770" spans="1:33" ht="32.15" customHeight="1" x14ac:dyDescent="0.35">
      <c r="A770" s="26">
        <f t="shared" si="163"/>
        <v>718</v>
      </c>
      <c r="B770" s="27" t="s">
        <v>2151</v>
      </c>
      <c r="C770" s="26"/>
      <c r="D770" s="60" t="s">
        <v>2161</v>
      </c>
      <c r="E770" s="39" t="s">
        <v>2162</v>
      </c>
      <c r="F770" s="24" t="s">
        <v>43</v>
      </c>
      <c r="G770" s="44"/>
      <c r="H770" s="4"/>
      <c r="I770" s="36"/>
      <c r="J770" s="112" t="s">
        <v>898</v>
      </c>
      <c r="K770" s="3" t="str">
        <f t="shared" ca="1" si="165"/>
        <v xml:space="preserve">0 Tahun 8 bulan </v>
      </c>
      <c r="L770" s="36" t="s">
        <v>200</v>
      </c>
      <c r="M770" s="118"/>
      <c r="N770" s="3" t="str">
        <f t="shared" ca="1" si="176"/>
        <v/>
      </c>
      <c r="O770" s="36"/>
      <c r="P770" s="4"/>
      <c r="Q770" s="4" t="str">
        <f t="shared" si="166"/>
        <v/>
      </c>
      <c r="R770" s="4">
        <f t="shared" si="177"/>
        <v>1</v>
      </c>
      <c r="S770" s="4" t="str">
        <f t="shared" si="179"/>
        <v>1</v>
      </c>
      <c r="T770" s="4">
        <f t="shared" si="164"/>
        <v>0</v>
      </c>
      <c r="U770" s="29"/>
      <c r="V770" s="30" t="s">
        <v>50</v>
      </c>
      <c r="W770" s="30"/>
      <c r="X770" s="30"/>
      <c r="Y770" s="30"/>
      <c r="Z770" s="30"/>
      <c r="AA770" s="30"/>
      <c r="AB770" s="29"/>
      <c r="AC770" s="29"/>
      <c r="AD770" s="37" t="str">
        <f t="shared" si="168"/>
        <v/>
      </c>
      <c r="AE770" s="3" t="str">
        <f t="shared" ca="1" si="167"/>
        <v/>
      </c>
      <c r="AF770" s="38" t="str">
        <f t="shared" si="169"/>
        <v/>
      </c>
      <c r="AG770" s="7"/>
    </row>
    <row r="771" spans="1:33" ht="32.15" customHeight="1" x14ac:dyDescent="0.35">
      <c r="A771" s="26">
        <f t="shared" ref="A771:A832" si="180">A770+1</f>
        <v>719</v>
      </c>
      <c r="B771" s="27" t="s">
        <v>2151</v>
      </c>
      <c r="C771" s="26"/>
      <c r="D771" s="60" t="s">
        <v>2163</v>
      </c>
      <c r="E771" s="39" t="s">
        <v>2164</v>
      </c>
      <c r="F771" s="24" t="s">
        <v>43</v>
      </c>
      <c r="G771" s="40" t="s">
        <v>2165</v>
      </c>
      <c r="H771" s="4" t="s">
        <v>85</v>
      </c>
      <c r="I771" s="36" t="s">
        <v>1814</v>
      </c>
      <c r="J771" s="82" t="s">
        <v>386</v>
      </c>
      <c r="K771" s="3" t="str">
        <f t="shared" ca="1" si="165"/>
        <v xml:space="preserve">5 Tahun 5 bulan </v>
      </c>
      <c r="L771" s="36" t="s">
        <v>200</v>
      </c>
      <c r="M771" s="82" t="s">
        <v>386</v>
      </c>
      <c r="N771" s="3" t="str">
        <f t="shared" ca="1" si="176"/>
        <v xml:space="preserve">5 Tahun 5 bulan </v>
      </c>
      <c r="O771" s="36"/>
      <c r="P771" s="4" t="s">
        <v>35</v>
      </c>
      <c r="Q771" s="4" t="str">
        <f t="shared" si="166"/>
        <v>Laki-Laki</v>
      </c>
      <c r="R771" s="4">
        <f t="shared" si="177"/>
        <v>1</v>
      </c>
      <c r="S771" s="4" t="str">
        <f t="shared" si="179"/>
        <v>1</v>
      </c>
      <c r="T771" s="4">
        <f t="shared" si="164"/>
        <v>0</v>
      </c>
      <c r="U771" s="29"/>
      <c r="V771" s="30" t="s">
        <v>50</v>
      </c>
      <c r="W771" s="30"/>
      <c r="X771" s="30"/>
      <c r="Y771" s="30"/>
      <c r="Z771" s="30"/>
      <c r="AA771" s="30"/>
      <c r="AB771" s="29"/>
      <c r="AC771" s="29"/>
      <c r="AD771" s="37">
        <f t="shared" si="168"/>
        <v>28470</v>
      </c>
      <c r="AE771" s="3" t="str">
        <f t="shared" ca="1" si="167"/>
        <v>48 Tahun 8 bulan 21 Hari</v>
      </c>
      <c r="AF771" s="38">
        <f t="shared" si="169"/>
        <v>50406</v>
      </c>
      <c r="AG771" s="7"/>
    </row>
    <row r="772" spans="1:33" ht="32.15" customHeight="1" x14ac:dyDescent="0.35">
      <c r="A772" s="26">
        <f t="shared" si="180"/>
        <v>720</v>
      </c>
      <c r="B772" s="27" t="s">
        <v>2151</v>
      </c>
      <c r="C772" s="26"/>
      <c r="D772" s="60" t="s">
        <v>2166</v>
      </c>
      <c r="E772" s="39" t="s">
        <v>2167</v>
      </c>
      <c r="F772" s="24" t="s">
        <v>43</v>
      </c>
      <c r="G772" s="25" t="s">
        <v>2168</v>
      </c>
      <c r="H772" s="4" t="s">
        <v>337</v>
      </c>
      <c r="I772" s="25" t="s">
        <v>86</v>
      </c>
      <c r="J772" s="82" t="s">
        <v>1748</v>
      </c>
      <c r="K772" s="3" t="str">
        <f t="shared" ca="1" si="165"/>
        <v xml:space="preserve">9 Tahun 7 bulan </v>
      </c>
      <c r="L772" s="36" t="s">
        <v>200</v>
      </c>
      <c r="M772" s="82" t="s">
        <v>1748</v>
      </c>
      <c r="N772" s="3" t="str">
        <f t="shared" ca="1" si="176"/>
        <v xml:space="preserve">9 Tahun 7 bulan </v>
      </c>
      <c r="O772" s="36"/>
      <c r="P772" s="4" t="s">
        <v>35</v>
      </c>
      <c r="Q772" s="4" t="str">
        <f t="shared" si="166"/>
        <v>Laki-Laki</v>
      </c>
      <c r="R772" s="4">
        <f t="shared" si="177"/>
        <v>1</v>
      </c>
      <c r="S772" s="4" t="str">
        <f t="shared" si="179"/>
        <v>1</v>
      </c>
      <c r="T772" s="4">
        <f t="shared" si="164"/>
        <v>0</v>
      </c>
      <c r="U772" s="29"/>
      <c r="V772" s="30" t="s">
        <v>50</v>
      </c>
      <c r="W772" s="30"/>
      <c r="X772" s="30"/>
      <c r="Y772" s="30"/>
      <c r="Z772" s="30"/>
      <c r="AA772" s="30"/>
      <c r="AB772" s="29"/>
      <c r="AC772" s="29"/>
      <c r="AD772" s="37">
        <f t="shared" si="168"/>
        <v>29985</v>
      </c>
      <c r="AE772" s="3" t="str">
        <f t="shared" ca="1" si="167"/>
        <v>44 Tahun 6 bulan 29 Hari</v>
      </c>
      <c r="AF772" s="38">
        <f t="shared" si="169"/>
        <v>51926</v>
      </c>
      <c r="AG772" s="7"/>
    </row>
    <row r="773" spans="1:33" ht="32.15" customHeight="1" x14ac:dyDescent="0.35">
      <c r="A773" s="26">
        <f t="shared" si="180"/>
        <v>721</v>
      </c>
      <c r="B773" s="27" t="s">
        <v>2151</v>
      </c>
      <c r="C773" s="26"/>
      <c r="D773" s="60" t="s">
        <v>2169</v>
      </c>
      <c r="E773" s="45" t="s">
        <v>2170</v>
      </c>
      <c r="F773" s="24" t="s">
        <v>43</v>
      </c>
      <c r="G773" s="36" t="s">
        <v>2171</v>
      </c>
      <c r="H773" s="4" t="s">
        <v>1179</v>
      </c>
      <c r="I773" s="36" t="s">
        <v>86</v>
      </c>
      <c r="J773" s="82" t="s">
        <v>354</v>
      </c>
      <c r="K773" s="3" t="str">
        <f t="shared" ca="1" si="165"/>
        <v xml:space="preserve">6 Tahun 9 bulan </v>
      </c>
      <c r="L773" s="36" t="s">
        <v>200</v>
      </c>
      <c r="M773" s="82" t="s">
        <v>354</v>
      </c>
      <c r="N773" s="3" t="str">
        <f t="shared" ca="1" si="176"/>
        <v xml:space="preserve">6 Tahun 9 bulan </v>
      </c>
      <c r="O773" s="36"/>
      <c r="P773" s="4" t="s">
        <v>35</v>
      </c>
      <c r="Q773" s="4" t="str">
        <f t="shared" si="166"/>
        <v>Laki-Laki</v>
      </c>
      <c r="R773" s="4">
        <f t="shared" si="177"/>
        <v>1</v>
      </c>
      <c r="S773" s="4" t="str">
        <f t="shared" si="179"/>
        <v>1</v>
      </c>
      <c r="T773" s="4">
        <f t="shared" si="164"/>
        <v>0</v>
      </c>
      <c r="U773" s="29"/>
      <c r="V773" s="30" t="s">
        <v>50</v>
      </c>
      <c r="W773" s="30"/>
      <c r="X773" s="30"/>
      <c r="Y773" s="30"/>
      <c r="Z773" s="30"/>
      <c r="AA773" s="30"/>
      <c r="AB773" s="29"/>
      <c r="AC773" s="29"/>
      <c r="AD773" s="37">
        <f t="shared" si="168"/>
        <v>27892</v>
      </c>
      <c r="AE773" s="3" t="str">
        <f t="shared" ca="1" si="167"/>
        <v>50 Tahun 3 bulan 20 Hari</v>
      </c>
      <c r="AF773" s="38">
        <f t="shared" si="169"/>
        <v>49827</v>
      </c>
      <c r="AG773" s="7"/>
    </row>
    <row r="774" spans="1:33" ht="32.15" customHeight="1" x14ac:dyDescent="0.35">
      <c r="A774" s="26">
        <f t="shared" si="180"/>
        <v>722</v>
      </c>
      <c r="B774" s="27" t="s">
        <v>2151</v>
      </c>
      <c r="C774" s="26"/>
      <c r="D774" s="60" t="s">
        <v>2172</v>
      </c>
      <c r="E774" s="39" t="s">
        <v>2173</v>
      </c>
      <c r="F774" s="24" t="s">
        <v>43</v>
      </c>
      <c r="G774" s="40" t="s">
        <v>2174</v>
      </c>
      <c r="H774" s="4" t="s">
        <v>662</v>
      </c>
      <c r="I774" s="36" t="s">
        <v>86</v>
      </c>
      <c r="J774" s="47" t="s">
        <v>2175</v>
      </c>
      <c r="K774" s="3" t="str">
        <f t="shared" ca="1" si="165"/>
        <v xml:space="preserve">4 Tahun 6 bulan </v>
      </c>
      <c r="L774" s="36" t="s">
        <v>200</v>
      </c>
      <c r="M774" s="47" t="s">
        <v>2175</v>
      </c>
      <c r="N774" s="3" t="str">
        <f t="shared" ca="1" si="176"/>
        <v xml:space="preserve">4 Tahun 6 bulan </v>
      </c>
      <c r="O774" s="4"/>
      <c r="P774" s="4" t="s">
        <v>35</v>
      </c>
      <c r="Q774" s="4" t="str">
        <f t="shared" si="166"/>
        <v>Laki-Laki</v>
      </c>
      <c r="R774" s="4">
        <f t="shared" si="177"/>
        <v>1</v>
      </c>
      <c r="S774" s="4" t="str">
        <f t="shared" si="179"/>
        <v>1</v>
      </c>
      <c r="T774" s="4">
        <f t="shared" si="164"/>
        <v>0</v>
      </c>
      <c r="U774" s="29"/>
      <c r="V774" s="30" t="s">
        <v>50</v>
      </c>
      <c r="W774" s="30"/>
      <c r="X774" s="30"/>
      <c r="Y774" s="30"/>
      <c r="Z774" s="30"/>
      <c r="AA774" s="30"/>
      <c r="AB774" s="29"/>
      <c r="AC774" s="29"/>
      <c r="AD774" s="37">
        <f t="shared" si="168"/>
        <v>28858</v>
      </c>
      <c r="AE774" s="3" t="str">
        <f t="shared" ca="1" si="167"/>
        <v>47 Tahun 7 bulan 29 Hari</v>
      </c>
      <c r="AF774" s="38">
        <f t="shared" si="169"/>
        <v>50802</v>
      </c>
      <c r="AG774" s="7"/>
    </row>
    <row r="775" spans="1:33" ht="23.25" customHeight="1" x14ac:dyDescent="0.35">
      <c r="A775" s="26"/>
      <c r="B775" s="27" t="s">
        <v>2176</v>
      </c>
      <c r="C775" s="280" t="s">
        <v>2177</v>
      </c>
      <c r="D775" s="281"/>
      <c r="E775" s="24"/>
      <c r="F775" s="24"/>
      <c r="G775" s="4"/>
      <c r="H775" s="4"/>
      <c r="I775" s="33"/>
      <c r="J775" s="5"/>
      <c r="K775" s="3" t="str">
        <f t="shared" ref="K775:K838" ca="1" si="181">IF(J775="","",CONCATENATE(DATEDIF(J775,NOW(),"Y")," Tahun ",DATEDIF(J775,NOW(),"YM")," bulan "))</f>
        <v/>
      </c>
      <c r="L775" s="30"/>
      <c r="M775" s="5"/>
      <c r="N775" s="3" t="str">
        <f t="shared" ca="1" si="176"/>
        <v/>
      </c>
      <c r="O775" s="4"/>
      <c r="P775" s="4"/>
      <c r="Q775" s="4"/>
      <c r="R775" s="4"/>
      <c r="S775" s="4"/>
      <c r="T775" s="4"/>
      <c r="U775" s="29"/>
      <c r="V775" s="30"/>
      <c r="W775" s="30"/>
      <c r="X775" s="30"/>
      <c r="Y775" s="30"/>
      <c r="Z775" s="29"/>
      <c r="AA775" s="29"/>
      <c r="AB775" s="29"/>
      <c r="AC775" s="29"/>
      <c r="AD775" s="37" t="str">
        <f t="shared" si="168"/>
        <v/>
      </c>
      <c r="AE775" s="3" t="str">
        <f t="shared" ref="AE775:AE838" ca="1" si="182">IF(TRIM(AD775)="", "", CONCATENATE(DATEDIF(AD775,NOW(),"Y")," Tahun ",DATEDIF(AD775,NOW(),"YM")," bulan ",DATEDIF(AD775,NOW(),"MD")," Hari"))</f>
        <v/>
      </c>
      <c r="AF775" s="38" t="str">
        <f t="shared" si="169"/>
        <v/>
      </c>
      <c r="AG775" s="7"/>
    </row>
    <row r="776" spans="1:33" ht="32.15" customHeight="1" x14ac:dyDescent="0.35">
      <c r="A776" s="26">
        <f>A774+1</f>
        <v>723</v>
      </c>
      <c r="B776" s="27" t="s">
        <v>2176</v>
      </c>
      <c r="C776" s="282" t="s">
        <v>2178</v>
      </c>
      <c r="D776" s="283"/>
      <c r="E776" s="45" t="s">
        <v>2179</v>
      </c>
      <c r="F776" s="24" t="s">
        <v>43</v>
      </c>
      <c r="G776" s="44" t="s">
        <v>2858</v>
      </c>
      <c r="H776" s="56" t="s">
        <v>66</v>
      </c>
      <c r="I776" s="36" t="s">
        <v>2820</v>
      </c>
      <c r="J776" s="53" t="s">
        <v>898</v>
      </c>
      <c r="K776" s="3" t="str">
        <f t="shared" ca="1" si="181"/>
        <v xml:space="preserve">0 Tahun 8 bulan </v>
      </c>
      <c r="L776" s="36" t="s">
        <v>79</v>
      </c>
      <c r="M776" s="47"/>
      <c r="N776" s="3" t="str">
        <f t="shared" ca="1" si="176"/>
        <v/>
      </c>
      <c r="O776" s="29"/>
      <c r="P776" s="4" t="s">
        <v>35</v>
      </c>
      <c r="Q776" s="4" t="str">
        <f t="shared" ref="Q776:Q839" si="183">CONCATENATE(IF(MID(G776,17,1)="1","Laki-Laki",IF(MID(G776,17,1)="2","Perempuan",)))</f>
        <v>Laki-Laki</v>
      </c>
      <c r="R776" s="4">
        <f>R774</f>
        <v>1</v>
      </c>
      <c r="S776" s="4" t="str">
        <f t="shared" ref="S776:S784" si="184">IF(E776="LOWONG","0","1")</f>
        <v>1</v>
      </c>
      <c r="T776" s="4">
        <f t="shared" si="164"/>
        <v>0</v>
      </c>
      <c r="U776" s="29"/>
      <c r="V776" s="30" t="s">
        <v>50</v>
      </c>
      <c r="W776" s="30"/>
      <c r="X776" s="30"/>
      <c r="Y776" s="30"/>
      <c r="Z776" s="30"/>
      <c r="AA776" s="30"/>
      <c r="AB776" s="29"/>
      <c r="AC776" s="29"/>
      <c r="AD776" s="37">
        <f t="shared" ref="AD776:AD839" si="185">IF(TRIM(G776)="", "", DATE(LEFT(G776,4),MID(G776,5,2),MID(G776,7,2)))</f>
        <v>27261</v>
      </c>
      <c r="AE776" s="3" t="str">
        <f t="shared" ca="1" si="182"/>
        <v>52 Tahun 0 bulan 12 Hari</v>
      </c>
      <c r="AF776" s="38">
        <f t="shared" ref="AF776:AF839" si="186">IF(TRIM(AD776)="","",DATE(YEAR(AD776)+60,MONTH(AD776)+1,1))</f>
        <v>49188</v>
      </c>
      <c r="AG776" s="7"/>
    </row>
    <row r="777" spans="1:33" ht="32.15" customHeight="1" x14ac:dyDescent="0.35">
      <c r="A777" s="26">
        <f t="shared" si="180"/>
        <v>724</v>
      </c>
      <c r="B777" s="27" t="s">
        <v>2176</v>
      </c>
      <c r="C777" s="282" t="s">
        <v>2180</v>
      </c>
      <c r="D777" s="283"/>
      <c r="E777" s="39" t="s">
        <v>2203</v>
      </c>
      <c r="F777" s="24" t="s">
        <v>43</v>
      </c>
      <c r="G777" s="25" t="s">
        <v>2204</v>
      </c>
      <c r="H777" s="36" t="s">
        <v>106</v>
      </c>
      <c r="I777" s="25" t="s">
        <v>86</v>
      </c>
      <c r="J777" s="53">
        <v>46260</v>
      </c>
      <c r="K777" s="3" t="str">
        <f t="shared" ca="1" si="181"/>
        <v xml:space="preserve">0 Tahun 0 bulan </v>
      </c>
      <c r="L777" s="36" t="s">
        <v>346</v>
      </c>
      <c r="M777" s="47" t="s">
        <v>354</v>
      </c>
      <c r="N777" s="3" t="str">
        <f t="shared" ca="1" si="176"/>
        <v xml:space="preserve">6 Tahun 9 bulan </v>
      </c>
      <c r="O777" s="36"/>
      <c r="P777" s="4" t="s">
        <v>35</v>
      </c>
      <c r="Q777" s="4" t="str">
        <f t="shared" si="183"/>
        <v>Laki-Laki</v>
      </c>
      <c r="R777" s="4">
        <f t="shared" ref="R777:R840" si="187">R776</f>
        <v>1</v>
      </c>
      <c r="S777" s="4" t="str">
        <f t="shared" si="184"/>
        <v>1</v>
      </c>
      <c r="T777" s="4">
        <f t="shared" si="164"/>
        <v>0</v>
      </c>
      <c r="U777" s="29"/>
      <c r="V777" s="30" t="s">
        <v>50</v>
      </c>
      <c r="W777" s="30"/>
      <c r="X777" s="30"/>
      <c r="Y777" s="30"/>
      <c r="Z777" s="30"/>
      <c r="AA777" s="30"/>
      <c r="AB777" s="29"/>
      <c r="AC777" s="29"/>
      <c r="AD777" s="37">
        <f t="shared" si="185"/>
        <v>25197</v>
      </c>
      <c r="AE777" s="3" t="str">
        <f t="shared" ca="1" si="182"/>
        <v>57 Tahun 8 bulan 7 Hari</v>
      </c>
      <c r="AF777" s="38">
        <f t="shared" si="186"/>
        <v>47119</v>
      </c>
      <c r="AG777" s="11" t="s">
        <v>3146</v>
      </c>
    </row>
    <row r="778" spans="1:33" ht="32.15" customHeight="1" x14ac:dyDescent="0.35">
      <c r="A778" s="26">
        <f t="shared" si="180"/>
        <v>725</v>
      </c>
      <c r="B778" s="27" t="s">
        <v>2176</v>
      </c>
      <c r="C778" s="26"/>
      <c r="D778" s="111" t="s">
        <v>2183</v>
      </c>
      <c r="E778" s="24" t="s">
        <v>2184</v>
      </c>
      <c r="F778" s="24" t="s">
        <v>43</v>
      </c>
      <c r="G778" s="44" t="s">
        <v>2185</v>
      </c>
      <c r="H778" s="4" t="s">
        <v>703</v>
      </c>
      <c r="I778" s="36" t="s">
        <v>589</v>
      </c>
      <c r="J778" s="47" t="s">
        <v>338</v>
      </c>
      <c r="K778" s="3" t="str">
        <f t="shared" ca="1" si="181"/>
        <v xml:space="preserve">2 Tahun 11 bulan </v>
      </c>
      <c r="L778" s="36" t="s">
        <v>1749</v>
      </c>
      <c r="M778" s="47" t="s">
        <v>338</v>
      </c>
      <c r="N778" s="3" t="str">
        <f t="shared" ca="1" si="176"/>
        <v xml:space="preserve">2 Tahun 11 bulan </v>
      </c>
      <c r="O778" s="36"/>
      <c r="P778" s="4" t="s">
        <v>35</v>
      </c>
      <c r="Q778" s="4" t="str">
        <f t="shared" si="183"/>
        <v>Perempuan</v>
      </c>
      <c r="R778" s="4">
        <f t="shared" si="187"/>
        <v>1</v>
      </c>
      <c r="S778" s="4" t="str">
        <f t="shared" si="184"/>
        <v>1</v>
      </c>
      <c r="T778" s="4">
        <f t="shared" ref="T778:T848" si="188">R778-S778</f>
        <v>0</v>
      </c>
      <c r="U778" s="29"/>
      <c r="V778" s="30"/>
      <c r="W778" s="30"/>
      <c r="X778" s="30"/>
      <c r="Y778" s="30"/>
      <c r="Z778" s="30"/>
      <c r="AA778" s="30"/>
      <c r="AB778" s="29"/>
      <c r="AC778" s="29"/>
      <c r="AD778" s="37">
        <f t="shared" si="185"/>
        <v>26176</v>
      </c>
      <c r="AE778" s="3" t="str">
        <f t="shared" ca="1" si="182"/>
        <v>55 Tahun 0 bulan 1 Hari</v>
      </c>
      <c r="AF778" s="38">
        <f t="shared" si="186"/>
        <v>48092</v>
      </c>
      <c r="AG778" s="7"/>
    </row>
    <row r="779" spans="1:33" ht="32.15" customHeight="1" x14ac:dyDescent="0.35">
      <c r="A779" s="26">
        <f t="shared" si="180"/>
        <v>726</v>
      </c>
      <c r="B779" s="27" t="s">
        <v>2176</v>
      </c>
      <c r="C779" s="26"/>
      <c r="D779" s="111" t="s">
        <v>2186</v>
      </c>
      <c r="E779" s="79" t="s">
        <v>2187</v>
      </c>
      <c r="F779" s="24" t="s">
        <v>43</v>
      </c>
      <c r="G779" s="73" t="s">
        <v>2188</v>
      </c>
      <c r="H779" s="76" t="s">
        <v>2189</v>
      </c>
      <c r="I779" s="36" t="s">
        <v>86</v>
      </c>
      <c r="J779" s="47" t="s">
        <v>626</v>
      </c>
      <c r="K779" s="3" t="str">
        <f t="shared" ca="1" si="181"/>
        <v xml:space="preserve">7 Tahun 7 bulan </v>
      </c>
      <c r="L779" s="36" t="s">
        <v>1749</v>
      </c>
      <c r="M779" s="47" t="s">
        <v>626</v>
      </c>
      <c r="N779" s="3" t="str">
        <f t="shared" ca="1" si="176"/>
        <v xml:space="preserve">7 Tahun 7 bulan </v>
      </c>
      <c r="O779" s="35"/>
      <c r="P779" s="4" t="s">
        <v>35</v>
      </c>
      <c r="Q779" s="4" t="str">
        <f t="shared" si="183"/>
        <v>Laki-Laki</v>
      </c>
      <c r="R779" s="4">
        <f t="shared" si="187"/>
        <v>1</v>
      </c>
      <c r="S779" s="4" t="str">
        <f t="shared" si="184"/>
        <v>1</v>
      </c>
      <c r="T779" s="4">
        <f t="shared" si="188"/>
        <v>0</v>
      </c>
      <c r="U779" s="29"/>
      <c r="V779" s="30" t="s">
        <v>50</v>
      </c>
      <c r="W779" s="30"/>
      <c r="X779" s="30"/>
      <c r="Y779" s="30"/>
      <c r="Z779" s="30"/>
      <c r="AA779" s="30"/>
      <c r="AB779" s="29"/>
      <c r="AC779" s="29"/>
      <c r="AD779" s="37">
        <f t="shared" si="185"/>
        <v>26362</v>
      </c>
      <c r="AE779" s="3" t="str">
        <f t="shared" ca="1" si="182"/>
        <v>54 Tahun 5 bulan 28 Hari</v>
      </c>
      <c r="AF779" s="38">
        <f t="shared" si="186"/>
        <v>48305</v>
      </c>
      <c r="AG779" s="7"/>
    </row>
    <row r="780" spans="1:33" ht="32.15" customHeight="1" x14ac:dyDescent="0.35">
      <c r="A780" s="26">
        <f t="shared" si="180"/>
        <v>727</v>
      </c>
      <c r="B780" s="27" t="s">
        <v>2176</v>
      </c>
      <c r="C780" s="26"/>
      <c r="D780" s="60" t="s">
        <v>2190</v>
      </c>
      <c r="E780" s="45" t="s">
        <v>2191</v>
      </c>
      <c r="F780" s="24" t="s">
        <v>43</v>
      </c>
      <c r="G780" s="44" t="s">
        <v>2192</v>
      </c>
      <c r="H780" s="4" t="s">
        <v>135</v>
      </c>
      <c r="I780" s="36" t="s">
        <v>86</v>
      </c>
      <c r="J780" s="82" t="s">
        <v>1748</v>
      </c>
      <c r="K780" s="3" t="str">
        <f t="shared" ca="1" si="181"/>
        <v xml:space="preserve">9 Tahun 7 bulan </v>
      </c>
      <c r="L780" s="36" t="s">
        <v>200</v>
      </c>
      <c r="M780" s="82" t="s">
        <v>1748</v>
      </c>
      <c r="N780" s="3" t="str">
        <f t="shared" ca="1" si="176"/>
        <v xml:space="preserve">9 Tahun 7 bulan </v>
      </c>
      <c r="O780" s="36"/>
      <c r="P780" s="4" t="s">
        <v>35</v>
      </c>
      <c r="Q780" s="4" t="str">
        <f t="shared" si="183"/>
        <v>Laki-Laki</v>
      </c>
      <c r="R780" s="4">
        <f t="shared" si="187"/>
        <v>1</v>
      </c>
      <c r="S780" s="4" t="str">
        <f t="shared" si="184"/>
        <v>1</v>
      </c>
      <c r="T780" s="4">
        <f t="shared" si="188"/>
        <v>0</v>
      </c>
      <c r="U780" s="29"/>
      <c r="V780" s="30" t="s">
        <v>50</v>
      </c>
      <c r="W780" s="30"/>
      <c r="X780" s="30"/>
      <c r="Y780" s="30"/>
      <c r="Z780" s="30"/>
      <c r="AA780" s="30"/>
      <c r="AB780" s="29"/>
      <c r="AC780" s="29"/>
      <c r="AD780" s="37">
        <f t="shared" si="185"/>
        <v>28746</v>
      </c>
      <c r="AE780" s="3" t="str">
        <f t="shared" ca="1" si="182"/>
        <v>47 Tahun 11 bulan 19 Hari</v>
      </c>
      <c r="AF780" s="38">
        <f t="shared" si="186"/>
        <v>50679</v>
      </c>
      <c r="AG780" s="7"/>
    </row>
    <row r="781" spans="1:33" ht="32.15" customHeight="1" x14ac:dyDescent="0.35">
      <c r="A781" s="26">
        <f t="shared" si="180"/>
        <v>728</v>
      </c>
      <c r="B781" s="27" t="s">
        <v>2176</v>
      </c>
      <c r="C781" s="26"/>
      <c r="D781" s="60" t="s">
        <v>2193</v>
      </c>
      <c r="E781" s="51" t="s">
        <v>2194</v>
      </c>
      <c r="F781" s="24" t="s">
        <v>43</v>
      </c>
      <c r="G781" s="59" t="s">
        <v>2195</v>
      </c>
      <c r="H781" s="36" t="s">
        <v>1761</v>
      </c>
      <c r="I781" s="4" t="s">
        <v>107</v>
      </c>
      <c r="J781" s="82" t="s">
        <v>338</v>
      </c>
      <c r="K781" s="3" t="str">
        <f t="shared" ca="1" si="181"/>
        <v xml:space="preserve">2 Tahun 11 bulan </v>
      </c>
      <c r="L781" s="36" t="s">
        <v>200</v>
      </c>
      <c r="M781" s="82" t="s">
        <v>338</v>
      </c>
      <c r="N781" s="3" t="str">
        <f t="shared" ca="1" si="176"/>
        <v xml:space="preserve">2 Tahun 11 bulan </v>
      </c>
      <c r="O781" s="36"/>
      <c r="P781" s="4" t="s">
        <v>35</v>
      </c>
      <c r="Q781" s="4" t="str">
        <f t="shared" si="183"/>
        <v>Laki-Laki</v>
      </c>
      <c r="R781" s="4">
        <f t="shared" si="187"/>
        <v>1</v>
      </c>
      <c r="S781" s="4" t="str">
        <f t="shared" si="184"/>
        <v>1</v>
      </c>
      <c r="T781" s="4">
        <f t="shared" si="188"/>
        <v>0</v>
      </c>
      <c r="U781" s="29"/>
      <c r="V781" s="30" t="s">
        <v>50</v>
      </c>
      <c r="W781" s="30"/>
      <c r="X781" s="30"/>
      <c r="Y781" s="30"/>
      <c r="Z781" s="30"/>
      <c r="AA781" s="30"/>
      <c r="AB781" s="29"/>
      <c r="AC781" s="29"/>
      <c r="AD781" s="37">
        <f t="shared" si="185"/>
        <v>25671</v>
      </c>
      <c r="AE781" s="3" t="str">
        <f t="shared" ca="1" si="182"/>
        <v>56 Tahun 4 bulan 19 Hari</v>
      </c>
      <c r="AF781" s="38">
        <f t="shared" si="186"/>
        <v>47604</v>
      </c>
      <c r="AG781" s="7"/>
    </row>
    <row r="782" spans="1:33" ht="32.15" customHeight="1" x14ac:dyDescent="0.35">
      <c r="A782" s="26">
        <f t="shared" si="180"/>
        <v>729</v>
      </c>
      <c r="B782" s="27" t="s">
        <v>2176</v>
      </c>
      <c r="C782" s="26"/>
      <c r="D782" s="60" t="s">
        <v>2196</v>
      </c>
      <c r="E782" s="24" t="s">
        <v>2197</v>
      </c>
      <c r="F782" s="24" t="s">
        <v>43</v>
      </c>
      <c r="G782" s="3" t="s">
        <v>2198</v>
      </c>
      <c r="H782" s="4" t="s">
        <v>703</v>
      </c>
      <c r="I782" s="36" t="s">
        <v>86</v>
      </c>
      <c r="J782" s="82" t="s">
        <v>338</v>
      </c>
      <c r="K782" s="3" t="str">
        <f t="shared" ca="1" si="181"/>
        <v xml:space="preserve">2 Tahun 11 bulan </v>
      </c>
      <c r="L782" s="36" t="s">
        <v>200</v>
      </c>
      <c r="M782" s="82" t="s">
        <v>338</v>
      </c>
      <c r="N782" s="3" t="str">
        <f t="shared" ca="1" si="176"/>
        <v xml:space="preserve">2 Tahun 11 bulan </v>
      </c>
      <c r="O782" s="36"/>
      <c r="P782" s="4" t="s">
        <v>35</v>
      </c>
      <c r="Q782" s="4" t="str">
        <f t="shared" si="183"/>
        <v>Laki-Laki</v>
      </c>
      <c r="R782" s="4">
        <f t="shared" si="187"/>
        <v>1</v>
      </c>
      <c r="S782" s="4" t="str">
        <f t="shared" si="184"/>
        <v>1</v>
      </c>
      <c r="T782" s="4">
        <f t="shared" si="188"/>
        <v>0</v>
      </c>
      <c r="U782" s="29"/>
      <c r="V782" s="30" t="s">
        <v>50</v>
      </c>
      <c r="W782" s="30"/>
      <c r="X782" s="30"/>
      <c r="Y782" s="30"/>
      <c r="Z782" s="30"/>
      <c r="AA782" s="30"/>
      <c r="AB782" s="29"/>
      <c r="AC782" s="29"/>
      <c r="AD782" s="37">
        <f t="shared" si="185"/>
        <v>27855</v>
      </c>
      <c r="AE782" s="3" t="str">
        <f t="shared" ca="1" si="182"/>
        <v>50 Tahun 4 bulan 27 Hari</v>
      </c>
      <c r="AF782" s="38">
        <f t="shared" si="186"/>
        <v>49796</v>
      </c>
      <c r="AG782" s="7"/>
    </row>
    <row r="783" spans="1:33" ht="32.15" customHeight="1" x14ac:dyDescent="0.35">
      <c r="A783" s="26">
        <f t="shared" si="180"/>
        <v>730</v>
      </c>
      <c r="B783" s="27" t="s">
        <v>2176</v>
      </c>
      <c r="C783" s="26"/>
      <c r="D783" s="245" t="s">
        <v>2199</v>
      </c>
      <c r="E783" s="24" t="s">
        <v>108</v>
      </c>
      <c r="F783" s="24"/>
      <c r="G783" s="3"/>
      <c r="H783" s="4"/>
      <c r="I783" s="48"/>
      <c r="J783" s="47"/>
      <c r="K783" s="3" t="str">
        <f t="shared" ca="1" si="181"/>
        <v/>
      </c>
      <c r="L783" s="36" t="s">
        <v>200</v>
      </c>
      <c r="M783" s="47"/>
      <c r="N783" s="3" t="str">
        <f t="shared" ca="1" si="176"/>
        <v/>
      </c>
      <c r="O783" s="36"/>
      <c r="P783" s="4" t="s">
        <v>35</v>
      </c>
      <c r="Q783" s="4" t="str">
        <f t="shared" si="183"/>
        <v/>
      </c>
      <c r="R783" s="4">
        <f t="shared" si="187"/>
        <v>1</v>
      </c>
      <c r="S783" s="4" t="str">
        <f t="shared" si="184"/>
        <v>0</v>
      </c>
      <c r="T783" s="4">
        <f t="shared" si="188"/>
        <v>1</v>
      </c>
      <c r="U783" s="29"/>
      <c r="V783" s="30" t="s">
        <v>50</v>
      </c>
      <c r="W783" s="30"/>
      <c r="X783" s="30"/>
      <c r="Y783" s="30"/>
      <c r="Z783" s="30"/>
      <c r="AA783" s="30"/>
      <c r="AB783" s="29"/>
      <c r="AC783" s="29"/>
      <c r="AD783" s="37" t="str">
        <f t="shared" si="185"/>
        <v/>
      </c>
      <c r="AE783" s="3" t="str">
        <f t="shared" ca="1" si="182"/>
        <v/>
      </c>
      <c r="AF783" s="38" t="str">
        <f t="shared" si="186"/>
        <v/>
      </c>
      <c r="AG783" s="7"/>
    </row>
    <row r="784" spans="1:33" ht="32.15" customHeight="1" x14ac:dyDescent="0.35">
      <c r="A784" s="26">
        <f t="shared" si="180"/>
        <v>731</v>
      </c>
      <c r="B784" s="27" t="s">
        <v>2176</v>
      </c>
      <c r="C784" s="26"/>
      <c r="D784" s="60" t="s">
        <v>2202</v>
      </c>
      <c r="E784" s="24" t="s">
        <v>2200</v>
      </c>
      <c r="F784" s="24" t="s">
        <v>43</v>
      </c>
      <c r="G784" s="3" t="s">
        <v>2201</v>
      </c>
      <c r="H784" s="4" t="s">
        <v>259</v>
      </c>
      <c r="I784" s="48" t="s">
        <v>86</v>
      </c>
      <c r="J784" s="82">
        <v>46260</v>
      </c>
      <c r="K784" s="3" t="str">
        <f t="shared" ca="1" si="181"/>
        <v xml:space="preserve">0 Tahun 0 bulan </v>
      </c>
      <c r="L784" s="36" t="s">
        <v>200</v>
      </c>
      <c r="M784" s="82" t="s">
        <v>199</v>
      </c>
      <c r="N784" s="3" t="str">
        <f t="shared" ca="1" si="176"/>
        <v xml:space="preserve">3 Tahun 11 bulan </v>
      </c>
      <c r="O784" s="36"/>
      <c r="P784" s="4" t="s">
        <v>35</v>
      </c>
      <c r="Q784" s="4" t="str">
        <f t="shared" si="183"/>
        <v>Perempuan</v>
      </c>
      <c r="R784" s="4">
        <f t="shared" si="187"/>
        <v>1</v>
      </c>
      <c r="S784" s="4" t="str">
        <f t="shared" si="184"/>
        <v>1</v>
      </c>
      <c r="T784" s="4">
        <f t="shared" si="188"/>
        <v>0</v>
      </c>
      <c r="U784" s="29"/>
      <c r="V784" s="30" t="s">
        <v>50</v>
      </c>
      <c r="W784" s="30"/>
      <c r="X784" s="30"/>
      <c r="Y784" s="30"/>
      <c r="Z784" s="30"/>
      <c r="AA784" s="30"/>
      <c r="AB784" s="29"/>
      <c r="AC784" s="29"/>
      <c r="AD784" s="37">
        <f t="shared" si="185"/>
        <v>28773</v>
      </c>
      <c r="AE784" s="3" t="str">
        <f t="shared" ca="1" si="182"/>
        <v>47 Tahun 10 bulan 22 Hari</v>
      </c>
      <c r="AF784" s="38">
        <f t="shared" si="186"/>
        <v>50710</v>
      </c>
      <c r="AG784" s="7"/>
    </row>
    <row r="785" spans="1:32" s="7" customFormat="1" ht="24.75" customHeight="1" x14ac:dyDescent="0.35">
      <c r="A785" s="26"/>
      <c r="B785" s="27" t="s">
        <v>2205</v>
      </c>
      <c r="C785" s="280" t="s">
        <v>2206</v>
      </c>
      <c r="D785" s="281"/>
      <c r="E785" s="24"/>
      <c r="F785" s="24"/>
      <c r="G785" s="4"/>
      <c r="H785" s="4"/>
      <c r="I785" s="33"/>
      <c r="J785" s="119"/>
      <c r="K785" s="120"/>
      <c r="L785" s="121"/>
      <c r="M785" s="119"/>
      <c r="N785" s="3" t="str">
        <f t="shared" ca="1" si="176"/>
        <v/>
      </c>
      <c r="O785" s="122"/>
      <c r="P785" s="4"/>
      <c r="Q785" s="4"/>
      <c r="R785" s="4"/>
      <c r="S785" s="4"/>
      <c r="T785" s="4"/>
      <c r="U785" s="29"/>
      <c r="V785" s="30"/>
      <c r="W785" s="30"/>
      <c r="X785" s="30"/>
      <c r="Y785" s="30"/>
      <c r="Z785" s="29"/>
      <c r="AA785" s="29"/>
      <c r="AB785" s="29"/>
      <c r="AC785" s="29"/>
      <c r="AD785" s="37" t="str">
        <f t="shared" si="185"/>
        <v/>
      </c>
      <c r="AE785" s="3" t="str">
        <f t="shared" ca="1" si="182"/>
        <v/>
      </c>
      <c r="AF785" s="38" t="str">
        <f t="shared" si="186"/>
        <v/>
      </c>
    </row>
    <row r="786" spans="1:32" s="7" customFormat="1" ht="28.5" customHeight="1" x14ac:dyDescent="0.35">
      <c r="A786" s="26">
        <f>A784+1</f>
        <v>732</v>
      </c>
      <c r="B786" s="27" t="s">
        <v>2205</v>
      </c>
      <c r="C786" s="282" t="s">
        <v>2207</v>
      </c>
      <c r="D786" s="283"/>
      <c r="E786" s="45" t="s">
        <v>2208</v>
      </c>
      <c r="F786" s="24" t="s">
        <v>43</v>
      </c>
      <c r="G786" s="25" t="s">
        <v>2209</v>
      </c>
      <c r="H786" s="25" t="s">
        <v>181</v>
      </c>
      <c r="I786" s="25" t="s">
        <v>184</v>
      </c>
      <c r="J786" s="123" t="s">
        <v>898</v>
      </c>
      <c r="K786" s="44" t="str">
        <f t="shared" ca="1" si="181"/>
        <v xml:space="preserve">0 Tahun 8 bulan </v>
      </c>
      <c r="L786" s="36" t="s">
        <v>79</v>
      </c>
      <c r="M786" s="5" t="s">
        <v>338</v>
      </c>
      <c r="N786" s="3" t="str">
        <f t="shared" ca="1" si="176"/>
        <v xml:space="preserve">2 Tahun 11 bulan </v>
      </c>
      <c r="O786" s="29"/>
      <c r="P786" s="4" t="s">
        <v>35</v>
      </c>
      <c r="Q786" s="4" t="str">
        <f t="shared" si="183"/>
        <v>Laki-Laki</v>
      </c>
      <c r="R786" s="4">
        <f>R784</f>
        <v>1</v>
      </c>
      <c r="S786" s="4" t="str">
        <f t="shared" ref="S786:S794" si="189">IF(E786="LOWONG","0","1")</f>
        <v>1</v>
      </c>
      <c r="T786" s="4">
        <f t="shared" si="188"/>
        <v>0</v>
      </c>
      <c r="U786" s="29"/>
      <c r="V786" s="30"/>
      <c r="W786" s="30"/>
      <c r="X786" s="30"/>
      <c r="Y786" s="30"/>
      <c r="Z786" s="30"/>
      <c r="AA786" s="30"/>
      <c r="AB786" s="29"/>
      <c r="AC786" s="29"/>
      <c r="AD786" s="37">
        <f t="shared" si="185"/>
        <v>26679</v>
      </c>
      <c r="AE786" s="3" t="str">
        <f t="shared" ca="1" si="182"/>
        <v>53 Tahun 7 bulan 17 Hari</v>
      </c>
      <c r="AF786" s="38">
        <f t="shared" si="186"/>
        <v>48611</v>
      </c>
    </row>
    <row r="787" spans="1:32" s="7" customFormat="1" ht="28.5" customHeight="1" x14ac:dyDescent="0.35">
      <c r="A787" s="26">
        <f t="shared" si="180"/>
        <v>733</v>
      </c>
      <c r="B787" s="27" t="s">
        <v>2205</v>
      </c>
      <c r="C787" s="282" t="s">
        <v>2210</v>
      </c>
      <c r="D787" s="283"/>
      <c r="E787" s="45" t="s">
        <v>2181</v>
      </c>
      <c r="F787" s="24" t="s">
        <v>43</v>
      </c>
      <c r="G787" s="36" t="s">
        <v>2182</v>
      </c>
      <c r="H787" s="36" t="s">
        <v>181</v>
      </c>
      <c r="I787" s="36" t="s">
        <v>1337</v>
      </c>
      <c r="J787" s="53">
        <v>46260</v>
      </c>
      <c r="K787" s="3" t="str">
        <f t="shared" ca="1" si="181"/>
        <v xml:space="preserve">0 Tahun 0 bulan </v>
      </c>
      <c r="L787" s="36" t="s">
        <v>346</v>
      </c>
      <c r="M787" s="47" t="s">
        <v>338</v>
      </c>
      <c r="N787" s="3" t="str">
        <f t="shared" ca="1" si="176"/>
        <v xml:space="preserve">2 Tahun 11 bulan </v>
      </c>
      <c r="O787" s="36"/>
      <c r="P787" s="4" t="s">
        <v>35</v>
      </c>
      <c r="Q787" s="4" t="str">
        <f t="shared" si="183"/>
        <v>Laki-Laki</v>
      </c>
      <c r="R787" s="4">
        <f t="shared" si="187"/>
        <v>1</v>
      </c>
      <c r="S787" s="4" t="str">
        <f t="shared" si="189"/>
        <v>1</v>
      </c>
      <c r="T787" s="4">
        <f t="shared" si="188"/>
        <v>0</v>
      </c>
      <c r="U787" s="29"/>
      <c r="V787" s="30" t="s">
        <v>50</v>
      </c>
      <c r="W787" s="30"/>
      <c r="X787" s="30"/>
      <c r="Y787" s="30"/>
      <c r="Z787" s="30"/>
      <c r="AA787" s="30"/>
      <c r="AB787" s="29"/>
      <c r="AC787" s="29"/>
      <c r="AD787" s="37">
        <f t="shared" si="185"/>
        <v>27935</v>
      </c>
      <c r="AE787" s="3" t="str">
        <f t="shared" ca="1" si="182"/>
        <v>50 Tahun 2 bulan 8 Hari</v>
      </c>
      <c r="AF787" s="38">
        <f t="shared" si="186"/>
        <v>49857</v>
      </c>
    </row>
    <row r="788" spans="1:32" s="7" customFormat="1" ht="28.5" customHeight="1" x14ac:dyDescent="0.35">
      <c r="A788" s="26">
        <f t="shared" si="180"/>
        <v>734</v>
      </c>
      <c r="B788" s="27" t="s">
        <v>2205</v>
      </c>
      <c r="C788" s="26"/>
      <c r="D788" s="111" t="s">
        <v>2213</v>
      </c>
      <c r="E788" s="45" t="s">
        <v>108</v>
      </c>
      <c r="F788" s="24"/>
      <c r="G788" s="36"/>
      <c r="H788" s="4"/>
      <c r="I788" s="36"/>
      <c r="J788" s="82"/>
      <c r="K788" s="3" t="str">
        <f t="shared" ca="1" si="181"/>
        <v/>
      </c>
      <c r="L788" s="36" t="s">
        <v>1749</v>
      </c>
      <c r="M788" s="82"/>
      <c r="N788" s="3" t="str">
        <f t="shared" ca="1" si="176"/>
        <v/>
      </c>
      <c r="O788" s="36"/>
      <c r="P788" s="4"/>
      <c r="Q788" s="4" t="str">
        <f t="shared" si="183"/>
        <v/>
      </c>
      <c r="R788" s="4">
        <f t="shared" si="187"/>
        <v>1</v>
      </c>
      <c r="S788" s="4" t="str">
        <f>IF(E788="LOWONG","0","1")</f>
        <v>0</v>
      </c>
      <c r="T788" s="4">
        <f t="shared" si="188"/>
        <v>1</v>
      </c>
      <c r="U788" s="29"/>
      <c r="V788" s="30"/>
      <c r="W788" s="30"/>
      <c r="X788" s="30"/>
      <c r="Y788" s="30"/>
      <c r="Z788" s="30"/>
      <c r="AA788" s="30"/>
      <c r="AB788" s="29"/>
      <c r="AC788" s="29"/>
      <c r="AD788" s="37" t="str">
        <f t="shared" si="185"/>
        <v/>
      </c>
      <c r="AE788" s="3" t="str">
        <f t="shared" ca="1" si="182"/>
        <v/>
      </c>
      <c r="AF788" s="38" t="str">
        <f t="shared" si="186"/>
        <v/>
      </c>
    </row>
    <row r="789" spans="1:32" s="7" customFormat="1" ht="28.5" customHeight="1" x14ac:dyDescent="0.35">
      <c r="A789" s="26">
        <f t="shared" si="180"/>
        <v>735</v>
      </c>
      <c r="B789" s="27" t="s">
        <v>2205</v>
      </c>
      <c r="C789" s="26"/>
      <c r="D789" s="111" t="s">
        <v>2215</v>
      </c>
      <c r="E789" s="45" t="s">
        <v>108</v>
      </c>
      <c r="F789" s="45"/>
      <c r="G789" s="36"/>
      <c r="H789" s="4"/>
      <c r="I789" s="36"/>
      <c r="J789" s="118"/>
      <c r="K789" s="3" t="str">
        <f t="shared" ca="1" si="181"/>
        <v/>
      </c>
      <c r="L789" s="36" t="s">
        <v>1749</v>
      </c>
      <c r="M789" s="118"/>
      <c r="N789" s="3" t="str">
        <f t="shared" ca="1" si="176"/>
        <v/>
      </c>
      <c r="O789" s="36"/>
      <c r="P789" s="4"/>
      <c r="Q789" s="4" t="str">
        <f t="shared" si="183"/>
        <v/>
      </c>
      <c r="R789" s="4">
        <f t="shared" si="187"/>
        <v>1</v>
      </c>
      <c r="S789" s="4" t="str">
        <f>IF(E789="LOWONG","0","1")</f>
        <v>0</v>
      </c>
      <c r="T789" s="4">
        <f t="shared" si="188"/>
        <v>1</v>
      </c>
      <c r="U789" s="29"/>
      <c r="V789" s="30"/>
      <c r="W789" s="30"/>
      <c r="X789" s="30"/>
      <c r="Y789" s="30"/>
      <c r="Z789" s="30"/>
      <c r="AA789" s="30"/>
      <c r="AB789" s="29"/>
      <c r="AC789" s="29"/>
      <c r="AD789" s="37" t="str">
        <f t="shared" si="185"/>
        <v/>
      </c>
      <c r="AE789" s="3" t="str">
        <f t="shared" ca="1" si="182"/>
        <v/>
      </c>
      <c r="AF789" s="38" t="str">
        <f t="shared" si="186"/>
        <v/>
      </c>
    </row>
    <row r="790" spans="1:32" s="7" customFormat="1" ht="28.5" customHeight="1" x14ac:dyDescent="0.35">
      <c r="A790" s="26">
        <f t="shared" si="180"/>
        <v>736</v>
      </c>
      <c r="B790" s="27" t="s">
        <v>2205</v>
      </c>
      <c r="C790" s="211" t="s">
        <v>2216</v>
      </c>
      <c r="D790" s="6"/>
      <c r="E790" s="24" t="s">
        <v>2217</v>
      </c>
      <c r="F790" s="24" t="s">
        <v>43</v>
      </c>
      <c r="G790" s="3" t="s">
        <v>2218</v>
      </c>
      <c r="H790" s="4" t="s">
        <v>1158</v>
      </c>
      <c r="I790" s="36" t="s">
        <v>362</v>
      </c>
      <c r="J790" s="82" t="s">
        <v>1766</v>
      </c>
      <c r="K790" s="3" t="str">
        <f t="shared" ca="1" si="181"/>
        <v xml:space="preserve">9 Tahun 0 bulan </v>
      </c>
      <c r="L790" s="36" t="s">
        <v>200</v>
      </c>
      <c r="M790" s="82" t="s">
        <v>1766</v>
      </c>
      <c r="N790" s="3" t="str">
        <f t="shared" ca="1" si="176"/>
        <v xml:space="preserve">9 Tahun 0 bulan </v>
      </c>
      <c r="O790" s="4"/>
      <c r="P790" s="4" t="s">
        <v>35</v>
      </c>
      <c r="Q790" s="4" t="str">
        <f t="shared" si="183"/>
        <v>Laki-Laki</v>
      </c>
      <c r="R790" s="4">
        <f t="shared" si="187"/>
        <v>1</v>
      </c>
      <c r="S790" s="4" t="str">
        <f t="shared" si="189"/>
        <v>1</v>
      </c>
      <c r="T790" s="4">
        <f t="shared" si="188"/>
        <v>0</v>
      </c>
      <c r="U790" s="29"/>
      <c r="V790" s="30" t="s">
        <v>50</v>
      </c>
      <c r="W790" s="30"/>
      <c r="X790" s="30"/>
      <c r="Y790" s="30"/>
      <c r="Z790" s="30"/>
      <c r="AA790" s="30"/>
      <c r="AB790" s="29"/>
      <c r="AC790" s="29"/>
      <c r="AD790" s="37">
        <f t="shared" si="185"/>
        <v>30179</v>
      </c>
      <c r="AE790" s="3" t="str">
        <f t="shared" ca="1" si="182"/>
        <v>44 Tahun 0 bulan 16 Hari</v>
      </c>
      <c r="AF790" s="38">
        <f t="shared" si="186"/>
        <v>52110</v>
      </c>
    </row>
    <row r="791" spans="1:32" s="7" customFormat="1" ht="28.5" customHeight="1" x14ac:dyDescent="0.35">
      <c r="A791" s="26">
        <f t="shared" si="180"/>
        <v>737</v>
      </c>
      <c r="B791" s="27" t="s">
        <v>2205</v>
      </c>
      <c r="C791" s="26"/>
      <c r="D791" s="60" t="s">
        <v>2219</v>
      </c>
      <c r="E791" s="45" t="s">
        <v>2220</v>
      </c>
      <c r="F791" s="24" t="s">
        <v>43</v>
      </c>
      <c r="G791" s="44" t="s">
        <v>2221</v>
      </c>
      <c r="H791" s="25" t="s">
        <v>1263</v>
      </c>
      <c r="I791" s="36" t="s">
        <v>86</v>
      </c>
      <c r="J791" s="65" t="s">
        <v>338</v>
      </c>
      <c r="K791" s="3" t="str">
        <f t="shared" ca="1" si="181"/>
        <v xml:space="preserve">2 Tahun 11 bulan </v>
      </c>
      <c r="L791" s="36" t="s">
        <v>200</v>
      </c>
      <c r="M791" s="65" t="s">
        <v>338</v>
      </c>
      <c r="N791" s="3" t="str">
        <f t="shared" ca="1" si="176"/>
        <v xml:space="preserve">2 Tahun 11 bulan </v>
      </c>
      <c r="O791" s="36"/>
      <c r="P791" s="4" t="s">
        <v>506</v>
      </c>
      <c r="Q791" s="4" t="str">
        <f t="shared" si="183"/>
        <v>Laki-Laki</v>
      </c>
      <c r="R791" s="4">
        <f t="shared" si="187"/>
        <v>1</v>
      </c>
      <c r="S791" s="4" t="str">
        <f t="shared" si="189"/>
        <v>1</v>
      </c>
      <c r="T791" s="4">
        <f t="shared" si="188"/>
        <v>0</v>
      </c>
      <c r="U791" s="29"/>
      <c r="V791" s="30" t="s">
        <v>50</v>
      </c>
      <c r="W791" s="30"/>
      <c r="X791" s="30"/>
      <c r="Y791" s="30"/>
      <c r="Z791" s="30"/>
      <c r="AA791" s="30"/>
      <c r="AB791" s="29"/>
      <c r="AC791" s="29"/>
      <c r="AD791" s="37">
        <f t="shared" si="185"/>
        <v>27838</v>
      </c>
      <c r="AE791" s="3" t="str">
        <f t="shared" ca="1" si="182"/>
        <v>50 Tahun 5 bulan 13 Hari</v>
      </c>
      <c r="AF791" s="38">
        <f t="shared" si="186"/>
        <v>49766</v>
      </c>
    </row>
    <row r="792" spans="1:32" s="7" customFormat="1" ht="28.5" customHeight="1" x14ac:dyDescent="0.35">
      <c r="A792" s="26">
        <f t="shared" si="180"/>
        <v>738</v>
      </c>
      <c r="B792" s="27" t="s">
        <v>2205</v>
      </c>
      <c r="C792" s="26"/>
      <c r="D792" s="60" t="s">
        <v>2222</v>
      </c>
      <c r="E792" s="45" t="s">
        <v>2223</v>
      </c>
      <c r="F792" s="24" t="s">
        <v>43</v>
      </c>
      <c r="G792" s="44" t="s">
        <v>2224</v>
      </c>
      <c r="H792" s="4" t="s">
        <v>1263</v>
      </c>
      <c r="I792" s="36" t="s">
        <v>362</v>
      </c>
      <c r="J792" s="82" t="s">
        <v>1748</v>
      </c>
      <c r="K792" s="3" t="str">
        <f t="shared" ca="1" si="181"/>
        <v xml:space="preserve">9 Tahun 7 bulan </v>
      </c>
      <c r="L792" s="36" t="s">
        <v>200</v>
      </c>
      <c r="M792" s="82" t="s">
        <v>1748</v>
      </c>
      <c r="N792" s="3" t="str">
        <f t="shared" ca="1" si="176"/>
        <v xml:space="preserve">9 Tahun 7 bulan </v>
      </c>
      <c r="O792" s="4"/>
      <c r="P792" s="4" t="s">
        <v>35</v>
      </c>
      <c r="Q792" s="4" t="str">
        <f t="shared" si="183"/>
        <v>Laki-Laki</v>
      </c>
      <c r="R792" s="4">
        <f t="shared" si="187"/>
        <v>1</v>
      </c>
      <c r="S792" s="4" t="str">
        <f t="shared" si="189"/>
        <v>1</v>
      </c>
      <c r="T792" s="4">
        <f t="shared" si="188"/>
        <v>0</v>
      </c>
      <c r="U792" s="29"/>
      <c r="V792" s="30" t="s">
        <v>50</v>
      </c>
      <c r="W792" s="30"/>
      <c r="X792" s="30"/>
      <c r="Y792" s="30"/>
      <c r="Z792" s="30"/>
      <c r="AA792" s="30"/>
      <c r="AB792" s="29"/>
      <c r="AC792" s="29"/>
      <c r="AD792" s="37">
        <f t="shared" si="185"/>
        <v>27110</v>
      </c>
      <c r="AE792" s="3" t="str">
        <f t="shared" ca="1" si="182"/>
        <v>52 Tahun 5 bulan 10 Hari</v>
      </c>
      <c r="AF792" s="38">
        <f t="shared" si="186"/>
        <v>49035</v>
      </c>
    </row>
    <row r="793" spans="1:32" s="7" customFormat="1" ht="28.5" customHeight="1" x14ac:dyDescent="0.35">
      <c r="A793" s="26">
        <f t="shared" si="180"/>
        <v>739</v>
      </c>
      <c r="B793" s="27" t="s">
        <v>2205</v>
      </c>
      <c r="C793" s="26"/>
      <c r="D793" s="60" t="s">
        <v>2225</v>
      </c>
      <c r="E793" s="45" t="s">
        <v>2226</v>
      </c>
      <c r="F793" s="24" t="s">
        <v>43</v>
      </c>
      <c r="G793" s="44" t="s">
        <v>2227</v>
      </c>
      <c r="H793" s="4" t="s">
        <v>85</v>
      </c>
      <c r="I793" s="48" t="s">
        <v>251</v>
      </c>
      <c r="J793" s="82" t="s">
        <v>386</v>
      </c>
      <c r="K793" s="3" t="str">
        <f t="shared" ca="1" si="181"/>
        <v xml:space="preserve">5 Tahun 5 bulan </v>
      </c>
      <c r="L793" s="36" t="s">
        <v>200</v>
      </c>
      <c r="M793" s="82" t="s">
        <v>386</v>
      </c>
      <c r="N793" s="3" t="str">
        <f t="shared" ca="1" si="176"/>
        <v xml:space="preserve">5 Tahun 5 bulan </v>
      </c>
      <c r="O793" s="4"/>
      <c r="P793" s="4" t="s">
        <v>35</v>
      </c>
      <c r="Q793" s="4" t="str">
        <f t="shared" si="183"/>
        <v/>
      </c>
      <c r="R793" s="4">
        <f t="shared" si="187"/>
        <v>1</v>
      </c>
      <c r="S793" s="4" t="str">
        <f t="shared" si="189"/>
        <v>1</v>
      </c>
      <c r="T793" s="4">
        <f t="shared" si="188"/>
        <v>0</v>
      </c>
      <c r="U793" s="29"/>
      <c r="V793" s="30" t="s">
        <v>50</v>
      </c>
      <c r="W793" s="30"/>
      <c r="X793" s="30"/>
      <c r="Y793" s="30"/>
      <c r="Z793" s="30"/>
      <c r="AA793" s="30"/>
      <c r="AB793" s="29"/>
      <c r="AC793" s="29"/>
      <c r="AD793" s="37">
        <f t="shared" si="185"/>
        <v>28644</v>
      </c>
      <c r="AE793" s="3" t="str">
        <f t="shared" ca="1" si="182"/>
        <v>48 Tahun 2 bulan 29 Hari</v>
      </c>
      <c r="AF793" s="38">
        <f t="shared" si="186"/>
        <v>50587</v>
      </c>
    </row>
    <row r="794" spans="1:32" s="7" customFormat="1" ht="28.5" customHeight="1" x14ac:dyDescent="0.35">
      <c r="A794" s="26">
        <f t="shared" si="180"/>
        <v>740</v>
      </c>
      <c r="B794" s="27" t="s">
        <v>2205</v>
      </c>
      <c r="C794" s="26"/>
      <c r="D794" s="60" t="s">
        <v>2228</v>
      </c>
      <c r="E794" s="39" t="s">
        <v>2229</v>
      </c>
      <c r="F794" s="24" t="s">
        <v>43</v>
      </c>
      <c r="G794" s="40" t="s">
        <v>2230</v>
      </c>
      <c r="H794" s="4" t="s">
        <v>85</v>
      </c>
      <c r="I794" s="25" t="s">
        <v>86</v>
      </c>
      <c r="J794" s="82" t="s">
        <v>386</v>
      </c>
      <c r="K794" s="3" t="str">
        <f t="shared" ca="1" si="181"/>
        <v xml:space="preserve">5 Tahun 5 bulan </v>
      </c>
      <c r="L794" s="36" t="s">
        <v>200</v>
      </c>
      <c r="M794" s="82" t="s">
        <v>386</v>
      </c>
      <c r="N794" s="3" t="str">
        <f t="shared" ca="1" si="176"/>
        <v xml:space="preserve">5 Tahun 5 bulan </v>
      </c>
      <c r="O794" s="36"/>
      <c r="P794" s="4" t="s">
        <v>35</v>
      </c>
      <c r="Q794" s="4" t="str">
        <f t="shared" si="183"/>
        <v>Laki-Laki</v>
      </c>
      <c r="R794" s="4">
        <f t="shared" si="187"/>
        <v>1</v>
      </c>
      <c r="S794" s="4" t="str">
        <f t="shared" si="189"/>
        <v>1</v>
      </c>
      <c r="T794" s="4">
        <f t="shared" si="188"/>
        <v>0</v>
      </c>
      <c r="U794" s="29"/>
      <c r="V794" s="30" t="s">
        <v>50</v>
      </c>
      <c r="W794" s="30"/>
      <c r="X794" s="30"/>
      <c r="Y794" s="30"/>
      <c r="Z794" s="30"/>
      <c r="AA794" s="30"/>
      <c r="AB794" s="29"/>
      <c r="AC794" s="29"/>
      <c r="AD794" s="37">
        <f t="shared" si="185"/>
        <v>29068</v>
      </c>
      <c r="AE794" s="3" t="str">
        <f t="shared" ca="1" si="182"/>
        <v>47 Tahun 1 bulan 0 Hari</v>
      </c>
      <c r="AF794" s="38">
        <f t="shared" si="186"/>
        <v>51014</v>
      </c>
    </row>
    <row r="795" spans="1:32" s="7" customFormat="1" ht="24.75" customHeight="1" x14ac:dyDescent="0.35">
      <c r="A795" s="26"/>
      <c r="B795" s="27" t="s">
        <v>2231</v>
      </c>
      <c r="C795" s="280" t="s">
        <v>2232</v>
      </c>
      <c r="D795" s="281"/>
      <c r="E795" s="24"/>
      <c r="F795" s="24"/>
      <c r="G795" s="4"/>
      <c r="H795" s="4"/>
      <c r="I795" s="33"/>
      <c r="J795" s="5"/>
      <c r="K795" s="3" t="str">
        <f t="shared" ca="1" si="181"/>
        <v/>
      </c>
      <c r="L795" s="30"/>
      <c r="M795" s="5"/>
      <c r="N795" s="3" t="str">
        <f t="shared" ca="1" si="176"/>
        <v/>
      </c>
      <c r="O795" s="4"/>
      <c r="P795" s="4"/>
      <c r="Q795" s="4"/>
      <c r="R795" s="4"/>
      <c r="S795" s="4"/>
      <c r="T795" s="4"/>
      <c r="U795" s="29"/>
      <c r="V795" s="30"/>
      <c r="W795" s="30"/>
      <c r="X795" s="30"/>
      <c r="Y795" s="30"/>
      <c r="Z795" s="29"/>
      <c r="AA795" s="29"/>
      <c r="AB795" s="29"/>
      <c r="AC795" s="29"/>
      <c r="AD795" s="37" t="str">
        <f t="shared" si="185"/>
        <v/>
      </c>
      <c r="AE795" s="3" t="str">
        <f t="shared" ca="1" si="182"/>
        <v/>
      </c>
      <c r="AF795" s="38" t="str">
        <f t="shared" si="186"/>
        <v/>
      </c>
    </row>
    <row r="796" spans="1:32" s="7" customFormat="1" ht="32.15" customHeight="1" x14ac:dyDescent="0.35">
      <c r="A796" s="26">
        <f>A794+1</f>
        <v>741</v>
      </c>
      <c r="B796" s="27" t="s">
        <v>2231</v>
      </c>
      <c r="C796" s="282" t="s">
        <v>2233</v>
      </c>
      <c r="D796" s="283"/>
      <c r="E796" s="39" t="s">
        <v>1614</v>
      </c>
      <c r="F796" s="24" t="s">
        <v>43</v>
      </c>
      <c r="G796" s="3" t="s">
        <v>1615</v>
      </c>
      <c r="H796" s="4" t="s">
        <v>385</v>
      </c>
      <c r="I796" s="25" t="s">
        <v>46</v>
      </c>
      <c r="J796" s="53">
        <v>46260</v>
      </c>
      <c r="K796" s="3" t="str">
        <f t="shared" ca="1" si="181"/>
        <v xml:space="preserve">0 Tahun 0 bulan </v>
      </c>
      <c r="L796" s="36" t="s">
        <v>79</v>
      </c>
      <c r="M796" s="47" t="s">
        <v>275</v>
      </c>
      <c r="N796" s="3" t="str">
        <f t="shared" ca="1" si="176"/>
        <v xml:space="preserve">5 Tahun 10 bulan </v>
      </c>
      <c r="O796" s="35"/>
      <c r="P796" s="4" t="s">
        <v>35</v>
      </c>
      <c r="Q796" s="4" t="str">
        <f t="shared" si="183"/>
        <v>Laki-Laki</v>
      </c>
      <c r="R796" s="4">
        <f>R794</f>
        <v>1</v>
      </c>
      <c r="S796" s="4" t="str">
        <f t="shared" ref="S796:S804" si="190">IF(E796="LOWONG","0","1")</f>
        <v>1</v>
      </c>
      <c r="T796" s="4">
        <f t="shared" si="188"/>
        <v>0</v>
      </c>
      <c r="U796" s="29"/>
      <c r="V796" s="30" t="s">
        <v>50</v>
      </c>
      <c r="W796" s="30"/>
      <c r="X796" s="30"/>
      <c r="Y796" s="30"/>
      <c r="Z796" s="30"/>
      <c r="AA796" s="30"/>
      <c r="AB796" s="29"/>
      <c r="AC796" s="29"/>
      <c r="AD796" s="37">
        <f t="shared" si="185"/>
        <v>28921</v>
      </c>
      <c r="AE796" s="3" t="str">
        <f t="shared" ca="1" si="182"/>
        <v>47 Tahun 5 bulan 25 Hari</v>
      </c>
      <c r="AF796" s="38">
        <f t="shared" si="186"/>
        <v>50861</v>
      </c>
    </row>
    <row r="797" spans="1:32" s="7" customFormat="1" ht="32.15" customHeight="1" x14ac:dyDescent="0.35">
      <c r="A797" s="26">
        <f t="shared" si="180"/>
        <v>742</v>
      </c>
      <c r="B797" s="27" t="s">
        <v>2231</v>
      </c>
      <c r="C797" s="282" t="s">
        <v>2234</v>
      </c>
      <c r="D797" s="283"/>
      <c r="E797" s="24" t="s">
        <v>2235</v>
      </c>
      <c r="F797" s="24" t="s">
        <v>43</v>
      </c>
      <c r="G797" s="44" t="s">
        <v>2236</v>
      </c>
      <c r="H797" s="36" t="s">
        <v>259</v>
      </c>
      <c r="I797" s="36" t="s">
        <v>86</v>
      </c>
      <c r="J797" s="47" t="s">
        <v>127</v>
      </c>
      <c r="K797" s="3" t="str">
        <f t="shared" ca="1" si="181"/>
        <v xml:space="preserve">5 Tahun 6 bulan </v>
      </c>
      <c r="L797" s="36" t="s">
        <v>346</v>
      </c>
      <c r="M797" s="47" t="s">
        <v>127</v>
      </c>
      <c r="N797" s="3" t="str">
        <f t="shared" ca="1" si="176"/>
        <v xml:space="preserve">5 Tahun 6 bulan </v>
      </c>
      <c r="O797" s="4"/>
      <c r="P797" s="4" t="s">
        <v>35</v>
      </c>
      <c r="Q797" s="4" t="str">
        <f t="shared" si="183"/>
        <v>Laki-Laki</v>
      </c>
      <c r="R797" s="4">
        <f t="shared" si="187"/>
        <v>1</v>
      </c>
      <c r="S797" s="4" t="str">
        <f t="shared" si="190"/>
        <v>1</v>
      </c>
      <c r="T797" s="4">
        <f t="shared" si="188"/>
        <v>0</v>
      </c>
      <c r="U797" s="29"/>
      <c r="V797" s="30" t="s">
        <v>50</v>
      </c>
      <c r="W797" s="30"/>
      <c r="X797" s="30"/>
      <c r="Y797" s="30"/>
      <c r="Z797" s="30"/>
      <c r="AA797" s="30"/>
      <c r="AB797" s="29"/>
      <c r="AC797" s="29"/>
      <c r="AD797" s="37">
        <f t="shared" si="185"/>
        <v>27254</v>
      </c>
      <c r="AE797" s="3" t="str">
        <f t="shared" ca="1" si="182"/>
        <v>52 Tahun 0 bulan 19 Hari</v>
      </c>
      <c r="AF797" s="38">
        <f t="shared" si="186"/>
        <v>49188</v>
      </c>
    </row>
    <row r="798" spans="1:32" s="7" customFormat="1" ht="30" customHeight="1" x14ac:dyDescent="0.35">
      <c r="A798" s="26">
        <f t="shared" si="180"/>
        <v>743</v>
      </c>
      <c r="B798" s="27" t="s">
        <v>2231</v>
      </c>
      <c r="C798" s="26"/>
      <c r="D798" s="111" t="s">
        <v>2237</v>
      </c>
      <c r="E798" s="24" t="s">
        <v>2238</v>
      </c>
      <c r="F798" s="24" t="s">
        <v>43</v>
      </c>
      <c r="G798" s="3" t="s">
        <v>2239</v>
      </c>
      <c r="H798" s="56" t="s">
        <v>574</v>
      </c>
      <c r="I798" s="36" t="s">
        <v>2240</v>
      </c>
      <c r="J798" s="82" t="s">
        <v>1748</v>
      </c>
      <c r="K798" s="3" t="str">
        <f t="shared" ca="1" si="181"/>
        <v xml:space="preserve">9 Tahun 7 bulan </v>
      </c>
      <c r="L798" s="36" t="s">
        <v>1749</v>
      </c>
      <c r="M798" s="82" t="s">
        <v>1748</v>
      </c>
      <c r="N798" s="3" t="str">
        <f t="shared" ca="1" si="176"/>
        <v xml:space="preserve">9 Tahun 7 bulan </v>
      </c>
      <c r="O798" s="36"/>
      <c r="P798" s="4" t="s">
        <v>35</v>
      </c>
      <c r="Q798" s="4" t="str">
        <f t="shared" si="183"/>
        <v>Laki-Laki</v>
      </c>
      <c r="R798" s="4">
        <f t="shared" si="187"/>
        <v>1</v>
      </c>
      <c r="S798" s="4" t="str">
        <f t="shared" si="190"/>
        <v>1</v>
      </c>
      <c r="T798" s="4">
        <f t="shared" si="188"/>
        <v>0</v>
      </c>
      <c r="U798" s="29"/>
      <c r="V798" s="30" t="s">
        <v>50</v>
      </c>
      <c r="W798" s="30"/>
      <c r="X798" s="30"/>
      <c r="Y798" s="30"/>
      <c r="Z798" s="30"/>
      <c r="AA798" s="30"/>
      <c r="AB798" s="29"/>
      <c r="AC798" s="29"/>
      <c r="AD798" s="37">
        <f t="shared" si="185"/>
        <v>25637</v>
      </c>
      <c r="AE798" s="3" t="str">
        <f t="shared" ca="1" si="182"/>
        <v>56 Tahun 5 bulan 22 Hari</v>
      </c>
      <c r="AF798" s="38">
        <f t="shared" si="186"/>
        <v>47574</v>
      </c>
    </row>
    <row r="799" spans="1:32" s="7" customFormat="1" ht="30" customHeight="1" x14ac:dyDescent="0.35">
      <c r="A799" s="26">
        <f t="shared" si="180"/>
        <v>744</v>
      </c>
      <c r="B799" s="27" t="s">
        <v>2231</v>
      </c>
      <c r="C799" s="26"/>
      <c r="D799" s="111" t="s">
        <v>2241</v>
      </c>
      <c r="E799" s="45" t="s">
        <v>2242</v>
      </c>
      <c r="F799" s="24" t="s">
        <v>43</v>
      </c>
      <c r="G799" s="44" t="s">
        <v>2243</v>
      </c>
      <c r="H799" s="56" t="s">
        <v>687</v>
      </c>
      <c r="I799" s="48" t="s">
        <v>118</v>
      </c>
      <c r="J799" s="82" t="s">
        <v>1754</v>
      </c>
      <c r="K799" s="3" t="str">
        <f t="shared" ca="1" si="181"/>
        <v xml:space="preserve">4 Tahun 10 bulan </v>
      </c>
      <c r="L799" s="36" t="s">
        <v>1749</v>
      </c>
      <c r="M799" s="82" t="s">
        <v>1754</v>
      </c>
      <c r="N799" s="3" t="str">
        <f t="shared" ca="1" si="176"/>
        <v xml:space="preserve">4 Tahun 10 bulan </v>
      </c>
      <c r="O799" s="36"/>
      <c r="P799" s="4" t="s">
        <v>35</v>
      </c>
      <c r="Q799" s="4" t="str">
        <f t="shared" si="183"/>
        <v>Laki-Laki</v>
      </c>
      <c r="R799" s="4">
        <f t="shared" si="187"/>
        <v>1</v>
      </c>
      <c r="S799" s="4" t="str">
        <f t="shared" si="190"/>
        <v>1</v>
      </c>
      <c r="T799" s="4">
        <f t="shared" si="188"/>
        <v>0</v>
      </c>
      <c r="U799" s="29"/>
      <c r="V799" s="30" t="s">
        <v>50</v>
      </c>
      <c r="W799" s="30"/>
      <c r="X799" s="30"/>
      <c r="Y799" s="30"/>
      <c r="Z799" s="30"/>
      <c r="AA799" s="30"/>
      <c r="AB799" s="29"/>
      <c r="AC799" s="29"/>
      <c r="AD799" s="37">
        <f t="shared" si="185"/>
        <v>30163</v>
      </c>
      <c r="AE799" s="3" t="str">
        <f t="shared" ca="1" si="182"/>
        <v>44 Tahun 1 bulan 1 Hari</v>
      </c>
      <c r="AF799" s="38">
        <f t="shared" si="186"/>
        <v>52079</v>
      </c>
    </row>
    <row r="800" spans="1:32" s="7" customFormat="1" ht="30" customHeight="1" x14ac:dyDescent="0.35">
      <c r="A800" s="26">
        <f t="shared" si="180"/>
        <v>745</v>
      </c>
      <c r="B800" s="27" t="s">
        <v>2231</v>
      </c>
      <c r="C800" s="26"/>
      <c r="D800" s="245" t="s">
        <v>2244</v>
      </c>
      <c r="E800" s="45" t="s">
        <v>108</v>
      </c>
      <c r="F800" s="24"/>
      <c r="G800" s="44"/>
      <c r="H800" s="4"/>
      <c r="I800" s="4"/>
      <c r="J800" s="82"/>
      <c r="K800" s="3" t="str">
        <f t="shared" ca="1" si="181"/>
        <v/>
      </c>
      <c r="L800" s="36" t="s">
        <v>200</v>
      </c>
      <c r="M800" s="82"/>
      <c r="N800" s="3" t="str">
        <f t="shared" ca="1" si="176"/>
        <v/>
      </c>
      <c r="O800" s="4"/>
      <c r="P800" s="4" t="s">
        <v>35</v>
      </c>
      <c r="Q800" s="4" t="str">
        <f t="shared" si="183"/>
        <v/>
      </c>
      <c r="R800" s="4">
        <f t="shared" si="187"/>
        <v>1</v>
      </c>
      <c r="S800" s="4" t="str">
        <f t="shared" si="190"/>
        <v>0</v>
      </c>
      <c r="T800" s="4">
        <f t="shared" si="188"/>
        <v>1</v>
      </c>
      <c r="U800" s="29"/>
      <c r="V800" s="30" t="s">
        <v>50</v>
      </c>
      <c r="W800" s="30"/>
      <c r="X800" s="30"/>
      <c r="Y800" s="30"/>
      <c r="Z800" s="30"/>
      <c r="AA800" s="30"/>
      <c r="AB800" s="29"/>
      <c r="AC800" s="29"/>
      <c r="AD800" s="37" t="str">
        <f t="shared" si="185"/>
        <v/>
      </c>
      <c r="AE800" s="3" t="str">
        <f t="shared" ca="1" si="182"/>
        <v/>
      </c>
      <c r="AF800" s="38" t="str">
        <f t="shared" si="186"/>
        <v/>
      </c>
    </row>
    <row r="801" spans="1:32" s="7" customFormat="1" ht="30" customHeight="1" x14ac:dyDescent="0.35">
      <c r="A801" s="26">
        <f t="shared" si="180"/>
        <v>746</v>
      </c>
      <c r="B801" s="27" t="s">
        <v>2231</v>
      </c>
      <c r="C801" s="26"/>
      <c r="D801" s="60" t="s">
        <v>2245</v>
      </c>
      <c r="E801" s="45" t="s">
        <v>2246</v>
      </c>
      <c r="F801" s="24" t="s">
        <v>43</v>
      </c>
      <c r="G801" s="44" t="s">
        <v>2247</v>
      </c>
      <c r="H801" s="4" t="s">
        <v>472</v>
      </c>
      <c r="I801" s="48" t="s">
        <v>86</v>
      </c>
      <c r="J801" s="82" t="s">
        <v>1748</v>
      </c>
      <c r="K801" s="3" t="str">
        <f t="shared" ca="1" si="181"/>
        <v xml:space="preserve">9 Tahun 7 bulan </v>
      </c>
      <c r="L801" s="36" t="s">
        <v>200</v>
      </c>
      <c r="M801" s="82" t="s">
        <v>1748</v>
      </c>
      <c r="N801" s="3" t="str">
        <f t="shared" ca="1" si="176"/>
        <v xml:space="preserve">9 Tahun 7 bulan </v>
      </c>
      <c r="O801" s="36"/>
      <c r="P801" s="4" t="s">
        <v>35</v>
      </c>
      <c r="Q801" s="4" t="str">
        <f t="shared" si="183"/>
        <v>Perempuan</v>
      </c>
      <c r="R801" s="4">
        <f t="shared" si="187"/>
        <v>1</v>
      </c>
      <c r="S801" s="4" t="str">
        <f t="shared" si="190"/>
        <v>1</v>
      </c>
      <c r="T801" s="4">
        <f t="shared" si="188"/>
        <v>0</v>
      </c>
      <c r="U801" s="29"/>
      <c r="V801" s="30"/>
      <c r="W801" s="30"/>
      <c r="X801" s="30"/>
      <c r="Y801" s="30"/>
      <c r="Z801" s="30"/>
      <c r="AA801" s="30"/>
      <c r="AB801" s="29"/>
      <c r="AC801" s="29"/>
      <c r="AD801" s="37">
        <f t="shared" si="185"/>
        <v>26700</v>
      </c>
      <c r="AE801" s="3" t="str">
        <f t="shared" ca="1" si="182"/>
        <v>53 Tahun 6 bulan 27 Hari</v>
      </c>
      <c r="AF801" s="38">
        <f t="shared" si="186"/>
        <v>48639</v>
      </c>
    </row>
    <row r="802" spans="1:32" s="7" customFormat="1" ht="30" customHeight="1" x14ac:dyDescent="0.35">
      <c r="A802" s="26">
        <f t="shared" si="180"/>
        <v>747</v>
      </c>
      <c r="B802" s="27" t="s">
        <v>2231</v>
      </c>
      <c r="C802" s="26"/>
      <c r="D802" s="60" t="s">
        <v>2248</v>
      </c>
      <c r="E802" s="45" t="s">
        <v>2249</v>
      </c>
      <c r="F802" s="24" t="s">
        <v>43</v>
      </c>
      <c r="G802" s="44"/>
      <c r="H802" s="4"/>
      <c r="I802" s="4"/>
      <c r="J802" s="112" t="s">
        <v>898</v>
      </c>
      <c r="K802" s="3" t="str">
        <f t="shared" ca="1" si="181"/>
        <v xml:space="preserve">0 Tahun 8 bulan </v>
      </c>
      <c r="L802" s="36" t="s">
        <v>200</v>
      </c>
      <c r="M802" s="118"/>
      <c r="N802" s="3" t="str">
        <f t="shared" ca="1" si="176"/>
        <v/>
      </c>
      <c r="O802" s="4"/>
      <c r="P802" s="4"/>
      <c r="Q802" s="4" t="str">
        <f t="shared" si="183"/>
        <v/>
      </c>
      <c r="R802" s="4">
        <f t="shared" si="187"/>
        <v>1</v>
      </c>
      <c r="S802" s="4" t="str">
        <f t="shared" si="190"/>
        <v>1</v>
      </c>
      <c r="T802" s="4">
        <f t="shared" si="188"/>
        <v>0</v>
      </c>
      <c r="U802" s="29"/>
      <c r="V802" s="30" t="s">
        <v>50</v>
      </c>
      <c r="W802" s="30"/>
      <c r="X802" s="30"/>
      <c r="Y802" s="30"/>
      <c r="Z802" s="30"/>
      <c r="AA802" s="30"/>
      <c r="AB802" s="29"/>
      <c r="AC802" s="29"/>
      <c r="AD802" s="37" t="str">
        <f t="shared" si="185"/>
        <v/>
      </c>
      <c r="AE802" s="3" t="str">
        <f t="shared" ca="1" si="182"/>
        <v/>
      </c>
      <c r="AF802" s="38" t="str">
        <f t="shared" si="186"/>
        <v/>
      </c>
    </row>
    <row r="803" spans="1:32" s="7" customFormat="1" ht="30" customHeight="1" x14ac:dyDescent="0.35">
      <c r="A803" s="26">
        <f t="shared" si="180"/>
        <v>748</v>
      </c>
      <c r="B803" s="27" t="s">
        <v>2231</v>
      </c>
      <c r="C803" s="26"/>
      <c r="D803" s="60" t="s">
        <v>2250</v>
      </c>
      <c r="E803" s="45" t="s">
        <v>2943</v>
      </c>
      <c r="F803" s="45" t="s">
        <v>43</v>
      </c>
      <c r="G803" s="36" t="s">
        <v>2944</v>
      </c>
      <c r="H803" s="4" t="s">
        <v>1092</v>
      </c>
      <c r="I803" s="36"/>
      <c r="J803" s="112">
        <v>45993</v>
      </c>
      <c r="K803" s="3" t="str">
        <f t="shared" ca="1" si="181"/>
        <v xml:space="preserve">0 Tahun 8 bulan </v>
      </c>
      <c r="L803" s="36" t="s">
        <v>200</v>
      </c>
      <c r="M803" s="118"/>
      <c r="N803" s="3" t="str">
        <f t="shared" ca="1" si="176"/>
        <v/>
      </c>
      <c r="O803" s="36"/>
      <c r="P803" s="4"/>
      <c r="Q803" s="4" t="str">
        <f t="shared" si="183"/>
        <v>Laki-Laki</v>
      </c>
      <c r="R803" s="4">
        <f t="shared" si="187"/>
        <v>1</v>
      </c>
      <c r="S803" s="4" t="str">
        <f t="shared" si="190"/>
        <v>1</v>
      </c>
      <c r="T803" s="4">
        <f t="shared" si="188"/>
        <v>0</v>
      </c>
      <c r="U803" s="29"/>
      <c r="V803" s="30" t="s">
        <v>50</v>
      </c>
      <c r="W803" s="30"/>
      <c r="X803" s="30"/>
      <c r="Y803" s="30"/>
      <c r="Z803" s="30"/>
      <c r="AA803" s="30"/>
      <c r="AB803" s="29"/>
      <c r="AC803" s="29"/>
      <c r="AD803" s="37">
        <f t="shared" si="185"/>
        <v>26832</v>
      </c>
      <c r="AE803" s="3" t="str">
        <f t="shared" ca="1" si="182"/>
        <v>53 Tahun 2 bulan 15 Hari</v>
      </c>
      <c r="AF803" s="38">
        <f t="shared" si="186"/>
        <v>48761</v>
      </c>
    </row>
    <row r="804" spans="1:32" s="7" customFormat="1" ht="30" customHeight="1" x14ac:dyDescent="0.35">
      <c r="A804" s="26">
        <f t="shared" si="180"/>
        <v>749</v>
      </c>
      <c r="B804" s="27" t="s">
        <v>2231</v>
      </c>
      <c r="C804" s="26"/>
      <c r="D804" s="60" t="s">
        <v>2251</v>
      </c>
      <c r="E804" s="71" t="s">
        <v>2914</v>
      </c>
      <c r="F804" s="71" t="s">
        <v>43</v>
      </c>
      <c r="G804" s="70" t="s">
        <v>2915</v>
      </c>
      <c r="H804" s="56" t="s">
        <v>2662</v>
      </c>
      <c r="I804" s="56" t="s">
        <v>2916</v>
      </c>
      <c r="J804" s="115">
        <v>46087</v>
      </c>
      <c r="K804" s="3" t="str">
        <f t="shared" ca="1" si="181"/>
        <v xml:space="preserve">0 Tahun 5 bulan </v>
      </c>
      <c r="L804" s="36" t="s">
        <v>200</v>
      </c>
      <c r="M804" s="115">
        <v>46087</v>
      </c>
      <c r="N804" s="3" t="str">
        <f t="shared" ca="1" si="176"/>
        <v xml:space="preserve">0 Tahun 5 bulan </v>
      </c>
      <c r="O804" s="36"/>
      <c r="P804" s="4"/>
      <c r="Q804" s="4" t="str">
        <f t="shared" si="183"/>
        <v>Laki-Laki</v>
      </c>
      <c r="R804" s="4">
        <f t="shared" si="187"/>
        <v>1</v>
      </c>
      <c r="S804" s="4" t="str">
        <f t="shared" si="190"/>
        <v>1</v>
      </c>
      <c r="T804" s="4">
        <f t="shared" si="188"/>
        <v>0</v>
      </c>
      <c r="U804" s="29"/>
      <c r="V804" s="30" t="s">
        <v>50</v>
      </c>
      <c r="W804" s="30"/>
      <c r="X804" s="30"/>
      <c r="Y804" s="30"/>
      <c r="Z804" s="30"/>
      <c r="AA804" s="30"/>
      <c r="AB804" s="29"/>
      <c r="AC804" s="29"/>
      <c r="AD804" s="37">
        <f t="shared" si="185"/>
        <v>28833</v>
      </c>
      <c r="AE804" s="3" t="str">
        <f t="shared" ca="1" si="182"/>
        <v>47 Tahun 8 bulan 23 Hari</v>
      </c>
      <c r="AF804" s="38">
        <f t="shared" si="186"/>
        <v>50771</v>
      </c>
    </row>
    <row r="805" spans="1:32" s="7" customFormat="1" ht="26.25" customHeight="1" x14ac:dyDescent="0.35">
      <c r="A805" s="26"/>
      <c r="B805" s="27" t="s">
        <v>2252</v>
      </c>
      <c r="C805" s="280" t="s">
        <v>3048</v>
      </c>
      <c r="D805" s="281"/>
      <c r="E805" s="24"/>
      <c r="F805" s="24"/>
      <c r="G805" s="4"/>
      <c r="H805" s="4"/>
      <c r="I805" s="33"/>
      <c r="J805" s="5"/>
      <c r="K805" s="3" t="str">
        <f t="shared" ca="1" si="181"/>
        <v/>
      </c>
      <c r="L805" s="30"/>
      <c r="M805" s="5"/>
      <c r="N805" s="3" t="str">
        <f t="shared" ca="1" si="176"/>
        <v/>
      </c>
      <c r="O805" s="4"/>
      <c r="P805" s="4"/>
      <c r="Q805" s="4"/>
      <c r="R805" s="4"/>
      <c r="S805" s="4"/>
      <c r="T805" s="4"/>
      <c r="U805" s="29"/>
      <c r="V805" s="30"/>
      <c r="W805" s="30"/>
      <c r="X805" s="30"/>
      <c r="Y805" s="30"/>
      <c r="Z805" s="29"/>
      <c r="AA805" s="29"/>
      <c r="AB805" s="29"/>
      <c r="AC805" s="29"/>
      <c r="AD805" s="37" t="str">
        <f t="shared" si="185"/>
        <v/>
      </c>
      <c r="AE805" s="3" t="str">
        <f t="shared" ca="1" si="182"/>
        <v/>
      </c>
      <c r="AF805" s="38" t="str">
        <f t="shared" si="186"/>
        <v/>
      </c>
    </row>
    <row r="806" spans="1:32" s="7" customFormat="1" ht="30" customHeight="1" x14ac:dyDescent="0.35">
      <c r="A806" s="26">
        <f>A804+1</f>
        <v>750</v>
      </c>
      <c r="B806" s="27" t="s">
        <v>2252</v>
      </c>
      <c r="C806" s="282" t="s">
        <v>3049</v>
      </c>
      <c r="D806" s="283"/>
      <c r="E806" s="24" t="s">
        <v>2102</v>
      </c>
      <c r="F806" s="24" t="s">
        <v>43</v>
      </c>
      <c r="G806" s="3" t="s">
        <v>2814</v>
      </c>
      <c r="H806" s="4" t="s">
        <v>2855</v>
      </c>
      <c r="I806" s="4" t="s">
        <v>2821</v>
      </c>
      <c r="J806" s="5">
        <v>46260</v>
      </c>
      <c r="K806" s="3" t="str">
        <f t="shared" ca="1" si="181"/>
        <v xml:space="preserve">0 Tahun 0 bulan </v>
      </c>
      <c r="L806" s="36" t="s">
        <v>79</v>
      </c>
      <c r="M806" s="5"/>
      <c r="N806" s="3" t="str">
        <f t="shared" ca="1" si="176"/>
        <v/>
      </c>
      <c r="O806" s="36"/>
      <c r="P806" s="4" t="s">
        <v>35</v>
      </c>
      <c r="Q806" s="4" t="str">
        <f t="shared" si="183"/>
        <v>Laki-Laki</v>
      </c>
      <c r="R806" s="4">
        <v>1</v>
      </c>
      <c r="S806" s="4" t="str">
        <f t="shared" ref="S806:S814" si="191">IF(E806="LOWONG","0","1")</f>
        <v>1</v>
      </c>
      <c r="T806" s="4">
        <f t="shared" si="188"/>
        <v>0</v>
      </c>
      <c r="U806" s="29"/>
      <c r="V806" s="30" t="s">
        <v>50</v>
      </c>
      <c r="W806" s="30"/>
      <c r="X806" s="30"/>
      <c r="Y806" s="30"/>
      <c r="Z806" s="30"/>
      <c r="AA806" s="30"/>
      <c r="AB806" s="29"/>
      <c r="AC806" s="29"/>
      <c r="AD806" s="37">
        <f t="shared" si="185"/>
        <v>26857</v>
      </c>
      <c r="AE806" s="3" t="str">
        <f t="shared" ca="1" si="182"/>
        <v>53 Tahun 1 bulan 20 Hari</v>
      </c>
      <c r="AF806" s="38">
        <f t="shared" si="186"/>
        <v>48792</v>
      </c>
    </row>
    <row r="807" spans="1:32" s="7" customFormat="1" ht="30" customHeight="1" x14ac:dyDescent="0.35">
      <c r="A807" s="26">
        <f t="shared" si="180"/>
        <v>751</v>
      </c>
      <c r="B807" s="27" t="s">
        <v>2252</v>
      </c>
      <c r="C807" s="282" t="s">
        <v>2255</v>
      </c>
      <c r="D807" s="283"/>
      <c r="E807" s="24" t="s">
        <v>1743</v>
      </c>
      <c r="F807" s="24" t="s">
        <v>43</v>
      </c>
      <c r="G807" s="3" t="s">
        <v>1744</v>
      </c>
      <c r="H807" s="4" t="s">
        <v>841</v>
      </c>
      <c r="I807" s="4" t="s">
        <v>86</v>
      </c>
      <c r="J807" s="5">
        <v>46260</v>
      </c>
      <c r="K807" s="3" t="str">
        <f t="shared" ca="1" si="181"/>
        <v xml:space="preserve">0 Tahun 0 bulan </v>
      </c>
      <c r="L807" s="30" t="s">
        <v>346</v>
      </c>
      <c r="M807" s="5" t="s">
        <v>940</v>
      </c>
      <c r="N807" s="3" t="str">
        <f t="shared" ca="1" si="176"/>
        <v xml:space="preserve">4 Tahun 2 bulan </v>
      </c>
      <c r="O807" s="4"/>
      <c r="P807" s="4" t="s">
        <v>35</v>
      </c>
      <c r="Q807" s="4" t="str">
        <f t="shared" si="183"/>
        <v>Laki-Laki</v>
      </c>
      <c r="R807" s="4">
        <v>1</v>
      </c>
      <c r="S807" s="4" t="str">
        <f t="shared" si="191"/>
        <v>1</v>
      </c>
      <c r="T807" s="4">
        <f t="shared" si="188"/>
        <v>0</v>
      </c>
      <c r="U807" s="29"/>
      <c r="V807" s="30" t="s">
        <v>50</v>
      </c>
      <c r="W807" s="30"/>
      <c r="X807" s="30"/>
      <c r="Y807" s="30"/>
      <c r="Z807" s="30"/>
      <c r="AA807" s="30"/>
      <c r="AB807" s="29"/>
      <c r="AC807" s="29"/>
      <c r="AD807" s="37">
        <f t="shared" si="185"/>
        <v>30182</v>
      </c>
      <c r="AE807" s="3" t="str">
        <f t="shared" ca="1" si="182"/>
        <v>44 Tahun 0 bulan 13 Hari</v>
      </c>
      <c r="AF807" s="38">
        <f t="shared" si="186"/>
        <v>52110</v>
      </c>
    </row>
    <row r="808" spans="1:32" s="7" customFormat="1" ht="30" customHeight="1" x14ac:dyDescent="0.35">
      <c r="A808" s="26">
        <f t="shared" si="180"/>
        <v>752</v>
      </c>
      <c r="B808" s="27" t="s">
        <v>2252</v>
      </c>
      <c r="C808" s="26"/>
      <c r="D808" s="111" t="s">
        <v>2258</v>
      </c>
      <c r="E808" s="24" t="s">
        <v>2259</v>
      </c>
      <c r="F808" s="24" t="s">
        <v>43</v>
      </c>
      <c r="G808" s="44" t="s">
        <v>2260</v>
      </c>
      <c r="H808" s="36" t="s">
        <v>159</v>
      </c>
      <c r="I808" s="36" t="s">
        <v>86</v>
      </c>
      <c r="J808" s="82" t="s">
        <v>292</v>
      </c>
      <c r="K808" s="3" t="str">
        <f t="shared" ca="1" si="181"/>
        <v xml:space="preserve">7 Tahun 7 bulan </v>
      </c>
      <c r="L808" s="36" t="s">
        <v>1749</v>
      </c>
      <c r="M808" s="82" t="s">
        <v>292</v>
      </c>
      <c r="N808" s="3" t="str">
        <f t="shared" ca="1" si="176"/>
        <v xml:space="preserve">7 Tahun 7 bulan </v>
      </c>
      <c r="O808" s="36"/>
      <c r="P808" s="4" t="s">
        <v>35</v>
      </c>
      <c r="Q808" s="4" t="str">
        <f t="shared" si="183"/>
        <v>Laki-Laki</v>
      </c>
      <c r="R808" s="4">
        <f t="shared" si="187"/>
        <v>1</v>
      </c>
      <c r="S808" s="4" t="str">
        <f t="shared" si="191"/>
        <v>1</v>
      </c>
      <c r="T808" s="4">
        <f t="shared" si="188"/>
        <v>0</v>
      </c>
      <c r="U808" s="29"/>
      <c r="V808" s="30" t="s">
        <v>50</v>
      </c>
      <c r="W808" s="30"/>
      <c r="X808" s="30"/>
      <c r="Y808" s="30"/>
      <c r="Z808" s="30"/>
      <c r="AA808" s="30"/>
      <c r="AB808" s="29"/>
      <c r="AC808" s="29"/>
      <c r="AD808" s="37">
        <f t="shared" si="185"/>
        <v>28092</v>
      </c>
      <c r="AE808" s="3" t="str">
        <f t="shared" ca="1" si="182"/>
        <v>49 Tahun 9 bulan 4 Hari</v>
      </c>
      <c r="AF808" s="38">
        <f t="shared" si="186"/>
        <v>50010</v>
      </c>
    </row>
    <row r="809" spans="1:32" s="7" customFormat="1" ht="30" customHeight="1" x14ac:dyDescent="0.35">
      <c r="A809" s="26">
        <f t="shared" si="180"/>
        <v>753</v>
      </c>
      <c r="B809" s="27" t="s">
        <v>2252</v>
      </c>
      <c r="C809" s="26"/>
      <c r="D809" s="111" t="s">
        <v>2261</v>
      </c>
      <c r="E809" s="45" t="s">
        <v>2262</v>
      </c>
      <c r="F809" s="24" t="s">
        <v>43</v>
      </c>
      <c r="G809" s="36" t="s">
        <v>2263</v>
      </c>
      <c r="H809" s="4" t="s">
        <v>85</v>
      </c>
      <c r="I809" s="36" t="s">
        <v>67</v>
      </c>
      <c r="J809" s="44" t="s">
        <v>501</v>
      </c>
      <c r="K809" s="3" t="str">
        <f t="shared" ca="1" si="181"/>
        <v xml:space="preserve">5 Tahun 2 bulan </v>
      </c>
      <c r="L809" s="36" t="s">
        <v>1749</v>
      </c>
      <c r="M809" s="44" t="s">
        <v>501</v>
      </c>
      <c r="N809" s="3" t="str">
        <f t="shared" ca="1" si="176"/>
        <v xml:space="preserve">5 Tahun 2 bulan </v>
      </c>
      <c r="O809" s="36"/>
      <c r="P809" s="36" t="s">
        <v>35</v>
      </c>
      <c r="Q809" s="4" t="str">
        <f t="shared" si="183"/>
        <v>Laki-Laki</v>
      </c>
      <c r="R809" s="4">
        <f t="shared" si="187"/>
        <v>1</v>
      </c>
      <c r="S809" s="4" t="str">
        <f t="shared" si="191"/>
        <v>1</v>
      </c>
      <c r="T809" s="4">
        <f t="shared" si="188"/>
        <v>0</v>
      </c>
      <c r="U809" s="29"/>
      <c r="V809" s="30" t="s">
        <v>50</v>
      </c>
      <c r="W809" s="30"/>
      <c r="X809" s="30"/>
      <c r="Y809" s="30"/>
      <c r="Z809" s="30"/>
      <c r="AA809" s="30"/>
      <c r="AB809" s="29"/>
      <c r="AC809" s="29"/>
      <c r="AD809" s="37">
        <f t="shared" si="185"/>
        <v>30109</v>
      </c>
      <c r="AE809" s="3" t="str">
        <f t="shared" ca="1" si="182"/>
        <v>44 Tahun 2 bulan 25 Hari</v>
      </c>
      <c r="AF809" s="38">
        <f t="shared" si="186"/>
        <v>52048</v>
      </c>
    </row>
    <row r="810" spans="1:32" s="7" customFormat="1" ht="30" customHeight="1" x14ac:dyDescent="0.35">
      <c r="A810" s="26">
        <f t="shared" si="180"/>
        <v>754</v>
      </c>
      <c r="B810" s="27" t="s">
        <v>2252</v>
      </c>
      <c r="C810" s="26"/>
      <c r="D810" s="60" t="s">
        <v>2264</v>
      </c>
      <c r="E810" s="45" t="s">
        <v>2265</v>
      </c>
      <c r="F810" s="24" t="s">
        <v>43</v>
      </c>
      <c r="G810" s="36" t="s">
        <v>2266</v>
      </c>
      <c r="H810" s="4" t="s">
        <v>1853</v>
      </c>
      <c r="I810" s="36" t="s">
        <v>1386</v>
      </c>
      <c r="J810" s="44" t="s">
        <v>363</v>
      </c>
      <c r="K810" s="3" t="str">
        <f t="shared" ca="1" si="181"/>
        <v xml:space="preserve">4 Tahun 6 bulan </v>
      </c>
      <c r="L810" s="36" t="s">
        <v>200</v>
      </c>
      <c r="M810" s="44" t="s">
        <v>363</v>
      </c>
      <c r="N810" s="3" t="str">
        <f t="shared" ca="1" si="176"/>
        <v xml:space="preserve">4 Tahun 6 bulan </v>
      </c>
      <c r="O810" s="36"/>
      <c r="P810" s="36" t="s">
        <v>35</v>
      </c>
      <c r="Q810" s="4" t="str">
        <f t="shared" si="183"/>
        <v>Laki-Laki</v>
      </c>
      <c r="R810" s="4">
        <f t="shared" si="187"/>
        <v>1</v>
      </c>
      <c r="S810" s="4" t="str">
        <f t="shared" si="191"/>
        <v>1</v>
      </c>
      <c r="T810" s="4">
        <f t="shared" si="188"/>
        <v>0</v>
      </c>
      <c r="U810" s="29"/>
      <c r="V810" s="30" t="s">
        <v>50</v>
      </c>
      <c r="W810" s="30"/>
      <c r="X810" s="30"/>
      <c r="Y810" s="30"/>
      <c r="Z810" s="30"/>
      <c r="AA810" s="30"/>
      <c r="AB810" s="29"/>
      <c r="AC810" s="29"/>
      <c r="AD810" s="37">
        <f t="shared" si="185"/>
        <v>26593</v>
      </c>
      <c r="AE810" s="3" t="str">
        <f t="shared" ca="1" si="182"/>
        <v>53 Tahun 10 bulan 11 Hari</v>
      </c>
      <c r="AF810" s="38">
        <f t="shared" si="186"/>
        <v>48519</v>
      </c>
    </row>
    <row r="811" spans="1:32" s="7" customFormat="1" ht="30" customHeight="1" x14ac:dyDescent="0.35">
      <c r="A811" s="26">
        <f t="shared" si="180"/>
        <v>755</v>
      </c>
      <c r="B811" s="27" t="s">
        <v>2252</v>
      </c>
      <c r="C811" s="26"/>
      <c r="D811" s="60" t="s">
        <v>2267</v>
      </c>
      <c r="E811" s="24" t="s">
        <v>2268</v>
      </c>
      <c r="F811" s="24" t="s">
        <v>43</v>
      </c>
      <c r="G811" s="36" t="s">
        <v>2269</v>
      </c>
      <c r="H811" s="4" t="s">
        <v>135</v>
      </c>
      <c r="I811" s="36" t="s">
        <v>86</v>
      </c>
      <c r="J811" s="44" t="s">
        <v>338</v>
      </c>
      <c r="K811" s="3" t="str">
        <f t="shared" ca="1" si="181"/>
        <v xml:space="preserve">2 Tahun 11 bulan </v>
      </c>
      <c r="L811" s="36" t="s">
        <v>200</v>
      </c>
      <c r="M811" s="44" t="s">
        <v>338</v>
      </c>
      <c r="N811" s="3" t="str">
        <f t="shared" ca="1" si="176"/>
        <v xml:space="preserve">2 Tahun 11 bulan </v>
      </c>
      <c r="O811" s="36"/>
      <c r="P811" s="36" t="s">
        <v>35</v>
      </c>
      <c r="Q811" s="4" t="str">
        <f t="shared" si="183"/>
        <v>Laki-Laki</v>
      </c>
      <c r="R811" s="4">
        <f t="shared" si="187"/>
        <v>1</v>
      </c>
      <c r="S811" s="4" t="str">
        <f t="shared" si="191"/>
        <v>1</v>
      </c>
      <c r="T811" s="4">
        <f t="shared" si="188"/>
        <v>0</v>
      </c>
      <c r="U811" s="29"/>
      <c r="V811" s="30" t="s">
        <v>50</v>
      </c>
      <c r="W811" s="30"/>
      <c r="X811" s="30"/>
      <c r="Y811" s="30"/>
      <c r="Z811" s="30"/>
      <c r="AA811" s="30"/>
      <c r="AB811" s="29"/>
      <c r="AC811" s="29"/>
      <c r="AD811" s="37">
        <f t="shared" si="185"/>
        <v>31193</v>
      </c>
      <c r="AE811" s="3" t="str">
        <f t="shared" ca="1" si="182"/>
        <v>41 Tahun 3 bulan 6 Hari</v>
      </c>
      <c r="AF811" s="38">
        <f t="shared" si="186"/>
        <v>53114</v>
      </c>
    </row>
    <row r="812" spans="1:32" s="7" customFormat="1" ht="30" customHeight="1" x14ac:dyDescent="0.35">
      <c r="A812" s="26">
        <f t="shared" si="180"/>
        <v>756</v>
      </c>
      <c r="B812" s="27" t="s">
        <v>2252</v>
      </c>
      <c r="C812" s="26"/>
      <c r="D812" s="60" t="s">
        <v>2270</v>
      </c>
      <c r="E812" s="24" t="s">
        <v>3067</v>
      </c>
      <c r="F812" s="24" t="s">
        <v>43</v>
      </c>
      <c r="G812" s="44" t="s">
        <v>3068</v>
      </c>
      <c r="H812" s="4" t="s">
        <v>396</v>
      </c>
      <c r="I812" s="48" t="s">
        <v>3069</v>
      </c>
      <c r="J812" s="82">
        <v>46260</v>
      </c>
      <c r="K812" s="3" t="str">
        <f t="shared" ca="1" si="181"/>
        <v xml:space="preserve">0 Tahun 0 bulan </v>
      </c>
      <c r="L812" s="36" t="s">
        <v>200</v>
      </c>
      <c r="M812" s="118"/>
      <c r="N812" s="3" t="str">
        <f t="shared" ca="1" si="176"/>
        <v/>
      </c>
      <c r="O812" s="36"/>
      <c r="P812" s="4"/>
      <c r="Q812" s="4" t="str">
        <f t="shared" si="183"/>
        <v>Laki-Laki</v>
      </c>
      <c r="R812" s="4">
        <f t="shared" si="187"/>
        <v>1</v>
      </c>
      <c r="S812" s="4" t="str">
        <f t="shared" si="191"/>
        <v>1</v>
      </c>
      <c r="T812" s="4">
        <f t="shared" si="188"/>
        <v>0</v>
      </c>
      <c r="U812" s="29"/>
      <c r="V812" s="30"/>
      <c r="W812" s="30"/>
      <c r="X812" s="30"/>
      <c r="Y812" s="30"/>
      <c r="Z812" s="30"/>
      <c r="AA812" s="30"/>
      <c r="AB812" s="29"/>
      <c r="AC812" s="29"/>
      <c r="AD812" s="37">
        <f t="shared" si="185"/>
        <v>26936</v>
      </c>
      <c r="AE812" s="3" t="str">
        <f t="shared" ca="1" si="182"/>
        <v>52 Tahun 11 bulan 3 Hari</v>
      </c>
      <c r="AF812" s="38">
        <f t="shared" si="186"/>
        <v>48853</v>
      </c>
    </row>
    <row r="813" spans="1:32" s="7" customFormat="1" ht="30" customHeight="1" x14ac:dyDescent="0.35">
      <c r="A813" s="26">
        <f t="shared" si="180"/>
        <v>757</v>
      </c>
      <c r="B813" s="27" t="s">
        <v>2252</v>
      </c>
      <c r="C813" s="26"/>
      <c r="D813" s="60" t="s">
        <v>2271</v>
      </c>
      <c r="E813" s="39" t="s">
        <v>2272</v>
      </c>
      <c r="F813" s="24" t="s">
        <v>43</v>
      </c>
      <c r="G813" s="25" t="s">
        <v>2273</v>
      </c>
      <c r="H813" s="4" t="s">
        <v>1296</v>
      </c>
      <c r="I813" s="36" t="s">
        <v>86</v>
      </c>
      <c r="J813" s="82" t="s">
        <v>565</v>
      </c>
      <c r="K813" s="3" t="str">
        <f t="shared" ca="1" si="181"/>
        <v xml:space="preserve">5 Tahun 9 bulan </v>
      </c>
      <c r="L813" s="36" t="s">
        <v>200</v>
      </c>
      <c r="M813" s="82" t="s">
        <v>565</v>
      </c>
      <c r="N813" s="3" t="str">
        <f t="shared" ca="1" si="176"/>
        <v xml:space="preserve">5 Tahun 9 bulan </v>
      </c>
      <c r="O813" s="36"/>
      <c r="P813" s="4" t="s">
        <v>35</v>
      </c>
      <c r="Q813" s="4" t="str">
        <f t="shared" si="183"/>
        <v>Laki-Laki</v>
      </c>
      <c r="R813" s="4">
        <f t="shared" si="187"/>
        <v>1</v>
      </c>
      <c r="S813" s="4" t="str">
        <f t="shared" si="191"/>
        <v>1</v>
      </c>
      <c r="T813" s="4">
        <f t="shared" si="188"/>
        <v>0</v>
      </c>
      <c r="U813" s="29"/>
      <c r="V813" s="30" t="s">
        <v>50</v>
      </c>
      <c r="W813" s="30"/>
      <c r="X813" s="30"/>
      <c r="Y813" s="30"/>
      <c r="Z813" s="30"/>
      <c r="AA813" s="30"/>
      <c r="AB813" s="29"/>
      <c r="AC813" s="29"/>
      <c r="AD813" s="37">
        <f t="shared" si="185"/>
        <v>27124</v>
      </c>
      <c r="AE813" s="3" t="str">
        <f t="shared" ca="1" si="182"/>
        <v>52 Tahun 4 bulan 27 Hari</v>
      </c>
      <c r="AF813" s="38">
        <f t="shared" si="186"/>
        <v>49065</v>
      </c>
    </row>
    <row r="814" spans="1:32" s="7" customFormat="1" ht="30" customHeight="1" x14ac:dyDescent="0.35">
      <c r="A814" s="26">
        <f t="shared" si="180"/>
        <v>758</v>
      </c>
      <c r="B814" s="27" t="s">
        <v>2252</v>
      </c>
      <c r="C814" s="26"/>
      <c r="D814" s="60" t="s">
        <v>2274</v>
      </c>
      <c r="E814" s="51" t="s">
        <v>2309</v>
      </c>
      <c r="F814" s="24" t="s">
        <v>43</v>
      </c>
      <c r="G814" s="25" t="s">
        <v>2310</v>
      </c>
      <c r="H814" s="4" t="s">
        <v>3015</v>
      </c>
      <c r="I814" s="36" t="s">
        <v>350</v>
      </c>
      <c r="J814" s="82">
        <v>46198</v>
      </c>
      <c r="K814" s="3" t="str">
        <f t="shared" ca="1" si="181"/>
        <v xml:space="preserve">0 Tahun 2 bulan </v>
      </c>
      <c r="L814" s="36" t="s">
        <v>200</v>
      </c>
      <c r="M814" s="82">
        <v>44111</v>
      </c>
      <c r="N814" s="3" t="str">
        <f t="shared" ca="1" si="176"/>
        <v xml:space="preserve">5 Tahun 10 bulan </v>
      </c>
      <c r="O814" s="36"/>
      <c r="P814" s="4"/>
      <c r="Q814" s="4" t="str">
        <f t="shared" si="183"/>
        <v>Perempuan</v>
      </c>
      <c r="R814" s="4">
        <f t="shared" si="187"/>
        <v>1</v>
      </c>
      <c r="S814" s="4" t="str">
        <f t="shared" si="191"/>
        <v>1</v>
      </c>
      <c r="T814" s="4">
        <f t="shared" si="188"/>
        <v>0</v>
      </c>
      <c r="U814" s="29"/>
      <c r="V814" s="30" t="s">
        <v>50</v>
      </c>
      <c r="W814" s="30"/>
      <c r="X814" s="30"/>
      <c r="Y814" s="30"/>
      <c r="Z814" s="30"/>
      <c r="AA814" s="30"/>
      <c r="AB814" s="29"/>
      <c r="AC814" s="29"/>
      <c r="AD814" s="37">
        <f t="shared" si="185"/>
        <v>30441</v>
      </c>
      <c r="AE814" s="3" t="str">
        <f t="shared" ca="1" si="182"/>
        <v>43 Tahun 3 bulan 27 Hari</v>
      </c>
      <c r="AF814" s="38">
        <f t="shared" si="186"/>
        <v>52383</v>
      </c>
    </row>
    <row r="815" spans="1:32" s="7" customFormat="1" ht="32.15" customHeight="1" x14ac:dyDescent="0.35">
      <c r="A815" s="26"/>
      <c r="B815" s="27" t="s">
        <v>2275</v>
      </c>
      <c r="C815" s="280" t="s">
        <v>2276</v>
      </c>
      <c r="D815" s="281"/>
      <c r="E815" s="24"/>
      <c r="F815" s="24"/>
      <c r="G815" s="4"/>
      <c r="H815" s="4"/>
      <c r="I815" s="33"/>
      <c r="J815" s="5"/>
      <c r="K815" s="3" t="str">
        <f t="shared" ca="1" si="181"/>
        <v/>
      </c>
      <c r="L815" s="30"/>
      <c r="M815" s="5"/>
      <c r="N815" s="3" t="str">
        <f t="shared" ref="N815:N878" ca="1" si="192">IF(M815="","",CONCATENATE(DATEDIF(M815,NOW(),"Y")," Tahun ",DATEDIF(M815,NOW(),"YM")," bulan "))</f>
        <v/>
      </c>
      <c r="O815" s="4"/>
      <c r="P815" s="4"/>
      <c r="Q815" s="4"/>
      <c r="R815" s="4"/>
      <c r="S815" s="4"/>
      <c r="T815" s="4"/>
      <c r="U815" s="29"/>
      <c r="V815" s="30"/>
      <c r="W815" s="30"/>
      <c r="X815" s="30"/>
      <c r="Y815" s="30"/>
      <c r="Z815" s="29"/>
      <c r="AA815" s="29"/>
      <c r="AB815" s="29"/>
      <c r="AC815" s="29"/>
      <c r="AD815" s="37" t="str">
        <f t="shared" si="185"/>
        <v/>
      </c>
      <c r="AE815" s="3" t="str">
        <f t="shared" ca="1" si="182"/>
        <v/>
      </c>
      <c r="AF815" s="38" t="str">
        <f t="shared" si="186"/>
        <v/>
      </c>
    </row>
    <row r="816" spans="1:32" s="7" customFormat="1" ht="32.15" customHeight="1" x14ac:dyDescent="0.35">
      <c r="A816" s="26">
        <f>A814+1</f>
        <v>759</v>
      </c>
      <c r="B816" s="27" t="s">
        <v>2275</v>
      </c>
      <c r="C816" s="282" t="s">
        <v>2277</v>
      </c>
      <c r="D816" s="283"/>
      <c r="E816" s="45" t="s">
        <v>2278</v>
      </c>
      <c r="F816" s="24" t="s">
        <v>43</v>
      </c>
      <c r="G816" s="44" t="s">
        <v>2279</v>
      </c>
      <c r="H816" s="36" t="s">
        <v>259</v>
      </c>
      <c r="I816" s="48" t="s">
        <v>86</v>
      </c>
      <c r="J816" s="82" t="s">
        <v>940</v>
      </c>
      <c r="K816" s="3" t="str">
        <f t="shared" ca="1" si="181"/>
        <v xml:space="preserve">4 Tahun 2 bulan </v>
      </c>
      <c r="L816" s="4" t="s">
        <v>200</v>
      </c>
      <c r="M816" s="82" t="s">
        <v>940</v>
      </c>
      <c r="N816" s="3" t="str">
        <f t="shared" ca="1" si="192"/>
        <v xml:space="preserve">4 Tahun 2 bulan </v>
      </c>
      <c r="O816" s="4"/>
      <c r="P816" s="4" t="s">
        <v>35</v>
      </c>
      <c r="Q816" s="4" t="str">
        <f t="shared" si="183"/>
        <v>Laki-Laki</v>
      </c>
      <c r="R816" s="4">
        <f>R814</f>
        <v>1</v>
      </c>
      <c r="S816" s="4" t="str">
        <f>IF(E816="LOWONG","0","1")</f>
        <v>1</v>
      </c>
      <c r="T816" s="4">
        <f t="shared" si="188"/>
        <v>0</v>
      </c>
      <c r="U816" s="29"/>
      <c r="V816" s="30" t="s">
        <v>50</v>
      </c>
      <c r="W816" s="30"/>
      <c r="X816" s="30"/>
      <c r="Y816" s="30"/>
      <c r="Z816" s="30"/>
      <c r="AA816" s="30"/>
      <c r="AB816" s="29"/>
      <c r="AC816" s="29"/>
      <c r="AD816" s="37">
        <f t="shared" si="185"/>
        <v>30461</v>
      </c>
      <c r="AE816" s="3" t="str">
        <f t="shared" ca="1" si="182"/>
        <v>43 Tahun 3 bulan 7 Hari</v>
      </c>
      <c r="AF816" s="38">
        <f t="shared" si="186"/>
        <v>52383</v>
      </c>
    </row>
    <row r="817" spans="1:32" s="7" customFormat="1" ht="32.15" customHeight="1" x14ac:dyDescent="0.35">
      <c r="A817" s="26">
        <f t="shared" si="180"/>
        <v>760</v>
      </c>
      <c r="B817" s="27" t="s">
        <v>2275</v>
      </c>
      <c r="C817" s="282" t="s">
        <v>2280</v>
      </c>
      <c r="D817" s="283"/>
      <c r="E817" s="45" t="s">
        <v>2281</v>
      </c>
      <c r="F817" s="24" t="s">
        <v>43</v>
      </c>
      <c r="G817" s="44" t="s">
        <v>2282</v>
      </c>
      <c r="H817" s="4" t="s">
        <v>2283</v>
      </c>
      <c r="I817" s="48" t="s">
        <v>362</v>
      </c>
      <c r="J817" s="47" t="s">
        <v>338</v>
      </c>
      <c r="K817" s="3" t="str">
        <f t="shared" ca="1" si="181"/>
        <v xml:space="preserve">2 Tahun 11 bulan </v>
      </c>
      <c r="L817" s="4" t="s">
        <v>1749</v>
      </c>
      <c r="M817" s="47" t="s">
        <v>338</v>
      </c>
      <c r="N817" s="3" t="str">
        <f t="shared" ca="1" si="192"/>
        <v xml:space="preserve">2 Tahun 11 bulan </v>
      </c>
      <c r="O817" s="4"/>
      <c r="P817" s="4" t="s">
        <v>35</v>
      </c>
      <c r="Q817" s="4" t="str">
        <f t="shared" si="183"/>
        <v>Perempuan</v>
      </c>
      <c r="R817" s="4">
        <f t="shared" si="187"/>
        <v>1</v>
      </c>
      <c r="S817" s="4" t="str">
        <f>IF(E817="LOWONG","0","1")</f>
        <v>1</v>
      </c>
      <c r="T817" s="4">
        <f t="shared" si="188"/>
        <v>0</v>
      </c>
      <c r="U817" s="29"/>
      <c r="V817" s="30"/>
      <c r="W817" s="30"/>
      <c r="X817" s="30"/>
      <c r="Y817" s="30"/>
      <c r="Z817" s="30"/>
      <c r="AA817" s="30"/>
      <c r="AB817" s="29"/>
      <c r="AC817" s="29"/>
      <c r="AD817" s="37">
        <f t="shared" si="185"/>
        <v>30186</v>
      </c>
      <c r="AE817" s="3" t="str">
        <f t="shared" ca="1" si="182"/>
        <v>44 Tahun 0 bulan 9 Hari</v>
      </c>
      <c r="AF817" s="38">
        <f t="shared" si="186"/>
        <v>52110</v>
      </c>
    </row>
    <row r="818" spans="1:32" s="7" customFormat="1" ht="32.15" customHeight="1" x14ac:dyDescent="0.35">
      <c r="A818" s="26">
        <f t="shared" si="180"/>
        <v>761</v>
      </c>
      <c r="B818" s="27" t="s">
        <v>2275</v>
      </c>
      <c r="C818" s="26"/>
      <c r="D818" s="111" t="s">
        <v>2284</v>
      </c>
      <c r="E818" s="51" t="s">
        <v>108</v>
      </c>
      <c r="F818" s="51"/>
      <c r="G818" s="59"/>
      <c r="H818" s="4"/>
      <c r="I818" s="33"/>
      <c r="J818" s="91"/>
      <c r="K818" s="3" t="str">
        <f t="shared" ca="1" si="181"/>
        <v/>
      </c>
      <c r="L818" s="4" t="s">
        <v>1749</v>
      </c>
      <c r="M818" s="91"/>
      <c r="N818" s="3" t="str">
        <f t="shared" ca="1" si="192"/>
        <v/>
      </c>
      <c r="O818" s="4"/>
      <c r="P818" s="4"/>
      <c r="Q818" s="4" t="str">
        <f t="shared" si="183"/>
        <v/>
      </c>
      <c r="R818" s="4">
        <f t="shared" si="187"/>
        <v>1</v>
      </c>
      <c r="S818" s="4" t="str">
        <f>IF(E818="LOWONG","0","1")</f>
        <v>0</v>
      </c>
      <c r="T818" s="4">
        <f t="shared" si="188"/>
        <v>1</v>
      </c>
      <c r="U818" s="29"/>
      <c r="V818" s="30"/>
      <c r="W818" s="30"/>
      <c r="X818" s="30"/>
      <c r="Y818" s="30"/>
      <c r="Z818" s="30"/>
      <c r="AA818" s="30"/>
      <c r="AB818" s="29"/>
      <c r="AC818" s="29"/>
      <c r="AD818" s="37" t="str">
        <f t="shared" si="185"/>
        <v/>
      </c>
      <c r="AE818" s="3" t="str">
        <f t="shared" ca="1" si="182"/>
        <v/>
      </c>
      <c r="AF818" s="38" t="str">
        <f t="shared" si="186"/>
        <v/>
      </c>
    </row>
    <row r="819" spans="1:32" s="7" customFormat="1" ht="32.15" customHeight="1" x14ac:dyDescent="0.35">
      <c r="A819" s="26">
        <f t="shared" si="180"/>
        <v>762</v>
      </c>
      <c r="B819" s="27" t="s">
        <v>2275</v>
      </c>
      <c r="C819" s="26"/>
      <c r="D819" s="111" t="s">
        <v>2285</v>
      </c>
      <c r="E819" s="45" t="s">
        <v>2286</v>
      </c>
      <c r="F819" s="24" t="s">
        <v>43</v>
      </c>
      <c r="G819" s="36" t="s">
        <v>2287</v>
      </c>
      <c r="H819" s="36" t="s">
        <v>213</v>
      </c>
      <c r="I819" s="48" t="s">
        <v>495</v>
      </c>
      <c r="J819" s="82" t="s">
        <v>1748</v>
      </c>
      <c r="K819" s="3" t="str">
        <f t="shared" ca="1" si="181"/>
        <v xml:space="preserve">9 Tahun 7 bulan </v>
      </c>
      <c r="L819" s="4" t="s">
        <v>1749</v>
      </c>
      <c r="M819" s="82" t="s">
        <v>1748</v>
      </c>
      <c r="N819" s="3" t="str">
        <f t="shared" ca="1" si="192"/>
        <v xml:space="preserve">9 Tahun 7 bulan </v>
      </c>
      <c r="O819" s="36"/>
      <c r="P819" s="4" t="s">
        <v>35</v>
      </c>
      <c r="Q819" s="4" t="str">
        <f t="shared" si="183"/>
        <v>Laki-Laki</v>
      </c>
      <c r="R819" s="4">
        <f t="shared" si="187"/>
        <v>1</v>
      </c>
      <c r="S819" s="4" t="str">
        <f>IF(E819="LOWONG","0","1")</f>
        <v>1</v>
      </c>
      <c r="T819" s="4">
        <f t="shared" si="188"/>
        <v>0</v>
      </c>
      <c r="U819" s="29"/>
      <c r="V819" s="30" t="s">
        <v>50</v>
      </c>
      <c r="W819" s="30"/>
      <c r="X819" s="30"/>
      <c r="Y819" s="30"/>
      <c r="Z819" s="30"/>
      <c r="AA819" s="30"/>
      <c r="AB819" s="29"/>
      <c r="AC819" s="29"/>
      <c r="AD819" s="37">
        <f t="shared" si="185"/>
        <v>31940</v>
      </c>
      <c r="AE819" s="3" t="str">
        <f t="shared" ca="1" si="182"/>
        <v>39 Tahun 2 bulan 20 Hari</v>
      </c>
      <c r="AF819" s="38">
        <f t="shared" si="186"/>
        <v>53874</v>
      </c>
    </row>
    <row r="820" spans="1:32" s="7" customFormat="1" ht="32.15" customHeight="1" x14ac:dyDescent="0.35">
      <c r="A820" s="26">
        <f t="shared" si="180"/>
        <v>763</v>
      </c>
      <c r="B820" s="27" t="s">
        <v>2275</v>
      </c>
      <c r="C820" s="26"/>
      <c r="D820" s="111" t="s">
        <v>2288</v>
      </c>
      <c r="E820" s="24" t="s">
        <v>3100</v>
      </c>
      <c r="F820" s="24" t="s">
        <v>43</v>
      </c>
      <c r="G820" s="3" t="s">
        <v>3101</v>
      </c>
      <c r="H820" s="36" t="s">
        <v>3102</v>
      </c>
      <c r="I820" s="33"/>
      <c r="J820" s="212">
        <v>46260</v>
      </c>
      <c r="K820" s="3" t="str">
        <f t="shared" ca="1" si="181"/>
        <v xml:space="preserve">0 Tahun 0 bulan </v>
      </c>
      <c r="L820" s="4" t="s">
        <v>1749</v>
      </c>
      <c r="M820" s="53">
        <v>46260</v>
      </c>
      <c r="N820" s="3" t="str">
        <f t="shared" ca="1" si="192"/>
        <v xml:space="preserve">0 Tahun 0 bulan </v>
      </c>
      <c r="O820" s="4"/>
      <c r="P820" s="4" t="s">
        <v>35</v>
      </c>
      <c r="Q820" s="4" t="str">
        <f t="shared" si="183"/>
        <v>Laki-Laki</v>
      </c>
      <c r="R820" s="4">
        <f t="shared" si="187"/>
        <v>1</v>
      </c>
      <c r="S820" s="4" t="str">
        <f>IF(E820="LOWONG","0","1")</f>
        <v>1</v>
      </c>
      <c r="T820" s="4">
        <f t="shared" si="188"/>
        <v>0</v>
      </c>
      <c r="U820" s="29"/>
      <c r="V820" s="30"/>
      <c r="W820" s="30"/>
      <c r="X820" s="30"/>
      <c r="Y820" s="30"/>
      <c r="Z820" s="30"/>
      <c r="AA820" s="30"/>
      <c r="AB820" s="29"/>
      <c r="AC820" s="29"/>
      <c r="AD820" s="37">
        <f t="shared" si="185"/>
        <v>28433</v>
      </c>
      <c r="AE820" s="3" t="str">
        <f t="shared" ca="1" si="182"/>
        <v>48 Tahun 9 bulan 28 Hari</v>
      </c>
      <c r="AF820" s="38">
        <f t="shared" si="186"/>
        <v>50375</v>
      </c>
    </row>
    <row r="821" spans="1:32" s="7" customFormat="1" ht="32.15" customHeight="1" x14ac:dyDescent="0.35">
      <c r="A821" s="26"/>
      <c r="B821" s="27" t="s">
        <v>2291</v>
      </c>
      <c r="C821" s="280" t="s">
        <v>2292</v>
      </c>
      <c r="D821" s="281"/>
      <c r="E821" s="24"/>
      <c r="F821" s="24"/>
      <c r="G821" s="4"/>
      <c r="H821" s="4"/>
      <c r="I821" s="33"/>
      <c r="J821" s="5"/>
      <c r="K821" s="3" t="str">
        <f t="shared" ca="1" si="181"/>
        <v/>
      </c>
      <c r="L821" s="30"/>
      <c r="M821" s="5"/>
      <c r="N821" s="3" t="str">
        <f t="shared" ca="1" si="192"/>
        <v/>
      </c>
      <c r="O821" s="4"/>
      <c r="P821" s="4"/>
      <c r="Q821" s="4"/>
      <c r="R821" s="4"/>
      <c r="S821" s="4"/>
      <c r="T821" s="4"/>
      <c r="U821" s="29"/>
      <c r="V821" s="30"/>
      <c r="W821" s="30"/>
      <c r="X821" s="30"/>
      <c r="Y821" s="30"/>
      <c r="Z821" s="29"/>
      <c r="AA821" s="29"/>
      <c r="AB821" s="29"/>
      <c r="AC821" s="29"/>
      <c r="AD821" s="37" t="str">
        <f t="shared" si="185"/>
        <v/>
      </c>
      <c r="AE821" s="3" t="str">
        <f t="shared" ca="1" si="182"/>
        <v/>
      </c>
      <c r="AF821" s="38" t="str">
        <f t="shared" si="186"/>
        <v/>
      </c>
    </row>
    <row r="822" spans="1:32" s="7" customFormat="1" ht="32.15" customHeight="1" x14ac:dyDescent="0.35">
      <c r="A822" s="26">
        <f>A820+1</f>
        <v>764</v>
      </c>
      <c r="B822" s="27" t="s">
        <v>2291</v>
      </c>
      <c r="C822" s="282" t="s">
        <v>2293</v>
      </c>
      <c r="D822" s="283"/>
      <c r="E822" s="39" t="s">
        <v>2294</v>
      </c>
      <c r="F822" s="24" t="s">
        <v>43</v>
      </c>
      <c r="G822" s="25"/>
      <c r="H822" s="36"/>
      <c r="I822" s="25"/>
      <c r="J822" s="81">
        <v>45993</v>
      </c>
      <c r="K822" s="3" t="str">
        <f t="shared" ca="1" si="181"/>
        <v xml:space="preserve">0 Tahun 8 bulan </v>
      </c>
      <c r="L822" s="4" t="s">
        <v>200</v>
      </c>
      <c r="M822" s="81"/>
      <c r="N822" s="3" t="str">
        <f t="shared" ca="1" si="192"/>
        <v/>
      </c>
      <c r="O822" s="4"/>
      <c r="P822" s="4" t="s">
        <v>35</v>
      </c>
      <c r="Q822" s="4" t="str">
        <f t="shared" si="183"/>
        <v/>
      </c>
      <c r="R822" s="4">
        <f>R820</f>
        <v>1</v>
      </c>
      <c r="S822" s="4" t="str">
        <f>IF(E822="LOWONG","0","1")</f>
        <v>1</v>
      </c>
      <c r="T822" s="4">
        <f t="shared" si="188"/>
        <v>0</v>
      </c>
      <c r="U822" s="29"/>
      <c r="V822" s="30" t="s">
        <v>50</v>
      </c>
      <c r="W822" s="30"/>
      <c r="X822" s="30"/>
      <c r="Y822" s="30"/>
      <c r="Z822" s="30"/>
      <c r="AA822" s="30"/>
      <c r="AB822" s="29"/>
      <c r="AC822" s="29"/>
      <c r="AD822" s="37" t="str">
        <f t="shared" si="185"/>
        <v/>
      </c>
      <c r="AE822" s="3" t="str">
        <f t="shared" ca="1" si="182"/>
        <v/>
      </c>
      <c r="AF822" s="38" t="str">
        <f t="shared" si="186"/>
        <v/>
      </c>
    </row>
    <row r="823" spans="1:32" s="7" customFormat="1" ht="32.15" customHeight="1" x14ac:dyDescent="0.35">
      <c r="A823" s="26">
        <f t="shared" si="180"/>
        <v>765</v>
      </c>
      <c r="B823" s="27" t="s">
        <v>2291</v>
      </c>
      <c r="C823" s="282" t="s">
        <v>2295</v>
      </c>
      <c r="D823" s="283"/>
      <c r="E823" s="45" t="s">
        <v>108</v>
      </c>
      <c r="F823" s="24"/>
      <c r="G823" s="44"/>
      <c r="H823" s="36"/>
      <c r="I823" s="36"/>
      <c r="J823" s="47"/>
      <c r="K823" s="3" t="str">
        <f t="shared" ca="1" si="181"/>
        <v/>
      </c>
      <c r="L823" s="4" t="s">
        <v>1749</v>
      </c>
      <c r="M823" s="47"/>
      <c r="N823" s="3" t="str">
        <f t="shared" ca="1" si="192"/>
        <v/>
      </c>
      <c r="O823" s="36"/>
      <c r="P823" s="4"/>
      <c r="Q823" s="4" t="str">
        <f t="shared" si="183"/>
        <v/>
      </c>
      <c r="R823" s="4">
        <f t="shared" si="187"/>
        <v>1</v>
      </c>
      <c r="S823" s="4" t="str">
        <f>IF(E823="LOWONG","0","1")</f>
        <v>0</v>
      </c>
      <c r="T823" s="4">
        <f t="shared" si="188"/>
        <v>1</v>
      </c>
      <c r="U823" s="29"/>
      <c r="V823" s="30"/>
      <c r="W823" s="30"/>
      <c r="X823" s="30"/>
      <c r="Y823" s="30"/>
      <c r="Z823" s="30"/>
      <c r="AA823" s="30"/>
      <c r="AB823" s="29"/>
      <c r="AC823" s="29"/>
      <c r="AD823" s="37" t="str">
        <f t="shared" si="185"/>
        <v/>
      </c>
      <c r="AE823" s="3" t="str">
        <f t="shared" ca="1" si="182"/>
        <v/>
      </c>
      <c r="AF823" s="38" t="str">
        <f t="shared" si="186"/>
        <v/>
      </c>
    </row>
    <row r="824" spans="1:32" s="7" customFormat="1" ht="32.15" customHeight="1" x14ac:dyDescent="0.35">
      <c r="A824" s="26">
        <f t="shared" si="180"/>
        <v>766</v>
      </c>
      <c r="B824" s="27" t="s">
        <v>2291</v>
      </c>
      <c r="C824" s="26"/>
      <c r="D824" s="111" t="s">
        <v>2296</v>
      </c>
      <c r="E824" s="45" t="s">
        <v>2083</v>
      </c>
      <c r="F824" s="24" t="s">
        <v>43</v>
      </c>
      <c r="G824" s="44" t="s">
        <v>2297</v>
      </c>
      <c r="H824" s="36" t="s">
        <v>1723</v>
      </c>
      <c r="I824" s="36" t="s">
        <v>86</v>
      </c>
      <c r="J824" s="47" t="s">
        <v>199</v>
      </c>
      <c r="K824" s="3" t="str">
        <f t="shared" ca="1" si="181"/>
        <v xml:space="preserve">3 Tahun 11 bulan </v>
      </c>
      <c r="L824" s="4" t="s">
        <v>1749</v>
      </c>
      <c r="M824" s="47" t="s">
        <v>199</v>
      </c>
      <c r="N824" s="3" t="str">
        <f t="shared" ca="1" si="192"/>
        <v xml:space="preserve">3 Tahun 11 bulan </v>
      </c>
      <c r="O824" s="36"/>
      <c r="P824" s="4" t="s">
        <v>35</v>
      </c>
      <c r="Q824" s="4" t="str">
        <f t="shared" si="183"/>
        <v>Perempuan</v>
      </c>
      <c r="R824" s="4">
        <f t="shared" si="187"/>
        <v>1</v>
      </c>
      <c r="S824" s="4" t="str">
        <f>IF(E824="LOWONG","0","1")</f>
        <v>1</v>
      </c>
      <c r="T824" s="4">
        <f t="shared" si="188"/>
        <v>0</v>
      </c>
      <c r="U824" s="29"/>
      <c r="V824" s="30"/>
      <c r="W824" s="30"/>
      <c r="X824" s="30"/>
      <c r="Y824" s="30"/>
      <c r="Z824" s="30"/>
      <c r="AA824" s="30"/>
      <c r="AB824" s="29"/>
      <c r="AC824" s="29"/>
      <c r="AD824" s="37">
        <f t="shared" si="185"/>
        <v>30577</v>
      </c>
      <c r="AE824" s="3" t="str">
        <f t="shared" ca="1" si="182"/>
        <v>42 Tahun 11 bulan 14 Hari</v>
      </c>
      <c r="AF824" s="38">
        <f t="shared" si="186"/>
        <v>52505</v>
      </c>
    </row>
    <row r="825" spans="1:32" s="7" customFormat="1" ht="32.15" customHeight="1" x14ac:dyDescent="0.35">
      <c r="A825" s="26">
        <f t="shared" si="180"/>
        <v>767</v>
      </c>
      <c r="B825" s="27" t="s">
        <v>2291</v>
      </c>
      <c r="C825" s="26"/>
      <c r="D825" s="111" t="s">
        <v>2298</v>
      </c>
      <c r="E825" s="45" t="s">
        <v>2299</v>
      </c>
      <c r="F825" s="24" t="s">
        <v>43</v>
      </c>
      <c r="G825" s="44" t="s">
        <v>2300</v>
      </c>
      <c r="H825" s="36" t="s">
        <v>2301</v>
      </c>
      <c r="I825" s="36" t="s">
        <v>86</v>
      </c>
      <c r="J825" s="47" t="s">
        <v>501</v>
      </c>
      <c r="K825" s="3" t="str">
        <f t="shared" ca="1" si="181"/>
        <v xml:space="preserve">5 Tahun 2 bulan </v>
      </c>
      <c r="L825" s="4" t="s">
        <v>1749</v>
      </c>
      <c r="M825" s="47" t="s">
        <v>501</v>
      </c>
      <c r="N825" s="3" t="str">
        <f t="shared" ca="1" si="192"/>
        <v xml:space="preserve">5 Tahun 2 bulan </v>
      </c>
      <c r="O825" s="36"/>
      <c r="P825" s="4" t="s">
        <v>35</v>
      </c>
      <c r="Q825" s="4" t="str">
        <f t="shared" si="183"/>
        <v>Perempuan</v>
      </c>
      <c r="R825" s="4">
        <f t="shared" si="187"/>
        <v>1</v>
      </c>
      <c r="S825" s="4" t="str">
        <f>IF(E825="LOWONG","0","1")</f>
        <v>1</v>
      </c>
      <c r="T825" s="4">
        <f t="shared" si="188"/>
        <v>0</v>
      </c>
      <c r="U825" s="29"/>
      <c r="V825" s="30"/>
      <c r="W825" s="30"/>
      <c r="X825" s="30"/>
      <c r="Y825" s="30"/>
      <c r="Z825" s="30"/>
      <c r="AA825" s="30"/>
      <c r="AB825" s="29"/>
      <c r="AC825" s="29"/>
      <c r="AD825" s="37">
        <f t="shared" si="185"/>
        <v>29317</v>
      </c>
      <c r="AE825" s="3" t="str">
        <f t="shared" ca="1" si="182"/>
        <v>46 Tahun 4 bulan 26 Hari</v>
      </c>
      <c r="AF825" s="38">
        <f t="shared" si="186"/>
        <v>51257</v>
      </c>
    </row>
    <row r="826" spans="1:32" s="7" customFormat="1" ht="32.15" customHeight="1" x14ac:dyDescent="0.35">
      <c r="A826" s="26">
        <f t="shared" si="180"/>
        <v>768</v>
      </c>
      <c r="B826" s="27" t="s">
        <v>2291</v>
      </c>
      <c r="C826" s="26"/>
      <c r="D826" s="111" t="s">
        <v>2302</v>
      </c>
      <c r="E826" s="39" t="s">
        <v>2303</v>
      </c>
      <c r="F826" s="24" t="s">
        <v>43</v>
      </c>
      <c r="G826" s="25" t="s">
        <v>2304</v>
      </c>
      <c r="H826" s="36" t="s">
        <v>2305</v>
      </c>
      <c r="I826" s="36" t="s">
        <v>86</v>
      </c>
      <c r="J826" s="47" t="s">
        <v>751</v>
      </c>
      <c r="K826" s="3" t="str">
        <f t="shared" ca="1" si="181"/>
        <v xml:space="preserve">5 Tahun 0 bulan </v>
      </c>
      <c r="L826" s="4" t="s">
        <v>1749</v>
      </c>
      <c r="M826" s="47" t="s">
        <v>751</v>
      </c>
      <c r="N826" s="3" t="str">
        <f t="shared" ca="1" si="192"/>
        <v xml:space="preserve">5 Tahun 0 bulan </v>
      </c>
      <c r="O826" s="36"/>
      <c r="P826" s="4" t="s">
        <v>35</v>
      </c>
      <c r="Q826" s="4" t="str">
        <f t="shared" si="183"/>
        <v>Laki-Laki</v>
      </c>
      <c r="R826" s="4">
        <f t="shared" si="187"/>
        <v>1</v>
      </c>
      <c r="S826" s="4" t="str">
        <f>IF(E826="LOWONG","0","1")</f>
        <v>1</v>
      </c>
      <c r="T826" s="4">
        <f t="shared" si="188"/>
        <v>0</v>
      </c>
      <c r="U826" s="29"/>
      <c r="V826" s="30" t="s">
        <v>50</v>
      </c>
      <c r="W826" s="30"/>
      <c r="X826" s="30"/>
      <c r="Y826" s="30"/>
      <c r="Z826" s="30"/>
      <c r="AA826" s="30"/>
      <c r="AB826" s="29"/>
      <c r="AC826" s="29"/>
      <c r="AD826" s="37">
        <f t="shared" si="185"/>
        <v>29953</v>
      </c>
      <c r="AE826" s="3" t="str">
        <f t="shared" ca="1" si="182"/>
        <v>44 Tahun 7 bulan 30 Hari</v>
      </c>
      <c r="AF826" s="38">
        <f t="shared" si="186"/>
        <v>51898</v>
      </c>
    </row>
    <row r="827" spans="1:32" s="7" customFormat="1" ht="32.15" customHeight="1" x14ac:dyDescent="0.35">
      <c r="A827" s="26"/>
      <c r="B827" s="27" t="s">
        <v>2306</v>
      </c>
      <c r="C827" s="280" t="s">
        <v>2307</v>
      </c>
      <c r="D827" s="281"/>
      <c r="E827" s="24"/>
      <c r="F827" s="24"/>
      <c r="G827" s="4"/>
      <c r="H827" s="4"/>
      <c r="I827" s="33"/>
      <c r="J827" s="5"/>
      <c r="K827" s="3" t="str">
        <f t="shared" ca="1" si="181"/>
        <v/>
      </c>
      <c r="L827" s="30"/>
      <c r="M827" s="5"/>
      <c r="N827" s="3" t="str">
        <f t="shared" ca="1" si="192"/>
        <v/>
      </c>
      <c r="O827" s="4"/>
      <c r="P827" s="4"/>
      <c r="Q827" s="4"/>
      <c r="R827" s="4"/>
      <c r="S827" s="4"/>
      <c r="T827" s="4"/>
      <c r="U827" s="29"/>
      <c r="V827" s="30"/>
      <c r="W827" s="30"/>
      <c r="X827" s="30"/>
      <c r="Y827" s="30"/>
      <c r="Z827" s="29"/>
      <c r="AA827" s="29"/>
      <c r="AB827" s="29"/>
      <c r="AC827" s="29"/>
      <c r="AD827" s="37" t="str">
        <f t="shared" si="185"/>
        <v/>
      </c>
      <c r="AE827" s="3" t="str">
        <f t="shared" ca="1" si="182"/>
        <v/>
      </c>
      <c r="AF827" s="38" t="str">
        <f t="shared" si="186"/>
        <v/>
      </c>
    </row>
    <row r="828" spans="1:32" s="7" customFormat="1" ht="32.15" customHeight="1" x14ac:dyDescent="0.35">
      <c r="A828" s="26">
        <f>A826+1</f>
        <v>769</v>
      </c>
      <c r="B828" s="27" t="s">
        <v>2306</v>
      </c>
      <c r="C828" s="282" t="s">
        <v>2308</v>
      </c>
      <c r="D828" s="283"/>
      <c r="E828" s="45" t="s">
        <v>3016</v>
      </c>
      <c r="F828" s="24" t="s">
        <v>43</v>
      </c>
      <c r="G828" s="44" t="s">
        <v>3017</v>
      </c>
      <c r="H828" s="4" t="s">
        <v>3018</v>
      </c>
      <c r="I828" s="48" t="s">
        <v>46</v>
      </c>
      <c r="J828" s="53">
        <v>46198</v>
      </c>
      <c r="K828" s="3" t="str">
        <f t="shared" ca="1" si="181"/>
        <v xml:space="preserve">0 Tahun 2 bulan </v>
      </c>
      <c r="L828" s="4" t="s">
        <v>200</v>
      </c>
      <c r="M828" s="53">
        <v>46198</v>
      </c>
      <c r="N828" s="3" t="str">
        <f t="shared" ca="1" si="192"/>
        <v xml:space="preserve">0 Tahun 2 bulan </v>
      </c>
      <c r="O828" s="4"/>
      <c r="P828" s="4" t="s">
        <v>35</v>
      </c>
      <c r="Q828" s="4" t="str">
        <f t="shared" si="183"/>
        <v>Perempuan</v>
      </c>
      <c r="R828" s="4">
        <f>R826</f>
        <v>1</v>
      </c>
      <c r="S828" s="4" t="str">
        <f>IF(E828="LOWONG","0","1")</f>
        <v>1</v>
      </c>
      <c r="T828" s="4">
        <f t="shared" si="188"/>
        <v>0</v>
      </c>
      <c r="U828" s="29"/>
      <c r="V828" s="30"/>
      <c r="W828" s="30"/>
      <c r="X828" s="30"/>
      <c r="Y828" s="30"/>
      <c r="Z828" s="30"/>
      <c r="AA828" s="30"/>
      <c r="AB828" s="29"/>
      <c r="AC828" s="29"/>
      <c r="AD828" s="37">
        <f t="shared" si="185"/>
        <v>28601</v>
      </c>
      <c r="AE828" s="3" t="str">
        <f t="shared" ca="1" si="182"/>
        <v>48 Tahun 4 bulan 11 Hari</v>
      </c>
      <c r="AF828" s="38">
        <f t="shared" si="186"/>
        <v>50526</v>
      </c>
    </row>
    <row r="829" spans="1:32" s="7" customFormat="1" ht="32.15" customHeight="1" x14ac:dyDescent="0.35">
      <c r="A829" s="26">
        <f t="shared" si="180"/>
        <v>770</v>
      </c>
      <c r="B829" s="27" t="s">
        <v>2306</v>
      </c>
      <c r="C829" s="282" t="s">
        <v>2311</v>
      </c>
      <c r="D829" s="283"/>
      <c r="E829" s="45" t="s">
        <v>2953</v>
      </c>
      <c r="F829" s="45" t="s">
        <v>71</v>
      </c>
      <c r="G829" s="44" t="s">
        <v>2318</v>
      </c>
      <c r="H829" s="36" t="s">
        <v>1214</v>
      </c>
      <c r="I829" s="36" t="s">
        <v>184</v>
      </c>
      <c r="J829" s="82" t="s">
        <v>2954</v>
      </c>
      <c r="K829" s="3" t="str">
        <f t="shared" ca="1" si="181"/>
        <v xml:space="preserve">0 Tahun 4 bulan </v>
      </c>
      <c r="L829" s="36" t="s">
        <v>1749</v>
      </c>
      <c r="M829" s="82" t="s">
        <v>2954</v>
      </c>
      <c r="N829" s="3" t="str">
        <f t="shared" ca="1" si="192"/>
        <v xml:space="preserve">0 Tahun 4 bulan </v>
      </c>
      <c r="O829" s="36"/>
      <c r="P829" s="4" t="s">
        <v>35</v>
      </c>
      <c r="Q829" s="4" t="str">
        <f t="shared" si="183"/>
        <v>Laki-Laki</v>
      </c>
      <c r="R829" s="4">
        <f t="shared" si="187"/>
        <v>1</v>
      </c>
      <c r="S829" s="4" t="str">
        <f>IF(E829="LOWONG","0","1")</f>
        <v>1</v>
      </c>
      <c r="T829" s="4">
        <f t="shared" si="188"/>
        <v>0</v>
      </c>
      <c r="U829" s="29"/>
      <c r="V829" s="30"/>
      <c r="W829" s="30"/>
      <c r="X829" s="30"/>
      <c r="Y829" s="30"/>
      <c r="Z829" s="30"/>
      <c r="AA829" s="30"/>
      <c r="AB829" s="29"/>
      <c r="AC829" s="29"/>
      <c r="AD829" s="37">
        <f t="shared" si="185"/>
        <v>29887</v>
      </c>
      <c r="AE829" s="3" t="str">
        <f t="shared" ca="1" si="182"/>
        <v>44 Tahun 10 bulan 4 Hari</v>
      </c>
      <c r="AF829" s="38">
        <f t="shared" si="186"/>
        <v>51806</v>
      </c>
    </row>
    <row r="830" spans="1:32" s="7" customFormat="1" ht="32.15" customHeight="1" x14ac:dyDescent="0.35">
      <c r="A830" s="26">
        <f t="shared" si="180"/>
        <v>771</v>
      </c>
      <c r="B830" s="27" t="s">
        <v>2306</v>
      </c>
      <c r="C830" s="26"/>
      <c r="D830" s="111" t="s">
        <v>2312</v>
      </c>
      <c r="E830" s="45" t="s">
        <v>2313</v>
      </c>
      <c r="F830" s="24" t="s">
        <v>43</v>
      </c>
      <c r="G830" s="44" t="s">
        <v>2314</v>
      </c>
      <c r="H830" s="36" t="s">
        <v>2315</v>
      </c>
      <c r="I830" s="36" t="s">
        <v>86</v>
      </c>
      <c r="J830" s="82" t="s">
        <v>711</v>
      </c>
      <c r="K830" s="3" t="str">
        <f t="shared" ca="1" si="181"/>
        <v xml:space="preserve">4 Tahun 11 bulan </v>
      </c>
      <c r="L830" s="4" t="s">
        <v>1749</v>
      </c>
      <c r="M830" s="82" t="s">
        <v>711</v>
      </c>
      <c r="N830" s="3" t="str">
        <f t="shared" ca="1" si="192"/>
        <v xml:space="preserve">4 Tahun 11 bulan </v>
      </c>
      <c r="O830" s="36"/>
      <c r="P830" s="4" t="s">
        <v>35</v>
      </c>
      <c r="Q830" s="4" t="str">
        <f t="shared" si="183"/>
        <v>Perempuan</v>
      </c>
      <c r="R830" s="4">
        <f t="shared" si="187"/>
        <v>1</v>
      </c>
      <c r="S830" s="4" t="str">
        <f>IF(E830="LOWONG","0","1")</f>
        <v>1</v>
      </c>
      <c r="T830" s="4">
        <f t="shared" si="188"/>
        <v>0</v>
      </c>
      <c r="U830" s="29"/>
      <c r="V830" s="30"/>
      <c r="W830" s="30"/>
      <c r="X830" s="30"/>
      <c r="Y830" s="30"/>
      <c r="Z830" s="30"/>
      <c r="AA830" s="30"/>
      <c r="AB830" s="29"/>
      <c r="AC830" s="29"/>
      <c r="AD830" s="37">
        <f t="shared" si="185"/>
        <v>26635</v>
      </c>
      <c r="AE830" s="3" t="str">
        <f t="shared" ca="1" si="182"/>
        <v>53 Tahun 8 bulan 30 Hari</v>
      </c>
      <c r="AF830" s="38">
        <f t="shared" si="186"/>
        <v>48580</v>
      </c>
    </row>
    <row r="831" spans="1:32" s="7" customFormat="1" ht="32.15" customHeight="1" x14ac:dyDescent="0.35">
      <c r="A831" s="26">
        <f t="shared" si="180"/>
        <v>772</v>
      </c>
      <c r="B831" s="27" t="s">
        <v>2306</v>
      </c>
      <c r="C831" s="26"/>
      <c r="D831" s="111" t="s">
        <v>2316</v>
      </c>
      <c r="E831" s="24" t="s">
        <v>2317</v>
      </c>
      <c r="F831" s="24" t="s">
        <v>43</v>
      </c>
      <c r="G831" s="44" t="s">
        <v>2318</v>
      </c>
      <c r="H831" s="4" t="s">
        <v>2283</v>
      </c>
      <c r="I831" s="36" t="s">
        <v>184</v>
      </c>
      <c r="J831" s="82" t="s">
        <v>338</v>
      </c>
      <c r="K831" s="3" t="str">
        <f t="shared" ca="1" si="181"/>
        <v xml:space="preserve">2 Tahun 11 bulan </v>
      </c>
      <c r="L831" s="4" t="s">
        <v>1749</v>
      </c>
      <c r="M831" s="82" t="s">
        <v>338</v>
      </c>
      <c r="N831" s="3" t="str">
        <f t="shared" ca="1" si="192"/>
        <v xml:space="preserve">2 Tahun 11 bulan </v>
      </c>
      <c r="O831" s="60"/>
      <c r="P831" s="4" t="s">
        <v>35</v>
      </c>
      <c r="Q831" s="4" t="str">
        <f t="shared" si="183"/>
        <v>Laki-Laki</v>
      </c>
      <c r="R831" s="4">
        <f t="shared" si="187"/>
        <v>1</v>
      </c>
      <c r="S831" s="4" t="str">
        <f>IF(E831="LOWONG","0","1")</f>
        <v>1</v>
      </c>
      <c r="T831" s="4">
        <f t="shared" si="188"/>
        <v>0</v>
      </c>
      <c r="U831" s="29"/>
      <c r="V831" s="30" t="s">
        <v>50</v>
      </c>
      <c r="W831" s="30"/>
      <c r="X831" s="30"/>
      <c r="Y831" s="30"/>
      <c r="Z831" s="30"/>
      <c r="AA831" s="30"/>
      <c r="AB831" s="29"/>
      <c r="AC831" s="29"/>
      <c r="AD831" s="37">
        <f t="shared" si="185"/>
        <v>29887</v>
      </c>
      <c r="AE831" s="3" t="str">
        <f t="shared" ca="1" si="182"/>
        <v>44 Tahun 10 bulan 4 Hari</v>
      </c>
      <c r="AF831" s="38">
        <f t="shared" si="186"/>
        <v>51806</v>
      </c>
    </row>
    <row r="832" spans="1:32" s="7" customFormat="1" ht="32.15" customHeight="1" x14ac:dyDescent="0.35">
      <c r="A832" s="26">
        <f t="shared" si="180"/>
        <v>773</v>
      </c>
      <c r="B832" s="27" t="s">
        <v>2306</v>
      </c>
      <c r="C832" s="26"/>
      <c r="D832" s="111" t="s">
        <v>2319</v>
      </c>
      <c r="E832" s="45" t="s">
        <v>2320</v>
      </c>
      <c r="F832" s="24" t="s">
        <v>43</v>
      </c>
      <c r="G832" s="44" t="s">
        <v>2321</v>
      </c>
      <c r="H832" s="36" t="s">
        <v>574</v>
      </c>
      <c r="I832" s="36" t="s">
        <v>86</v>
      </c>
      <c r="J832" s="82" t="s">
        <v>1748</v>
      </c>
      <c r="K832" s="3" t="str">
        <f t="shared" ca="1" si="181"/>
        <v xml:space="preserve">9 Tahun 7 bulan </v>
      </c>
      <c r="L832" s="4" t="s">
        <v>1749</v>
      </c>
      <c r="M832" s="82" t="s">
        <v>1748</v>
      </c>
      <c r="N832" s="3" t="str">
        <f t="shared" ca="1" si="192"/>
        <v xml:space="preserve">9 Tahun 7 bulan </v>
      </c>
      <c r="O832" s="36"/>
      <c r="P832" s="4" t="s">
        <v>35</v>
      </c>
      <c r="Q832" s="4" t="str">
        <f t="shared" si="183"/>
        <v>Laki-Laki</v>
      </c>
      <c r="R832" s="4">
        <f t="shared" si="187"/>
        <v>1</v>
      </c>
      <c r="S832" s="4" t="str">
        <f>IF(E832="LOWONG","0","1")</f>
        <v>1</v>
      </c>
      <c r="T832" s="4">
        <f t="shared" si="188"/>
        <v>0</v>
      </c>
      <c r="U832" s="29"/>
      <c r="V832" s="30" t="s">
        <v>50</v>
      </c>
      <c r="W832" s="30"/>
      <c r="X832" s="30"/>
      <c r="Y832" s="30"/>
      <c r="Z832" s="30"/>
      <c r="AA832" s="30"/>
      <c r="AB832" s="29"/>
      <c r="AC832" s="29"/>
      <c r="AD832" s="37">
        <f t="shared" si="185"/>
        <v>27677</v>
      </c>
      <c r="AE832" s="3" t="str">
        <f t="shared" ca="1" si="182"/>
        <v>50 Tahun 10 bulan 22 Hari</v>
      </c>
      <c r="AF832" s="38">
        <f t="shared" si="186"/>
        <v>49614</v>
      </c>
    </row>
    <row r="833" spans="1:32" s="7" customFormat="1" ht="32.15" customHeight="1" x14ac:dyDescent="0.35">
      <c r="A833" s="26"/>
      <c r="B833" s="32" t="s">
        <v>2322</v>
      </c>
      <c r="C833" s="269" t="s">
        <v>2323</v>
      </c>
      <c r="D833" s="270"/>
      <c r="E833" s="24"/>
      <c r="F833" s="24"/>
      <c r="G833" s="4"/>
      <c r="H833" s="4"/>
      <c r="I833" s="33"/>
      <c r="J833" s="5"/>
      <c r="K833" s="3" t="str">
        <f t="shared" ca="1" si="181"/>
        <v/>
      </c>
      <c r="L833" s="30"/>
      <c r="M833" s="5"/>
      <c r="N833" s="3" t="str">
        <f t="shared" ca="1" si="192"/>
        <v/>
      </c>
      <c r="O833" s="4"/>
      <c r="P833" s="4"/>
      <c r="Q833" s="4"/>
      <c r="R833" s="4"/>
      <c r="S833" s="4"/>
      <c r="T833" s="4"/>
      <c r="U833" s="29"/>
      <c r="V833" s="30"/>
      <c r="W833" s="30"/>
      <c r="X833" s="30"/>
      <c r="Y833" s="30"/>
      <c r="Z833" s="29"/>
      <c r="AA833" s="29"/>
      <c r="AB833" s="29"/>
      <c r="AC833" s="29"/>
      <c r="AD833" s="37" t="str">
        <f t="shared" si="185"/>
        <v/>
      </c>
      <c r="AE833" s="3" t="str">
        <f t="shared" ca="1" si="182"/>
        <v/>
      </c>
      <c r="AF833" s="38" t="str">
        <f t="shared" si="186"/>
        <v/>
      </c>
    </row>
    <row r="834" spans="1:32" s="7" customFormat="1" ht="37.5" customHeight="1" x14ac:dyDescent="0.35">
      <c r="A834" s="26">
        <f>A832+1</f>
        <v>774</v>
      </c>
      <c r="B834" s="32" t="s">
        <v>2322</v>
      </c>
      <c r="C834" s="258" t="s">
        <v>2324</v>
      </c>
      <c r="D834" s="259"/>
      <c r="E834" s="24" t="s">
        <v>108</v>
      </c>
      <c r="F834" s="24"/>
      <c r="G834" s="4"/>
      <c r="H834" s="4"/>
      <c r="I834" s="41"/>
      <c r="J834" s="91"/>
      <c r="K834" s="3" t="str">
        <f t="shared" ca="1" si="181"/>
        <v/>
      </c>
      <c r="L834" s="56" t="s">
        <v>1749</v>
      </c>
      <c r="M834" s="91"/>
      <c r="N834" s="3" t="str">
        <f t="shared" ca="1" si="192"/>
        <v/>
      </c>
      <c r="O834" s="4"/>
      <c r="P834" s="4"/>
      <c r="Q834" s="4" t="str">
        <f t="shared" si="183"/>
        <v/>
      </c>
      <c r="R834" s="4">
        <f>R832</f>
        <v>1</v>
      </c>
      <c r="S834" s="4" t="str">
        <f t="shared" ref="S834:S853" si="193">IF(E834="LOWONG","0","1")</f>
        <v>0</v>
      </c>
      <c r="T834" s="4">
        <f t="shared" si="188"/>
        <v>1</v>
      </c>
      <c r="U834" s="29"/>
      <c r="V834" s="30"/>
      <c r="W834" s="30"/>
      <c r="X834" s="30"/>
      <c r="Y834" s="30"/>
      <c r="Z834" s="30"/>
      <c r="AA834" s="30"/>
      <c r="AB834" s="29"/>
      <c r="AC834" s="29"/>
      <c r="AD834" s="37" t="str">
        <f t="shared" si="185"/>
        <v/>
      </c>
      <c r="AE834" s="3" t="str">
        <f t="shared" ca="1" si="182"/>
        <v/>
      </c>
      <c r="AF834" s="38" t="str">
        <f t="shared" si="186"/>
        <v/>
      </c>
    </row>
    <row r="835" spans="1:32" s="7" customFormat="1" ht="32.15" customHeight="1" x14ac:dyDescent="0.35">
      <c r="A835" s="26">
        <f t="shared" ref="A835:A898" si="194">A834+1</f>
        <v>775</v>
      </c>
      <c r="B835" s="32" t="s">
        <v>2322</v>
      </c>
      <c r="C835" s="258" t="s">
        <v>2325</v>
      </c>
      <c r="D835" s="259"/>
      <c r="E835" s="24" t="s">
        <v>108</v>
      </c>
      <c r="F835" s="24"/>
      <c r="G835" s="86"/>
      <c r="H835" s="8"/>
      <c r="I835" s="25"/>
      <c r="J835" s="124"/>
      <c r="K835" s="3" t="str">
        <f t="shared" ca="1" si="181"/>
        <v/>
      </c>
      <c r="L835" s="56" t="s">
        <v>1749</v>
      </c>
      <c r="M835" s="124"/>
      <c r="N835" s="3" t="str">
        <f t="shared" ca="1" si="192"/>
        <v/>
      </c>
      <c r="O835" s="56"/>
      <c r="P835" s="4"/>
      <c r="Q835" s="4" t="str">
        <f t="shared" si="183"/>
        <v/>
      </c>
      <c r="R835" s="4">
        <f t="shared" si="187"/>
        <v>1</v>
      </c>
      <c r="S835" s="4" t="str">
        <f t="shared" si="193"/>
        <v>0</v>
      </c>
      <c r="T835" s="4">
        <f t="shared" si="188"/>
        <v>1</v>
      </c>
      <c r="U835" s="29"/>
      <c r="V835" s="30"/>
      <c r="W835" s="30"/>
      <c r="X835" s="30"/>
      <c r="Y835" s="30"/>
      <c r="Z835" s="30"/>
      <c r="AA835" s="30"/>
      <c r="AB835" s="29"/>
      <c r="AC835" s="29"/>
      <c r="AD835" s="37" t="str">
        <f t="shared" si="185"/>
        <v/>
      </c>
      <c r="AE835" s="3" t="str">
        <f t="shared" ca="1" si="182"/>
        <v/>
      </c>
      <c r="AF835" s="38" t="str">
        <f t="shared" si="186"/>
        <v/>
      </c>
    </row>
    <row r="836" spans="1:32" s="7" customFormat="1" ht="32.15" customHeight="1" x14ac:dyDescent="0.35">
      <c r="A836" s="26">
        <f t="shared" si="194"/>
        <v>776</v>
      </c>
      <c r="B836" s="32" t="s">
        <v>2322</v>
      </c>
      <c r="C836" s="258" t="s">
        <v>2326</v>
      </c>
      <c r="D836" s="259"/>
      <c r="E836" s="24" t="s">
        <v>108</v>
      </c>
      <c r="F836" s="24"/>
      <c r="G836" s="86"/>
      <c r="H836" s="98"/>
      <c r="I836" s="25"/>
      <c r="J836" s="49"/>
      <c r="K836" s="3" t="str">
        <f t="shared" ca="1" si="181"/>
        <v/>
      </c>
      <c r="L836" s="56" t="s">
        <v>1749</v>
      </c>
      <c r="M836" s="49"/>
      <c r="N836" s="3" t="str">
        <f t="shared" ca="1" si="192"/>
        <v/>
      </c>
      <c r="O836" s="56"/>
      <c r="P836" s="4"/>
      <c r="Q836" s="4" t="str">
        <f t="shared" si="183"/>
        <v/>
      </c>
      <c r="R836" s="4">
        <f t="shared" si="187"/>
        <v>1</v>
      </c>
      <c r="S836" s="4" t="str">
        <f t="shared" si="193"/>
        <v>0</v>
      </c>
      <c r="T836" s="4">
        <f t="shared" si="188"/>
        <v>1</v>
      </c>
      <c r="U836" s="29"/>
      <c r="V836" s="30" t="s">
        <v>50</v>
      </c>
      <c r="W836" s="30"/>
      <c r="X836" s="30"/>
      <c r="Y836" s="30"/>
      <c r="Z836" s="30"/>
      <c r="AA836" s="30"/>
      <c r="AB836" s="29"/>
      <c r="AC836" s="29"/>
      <c r="AD836" s="37" t="str">
        <f t="shared" si="185"/>
        <v/>
      </c>
      <c r="AE836" s="3" t="str">
        <f t="shared" ca="1" si="182"/>
        <v/>
      </c>
      <c r="AF836" s="38" t="str">
        <f t="shared" si="186"/>
        <v/>
      </c>
    </row>
    <row r="837" spans="1:32" s="7" customFormat="1" ht="36.75" customHeight="1" x14ac:dyDescent="0.35">
      <c r="A837" s="26">
        <f t="shared" si="194"/>
        <v>777</v>
      </c>
      <c r="B837" s="32" t="s">
        <v>2322</v>
      </c>
      <c r="C837" s="258" t="s">
        <v>2327</v>
      </c>
      <c r="D837" s="259"/>
      <c r="E837" s="24" t="s">
        <v>108</v>
      </c>
      <c r="F837" s="24"/>
      <c r="G837" s="86"/>
      <c r="H837" s="98"/>
      <c r="I837" s="36"/>
      <c r="J837" s="125"/>
      <c r="K837" s="3" t="str">
        <f t="shared" ca="1" si="181"/>
        <v/>
      </c>
      <c r="L837" s="56" t="s">
        <v>1749</v>
      </c>
      <c r="M837" s="125"/>
      <c r="N837" s="3" t="str">
        <f t="shared" ca="1" si="192"/>
        <v/>
      </c>
      <c r="O837" s="56"/>
      <c r="P837" s="4"/>
      <c r="Q837" s="4" t="str">
        <f t="shared" si="183"/>
        <v/>
      </c>
      <c r="R837" s="4">
        <f t="shared" si="187"/>
        <v>1</v>
      </c>
      <c r="S837" s="4" t="str">
        <f t="shared" si="193"/>
        <v>0</v>
      </c>
      <c r="T837" s="4">
        <f t="shared" si="188"/>
        <v>1</v>
      </c>
      <c r="U837" s="29"/>
      <c r="V837" s="30"/>
      <c r="W837" s="30"/>
      <c r="X837" s="30"/>
      <c r="Y837" s="30"/>
      <c r="Z837" s="30"/>
      <c r="AA837" s="30"/>
      <c r="AB837" s="29"/>
      <c r="AC837" s="29"/>
      <c r="AD837" s="37" t="str">
        <f t="shared" si="185"/>
        <v/>
      </c>
      <c r="AE837" s="3" t="str">
        <f t="shared" ca="1" si="182"/>
        <v/>
      </c>
      <c r="AF837" s="38" t="str">
        <f t="shared" si="186"/>
        <v/>
      </c>
    </row>
    <row r="838" spans="1:32" s="7" customFormat="1" ht="32.15" customHeight="1" x14ac:dyDescent="0.35">
      <c r="A838" s="26">
        <f t="shared" si="194"/>
        <v>778</v>
      </c>
      <c r="B838" s="32" t="s">
        <v>2322</v>
      </c>
      <c r="C838" s="258" t="s">
        <v>2328</v>
      </c>
      <c r="D838" s="259"/>
      <c r="E838" s="42" t="s">
        <v>108</v>
      </c>
      <c r="F838" s="24"/>
      <c r="G838" s="43"/>
      <c r="H838" s="4"/>
      <c r="I838" s="33"/>
      <c r="J838" s="47"/>
      <c r="K838" s="3" t="str">
        <f t="shared" ca="1" si="181"/>
        <v/>
      </c>
      <c r="L838" s="56" t="s">
        <v>1749</v>
      </c>
      <c r="M838" s="47"/>
      <c r="N838" s="3" t="str">
        <f t="shared" ca="1" si="192"/>
        <v/>
      </c>
      <c r="O838" s="56"/>
      <c r="P838" s="4"/>
      <c r="Q838" s="4" t="str">
        <f t="shared" si="183"/>
        <v/>
      </c>
      <c r="R838" s="4">
        <f t="shared" si="187"/>
        <v>1</v>
      </c>
      <c r="S838" s="4" t="str">
        <f t="shared" si="193"/>
        <v>0</v>
      </c>
      <c r="T838" s="4">
        <f t="shared" si="188"/>
        <v>1</v>
      </c>
      <c r="U838" s="29"/>
      <c r="V838" s="30" t="s">
        <v>50</v>
      </c>
      <c r="W838" s="30"/>
      <c r="X838" s="30"/>
      <c r="Y838" s="30"/>
      <c r="Z838" s="30"/>
      <c r="AA838" s="30"/>
      <c r="AB838" s="29"/>
      <c r="AC838" s="29"/>
      <c r="AD838" s="37" t="str">
        <f t="shared" si="185"/>
        <v/>
      </c>
      <c r="AE838" s="3" t="str">
        <f t="shared" ca="1" si="182"/>
        <v/>
      </c>
      <c r="AF838" s="38" t="str">
        <f t="shared" si="186"/>
        <v/>
      </c>
    </row>
    <row r="839" spans="1:32" s="7" customFormat="1" ht="32.15" customHeight="1" x14ac:dyDescent="0.35">
      <c r="A839" s="26">
        <f t="shared" si="194"/>
        <v>779</v>
      </c>
      <c r="B839" s="32" t="s">
        <v>2322</v>
      </c>
      <c r="C839" s="258" t="s">
        <v>2330</v>
      </c>
      <c r="D839" s="259"/>
      <c r="E839" s="24" t="s">
        <v>2331</v>
      </c>
      <c r="F839" s="24" t="s">
        <v>43</v>
      </c>
      <c r="G839" s="3" t="s">
        <v>2332</v>
      </c>
      <c r="H839" s="4" t="s">
        <v>135</v>
      </c>
      <c r="I839" s="41" t="s">
        <v>46</v>
      </c>
      <c r="J839" s="47" t="s">
        <v>338</v>
      </c>
      <c r="K839" s="3" t="str">
        <f t="shared" ref="K839:K902" ca="1" si="195">IF(J839="","",CONCATENATE(DATEDIF(J839,NOW(),"Y")," Tahun ",DATEDIF(J839,NOW(),"YM")," bulan "))</f>
        <v xml:space="preserve">2 Tahun 11 bulan </v>
      </c>
      <c r="L839" s="56" t="s">
        <v>1749</v>
      </c>
      <c r="M839" s="47" t="s">
        <v>338</v>
      </c>
      <c r="N839" s="3" t="str">
        <f t="shared" ca="1" si="192"/>
        <v xml:space="preserve">2 Tahun 11 bulan </v>
      </c>
      <c r="O839" s="56"/>
      <c r="P839" s="4" t="s">
        <v>35</v>
      </c>
      <c r="Q839" s="4" t="str">
        <f t="shared" si="183"/>
        <v>Laki-Laki</v>
      </c>
      <c r="R839" s="4">
        <f t="shared" si="187"/>
        <v>1</v>
      </c>
      <c r="S839" s="4" t="str">
        <f t="shared" si="193"/>
        <v>1</v>
      </c>
      <c r="T839" s="4">
        <f t="shared" si="188"/>
        <v>0</v>
      </c>
      <c r="U839" s="29"/>
      <c r="V839" s="30" t="s">
        <v>50</v>
      </c>
      <c r="W839" s="30"/>
      <c r="X839" s="30"/>
      <c r="Y839" s="30"/>
      <c r="Z839" s="30"/>
      <c r="AA839" s="30"/>
      <c r="AB839" s="29"/>
      <c r="AC839" s="29"/>
      <c r="AD839" s="37">
        <f t="shared" si="185"/>
        <v>25765</v>
      </c>
      <c r="AE839" s="3" t="str">
        <f t="shared" ref="AE839:AE902" ca="1" si="196">IF(TRIM(AD839)="", "", CONCATENATE(DATEDIF(AD839,NOW(),"Y")," Tahun ",DATEDIF(AD839,NOW(),"YM")," bulan ",DATEDIF(AD839,NOW(),"MD")," Hari"))</f>
        <v>56 Tahun 1 bulan 16 Hari</v>
      </c>
      <c r="AF839" s="38">
        <f t="shared" si="186"/>
        <v>47696</v>
      </c>
    </row>
    <row r="840" spans="1:32" s="7" customFormat="1" ht="32.15" customHeight="1" x14ac:dyDescent="0.35">
      <c r="A840" s="26">
        <f t="shared" si="194"/>
        <v>780</v>
      </c>
      <c r="B840" s="32" t="s">
        <v>2322</v>
      </c>
      <c r="C840" s="258" t="s">
        <v>3137</v>
      </c>
      <c r="D840" s="259"/>
      <c r="E840" s="42" t="s">
        <v>108</v>
      </c>
      <c r="F840" s="24"/>
      <c r="G840" s="3"/>
      <c r="H840" s="4"/>
      <c r="I840" s="41"/>
      <c r="J840" s="47"/>
      <c r="K840" s="3" t="str">
        <f t="shared" ca="1" si="195"/>
        <v/>
      </c>
      <c r="L840" s="56" t="s">
        <v>1749</v>
      </c>
      <c r="M840" s="47"/>
      <c r="N840" s="3" t="str">
        <f t="shared" ca="1" si="192"/>
        <v/>
      </c>
      <c r="O840" s="4"/>
      <c r="P840" s="4"/>
      <c r="Q840" s="4" t="str">
        <f t="shared" ref="Q840:Q903" si="197">CONCATENATE(IF(MID(G840,17,1)="1","Laki-Laki",IF(MID(G840,17,1)="2","Perempuan",)))</f>
        <v/>
      </c>
      <c r="R840" s="4">
        <f t="shared" si="187"/>
        <v>1</v>
      </c>
      <c r="S840" s="4" t="str">
        <f t="shared" si="193"/>
        <v>0</v>
      </c>
      <c r="T840" s="4">
        <f t="shared" si="188"/>
        <v>1</v>
      </c>
      <c r="U840" s="29"/>
      <c r="V840" s="30" t="s">
        <v>50</v>
      </c>
      <c r="W840" s="30"/>
      <c r="X840" s="30"/>
      <c r="Y840" s="30"/>
      <c r="Z840" s="30"/>
      <c r="AA840" s="30"/>
      <c r="AB840" s="29"/>
      <c r="AC840" s="29"/>
      <c r="AD840" s="37" t="str">
        <f t="shared" ref="AD840:AD903" si="198">IF(TRIM(G840)="", "", DATE(LEFT(G840,4),MID(G840,5,2),MID(G840,7,2)))</f>
        <v/>
      </c>
      <c r="AE840" s="3" t="str">
        <f t="shared" ca="1" si="196"/>
        <v/>
      </c>
      <c r="AF840" s="38" t="str">
        <f t="shared" ref="AF840:AF903" si="199">IF(TRIM(AD840)="","",DATE(YEAR(AD840)+60,MONTH(AD840)+1,1))</f>
        <v/>
      </c>
    </row>
    <row r="841" spans="1:32" s="7" customFormat="1" ht="32.15" customHeight="1" x14ac:dyDescent="0.35">
      <c r="A841" s="26">
        <f t="shared" si="194"/>
        <v>781</v>
      </c>
      <c r="B841" s="32" t="s">
        <v>2322</v>
      </c>
      <c r="C841" s="258" t="s">
        <v>2333</v>
      </c>
      <c r="D841" s="259"/>
      <c r="E841" s="24" t="s">
        <v>108</v>
      </c>
      <c r="F841" s="24"/>
      <c r="G841" s="86"/>
      <c r="H841" s="98"/>
      <c r="I841" s="25"/>
      <c r="J841" s="125"/>
      <c r="K841" s="3" t="str">
        <f t="shared" ca="1" si="195"/>
        <v/>
      </c>
      <c r="L841" s="56" t="s">
        <v>1749</v>
      </c>
      <c r="M841" s="125"/>
      <c r="N841" s="3" t="str">
        <f t="shared" ca="1" si="192"/>
        <v/>
      </c>
      <c r="O841" s="56"/>
      <c r="P841" s="4"/>
      <c r="Q841" s="4" t="str">
        <f t="shared" si="197"/>
        <v/>
      </c>
      <c r="R841" s="4">
        <f t="shared" ref="R841:R904" si="200">R840</f>
        <v>1</v>
      </c>
      <c r="S841" s="4" t="str">
        <f t="shared" si="193"/>
        <v>0</v>
      </c>
      <c r="T841" s="4">
        <f t="shared" si="188"/>
        <v>1</v>
      </c>
      <c r="U841" s="29"/>
      <c r="V841" s="30"/>
      <c r="W841" s="30"/>
      <c r="X841" s="30"/>
      <c r="Y841" s="30"/>
      <c r="Z841" s="30"/>
      <c r="AA841" s="30"/>
      <c r="AB841" s="29"/>
      <c r="AC841" s="29"/>
      <c r="AD841" s="37" t="str">
        <f t="shared" si="198"/>
        <v/>
      </c>
      <c r="AE841" s="3" t="str">
        <f t="shared" ca="1" si="196"/>
        <v/>
      </c>
      <c r="AF841" s="38" t="str">
        <f t="shared" si="199"/>
        <v/>
      </c>
    </row>
    <row r="842" spans="1:32" s="7" customFormat="1" ht="32.15" customHeight="1" x14ac:dyDescent="0.35">
      <c r="A842" s="26">
        <f t="shared" si="194"/>
        <v>782</v>
      </c>
      <c r="B842" s="32" t="s">
        <v>2322</v>
      </c>
      <c r="C842" s="258" t="s">
        <v>2334</v>
      </c>
      <c r="D842" s="259"/>
      <c r="E842" s="93" t="s">
        <v>108</v>
      </c>
      <c r="F842" s="93"/>
      <c r="G842" s="94"/>
      <c r="H842" s="4"/>
      <c r="I842" s="25"/>
      <c r="J842" s="125"/>
      <c r="K842" s="3" t="str">
        <f t="shared" ca="1" si="195"/>
        <v/>
      </c>
      <c r="L842" s="56" t="s">
        <v>1749</v>
      </c>
      <c r="M842" s="125"/>
      <c r="N842" s="3" t="str">
        <f t="shared" ca="1" si="192"/>
        <v/>
      </c>
      <c r="O842" s="56"/>
      <c r="P842" s="4"/>
      <c r="Q842" s="4" t="str">
        <f t="shared" si="197"/>
        <v/>
      </c>
      <c r="R842" s="4">
        <f t="shared" si="200"/>
        <v>1</v>
      </c>
      <c r="S842" s="4" t="str">
        <f t="shared" si="193"/>
        <v>0</v>
      </c>
      <c r="T842" s="4">
        <f t="shared" si="188"/>
        <v>1</v>
      </c>
      <c r="U842" s="29"/>
      <c r="V842" s="30" t="s">
        <v>50</v>
      </c>
      <c r="W842" s="30"/>
      <c r="X842" s="30"/>
      <c r="Y842" s="30"/>
      <c r="Z842" s="30"/>
      <c r="AA842" s="30"/>
      <c r="AB842" s="29"/>
      <c r="AC842" s="29"/>
      <c r="AD842" s="37" t="str">
        <f t="shared" si="198"/>
        <v/>
      </c>
      <c r="AE842" s="3" t="str">
        <f t="shared" ca="1" si="196"/>
        <v/>
      </c>
      <c r="AF842" s="38" t="str">
        <f t="shared" si="199"/>
        <v/>
      </c>
    </row>
    <row r="843" spans="1:32" s="7" customFormat="1" ht="32.15" customHeight="1" x14ac:dyDescent="0.35">
      <c r="A843" s="26">
        <f t="shared" si="194"/>
        <v>783</v>
      </c>
      <c r="B843" s="32" t="s">
        <v>2322</v>
      </c>
      <c r="C843" s="258" t="s">
        <v>2335</v>
      </c>
      <c r="D843" s="259"/>
      <c r="E843" s="85" t="s">
        <v>2336</v>
      </c>
      <c r="F843" s="24" t="s">
        <v>43</v>
      </c>
      <c r="G843" s="99" t="s">
        <v>2337</v>
      </c>
      <c r="H843" s="126" t="s">
        <v>554</v>
      </c>
      <c r="I843" s="25" t="s">
        <v>2338</v>
      </c>
      <c r="J843" s="110" t="s">
        <v>338</v>
      </c>
      <c r="K843" s="3" t="str">
        <f t="shared" ca="1" si="195"/>
        <v xml:space="preserve">2 Tahun 11 bulan </v>
      </c>
      <c r="L843" s="56" t="s">
        <v>1749</v>
      </c>
      <c r="M843" s="110" t="s">
        <v>338</v>
      </c>
      <c r="N843" s="3" t="str">
        <f t="shared" ca="1" si="192"/>
        <v xml:space="preserve">2 Tahun 11 bulan </v>
      </c>
      <c r="O843" s="56"/>
      <c r="P843" s="4" t="s">
        <v>968</v>
      </c>
      <c r="Q843" s="4" t="str">
        <f t="shared" si="197"/>
        <v>Perempuan</v>
      </c>
      <c r="R843" s="4">
        <f t="shared" si="200"/>
        <v>1</v>
      </c>
      <c r="S843" s="4" t="str">
        <f t="shared" si="193"/>
        <v>1</v>
      </c>
      <c r="T843" s="4">
        <f t="shared" si="188"/>
        <v>0</v>
      </c>
      <c r="U843" s="29"/>
      <c r="V843" s="30"/>
      <c r="W843" s="30"/>
      <c r="X843" s="30"/>
      <c r="Y843" s="30"/>
      <c r="Z843" s="30"/>
      <c r="AA843" s="30"/>
      <c r="AB843" s="29"/>
      <c r="AC843" s="29"/>
      <c r="AD843" s="37">
        <f t="shared" si="198"/>
        <v>28418</v>
      </c>
      <c r="AE843" s="3" t="str">
        <f t="shared" ca="1" si="196"/>
        <v>48 Tahun 10 bulan 12 Hari</v>
      </c>
      <c r="AF843" s="38">
        <f t="shared" si="199"/>
        <v>50345</v>
      </c>
    </row>
    <row r="844" spans="1:32" s="7" customFormat="1" ht="32.15" customHeight="1" x14ac:dyDescent="0.35">
      <c r="A844" s="26">
        <f t="shared" si="194"/>
        <v>784</v>
      </c>
      <c r="B844" s="32" t="s">
        <v>2322</v>
      </c>
      <c r="C844" s="258" t="s">
        <v>2339</v>
      </c>
      <c r="D844" s="259"/>
      <c r="E844" s="24" t="s">
        <v>108</v>
      </c>
      <c r="F844" s="24"/>
      <c r="G844" s="86"/>
      <c r="H844" s="98"/>
      <c r="I844" s="25"/>
      <c r="J844" s="125"/>
      <c r="K844" s="3" t="str">
        <f t="shared" ca="1" si="195"/>
        <v/>
      </c>
      <c r="L844" s="56" t="s">
        <v>1749</v>
      </c>
      <c r="M844" s="125"/>
      <c r="N844" s="3" t="str">
        <f t="shared" ca="1" si="192"/>
        <v/>
      </c>
      <c r="O844" s="56"/>
      <c r="P844" s="4"/>
      <c r="Q844" s="4" t="str">
        <f t="shared" si="197"/>
        <v/>
      </c>
      <c r="R844" s="4">
        <f t="shared" si="200"/>
        <v>1</v>
      </c>
      <c r="S844" s="4" t="str">
        <f t="shared" si="193"/>
        <v>0</v>
      </c>
      <c r="T844" s="4">
        <f t="shared" si="188"/>
        <v>1</v>
      </c>
      <c r="U844" s="29"/>
      <c r="V844" s="30"/>
      <c r="W844" s="30"/>
      <c r="X844" s="30"/>
      <c r="Y844" s="30"/>
      <c r="Z844" s="30"/>
      <c r="AA844" s="30"/>
      <c r="AB844" s="29"/>
      <c r="AC844" s="29"/>
      <c r="AD844" s="37" t="str">
        <f t="shared" si="198"/>
        <v/>
      </c>
      <c r="AE844" s="3" t="str">
        <f t="shared" ca="1" si="196"/>
        <v/>
      </c>
      <c r="AF844" s="38" t="str">
        <f t="shared" si="199"/>
        <v/>
      </c>
    </row>
    <row r="845" spans="1:32" s="7" customFormat="1" ht="32.15" customHeight="1" x14ac:dyDescent="0.35">
      <c r="A845" s="26">
        <f t="shared" si="194"/>
        <v>785</v>
      </c>
      <c r="B845" s="32" t="s">
        <v>2322</v>
      </c>
      <c r="C845" s="258" t="s">
        <v>2340</v>
      </c>
      <c r="D845" s="259"/>
      <c r="E845" s="97" t="s">
        <v>2341</v>
      </c>
      <c r="F845" s="24" t="s">
        <v>43</v>
      </c>
      <c r="G845" s="86" t="s">
        <v>2945</v>
      </c>
      <c r="H845" s="98" t="s">
        <v>1866</v>
      </c>
      <c r="I845" s="25"/>
      <c r="J845" s="127">
        <v>45993</v>
      </c>
      <c r="K845" s="3" t="str">
        <f t="shared" ca="1" si="195"/>
        <v xml:space="preserve">0 Tahun 8 bulan </v>
      </c>
      <c r="L845" s="56" t="s">
        <v>1749</v>
      </c>
      <c r="M845" s="125"/>
      <c r="N845" s="3" t="str">
        <f t="shared" ca="1" si="192"/>
        <v/>
      </c>
      <c r="O845" s="56"/>
      <c r="P845" s="4"/>
      <c r="Q845" s="4" t="str">
        <f t="shared" si="197"/>
        <v>Perempuan</v>
      </c>
      <c r="R845" s="4">
        <f t="shared" si="200"/>
        <v>1</v>
      </c>
      <c r="S845" s="4" t="str">
        <f t="shared" si="193"/>
        <v>1</v>
      </c>
      <c r="T845" s="4">
        <f t="shared" si="188"/>
        <v>0</v>
      </c>
      <c r="U845" s="29"/>
      <c r="V845" s="30"/>
      <c r="W845" s="30"/>
      <c r="X845" s="30"/>
      <c r="Y845" s="30"/>
      <c r="Z845" s="30"/>
      <c r="AA845" s="30"/>
      <c r="AB845" s="29"/>
      <c r="AC845" s="29"/>
      <c r="AD845" s="37">
        <f t="shared" si="198"/>
        <v>30257</v>
      </c>
      <c r="AE845" s="3" t="str">
        <f t="shared" ca="1" si="196"/>
        <v>43 Tahun 9 bulan 30 Hari</v>
      </c>
      <c r="AF845" s="38">
        <f t="shared" si="199"/>
        <v>52201</v>
      </c>
    </row>
    <row r="846" spans="1:32" s="7" customFormat="1" ht="32.15" customHeight="1" x14ac:dyDescent="0.35">
      <c r="A846" s="26">
        <f t="shared" si="194"/>
        <v>786</v>
      </c>
      <c r="B846" s="32" t="s">
        <v>2322</v>
      </c>
      <c r="C846" s="258" t="s">
        <v>2342</v>
      </c>
      <c r="D846" s="259"/>
      <c r="E846" s="93" t="s">
        <v>2343</v>
      </c>
      <c r="F846" s="24" t="s">
        <v>43</v>
      </c>
      <c r="G846" s="94" t="s">
        <v>2344</v>
      </c>
      <c r="H846" s="4" t="s">
        <v>159</v>
      </c>
      <c r="I846" s="25" t="s">
        <v>441</v>
      </c>
      <c r="J846" s="110" t="s">
        <v>338</v>
      </c>
      <c r="K846" s="3" t="str">
        <f t="shared" ca="1" si="195"/>
        <v xml:space="preserve">2 Tahun 11 bulan </v>
      </c>
      <c r="L846" s="56" t="s">
        <v>1749</v>
      </c>
      <c r="M846" s="110" t="s">
        <v>338</v>
      </c>
      <c r="N846" s="3" t="str">
        <f t="shared" ca="1" si="192"/>
        <v xml:space="preserve">2 Tahun 11 bulan </v>
      </c>
      <c r="O846" s="56"/>
      <c r="P846" s="4"/>
      <c r="Q846" s="4" t="str">
        <f t="shared" si="197"/>
        <v>Laki-Laki</v>
      </c>
      <c r="R846" s="4">
        <f t="shared" si="200"/>
        <v>1</v>
      </c>
      <c r="S846" s="4" t="str">
        <f t="shared" si="193"/>
        <v>1</v>
      </c>
      <c r="T846" s="4">
        <f t="shared" si="188"/>
        <v>0</v>
      </c>
      <c r="U846" s="29"/>
      <c r="V846" s="30"/>
      <c r="W846" s="30"/>
      <c r="X846" s="30"/>
      <c r="Y846" s="30"/>
      <c r="Z846" s="30"/>
      <c r="AA846" s="30"/>
      <c r="AB846" s="29"/>
      <c r="AC846" s="29"/>
      <c r="AD846" s="37">
        <f t="shared" si="198"/>
        <v>27039</v>
      </c>
      <c r="AE846" s="3" t="str">
        <f t="shared" ca="1" si="196"/>
        <v>52 Tahun 7 bulan 22 Hari</v>
      </c>
      <c r="AF846" s="38">
        <f t="shared" si="199"/>
        <v>48976</v>
      </c>
    </row>
    <row r="847" spans="1:32" s="7" customFormat="1" ht="35.25" customHeight="1" x14ac:dyDescent="0.35">
      <c r="A847" s="26">
        <f t="shared" si="194"/>
        <v>787</v>
      </c>
      <c r="B847" s="32" t="s">
        <v>2322</v>
      </c>
      <c r="C847" s="258" t="s">
        <v>2345</v>
      </c>
      <c r="D847" s="259"/>
      <c r="E847" s="97" t="s">
        <v>2346</v>
      </c>
      <c r="F847" s="24" t="s">
        <v>43</v>
      </c>
      <c r="G847" s="86"/>
      <c r="H847" s="98"/>
      <c r="I847" s="25"/>
      <c r="J847" s="112" t="s">
        <v>898</v>
      </c>
      <c r="K847" s="3" t="str">
        <f t="shared" ca="1" si="195"/>
        <v xml:space="preserve">0 Tahun 8 bulan </v>
      </c>
      <c r="L847" s="56" t="s">
        <v>1749</v>
      </c>
      <c r="M847" s="125"/>
      <c r="N847" s="3" t="str">
        <f t="shared" ca="1" si="192"/>
        <v/>
      </c>
      <c r="O847" s="56"/>
      <c r="P847" s="4"/>
      <c r="Q847" s="4" t="str">
        <f t="shared" si="197"/>
        <v/>
      </c>
      <c r="R847" s="4">
        <f t="shared" si="200"/>
        <v>1</v>
      </c>
      <c r="S847" s="4" t="str">
        <f t="shared" si="193"/>
        <v>1</v>
      </c>
      <c r="T847" s="4">
        <f t="shared" si="188"/>
        <v>0</v>
      </c>
      <c r="U847" s="29"/>
      <c r="V847" s="30" t="s">
        <v>50</v>
      </c>
      <c r="W847" s="30"/>
      <c r="X847" s="30"/>
      <c r="Y847" s="30"/>
      <c r="Z847" s="30"/>
      <c r="AA847" s="30"/>
      <c r="AB847" s="29"/>
      <c r="AC847" s="29"/>
      <c r="AD847" s="37" t="str">
        <f t="shared" si="198"/>
        <v/>
      </c>
      <c r="AE847" s="3" t="str">
        <f t="shared" ca="1" si="196"/>
        <v/>
      </c>
      <c r="AF847" s="38" t="str">
        <f t="shared" si="199"/>
        <v/>
      </c>
    </row>
    <row r="848" spans="1:32" s="7" customFormat="1" ht="32.15" customHeight="1" x14ac:dyDescent="0.35">
      <c r="A848" s="26">
        <f t="shared" si="194"/>
        <v>788</v>
      </c>
      <c r="B848" s="32" t="s">
        <v>2322</v>
      </c>
      <c r="C848" s="258" t="s">
        <v>2347</v>
      </c>
      <c r="D848" s="259"/>
      <c r="E848" s="24" t="s">
        <v>108</v>
      </c>
      <c r="F848" s="24"/>
      <c r="G848" s="86"/>
      <c r="H848" s="98"/>
      <c r="I848" s="25"/>
      <c r="J848" s="125"/>
      <c r="K848" s="3" t="str">
        <f t="shared" ca="1" si="195"/>
        <v/>
      </c>
      <c r="L848" s="56" t="s">
        <v>1749</v>
      </c>
      <c r="M848" s="125"/>
      <c r="N848" s="3" t="str">
        <f t="shared" ca="1" si="192"/>
        <v/>
      </c>
      <c r="O848" s="56"/>
      <c r="P848" s="4"/>
      <c r="Q848" s="4" t="str">
        <f t="shared" si="197"/>
        <v/>
      </c>
      <c r="R848" s="4">
        <f t="shared" si="200"/>
        <v>1</v>
      </c>
      <c r="S848" s="4" t="str">
        <f t="shared" si="193"/>
        <v>0</v>
      </c>
      <c r="T848" s="4">
        <f t="shared" si="188"/>
        <v>1</v>
      </c>
      <c r="U848" s="29"/>
      <c r="V848" s="30"/>
      <c r="W848" s="30"/>
      <c r="X848" s="30"/>
      <c r="Y848" s="30"/>
      <c r="Z848" s="30"/>
      <c r="AA848" s="30"/>
      <c r="AB848" s="29"/>
      <c r="AC848" s="29"/>
      <c r="AD848" s="37" t="str">
        <f t="shared" si="198"/>
        <v/>
      </c>
      <c r="AE848" s="3" t="str">
        <f t="shared" ca="1" si="196"/>
        <v/>
      </c>
      <c r="AF848" s="38" t="str">
        <f t="shared" si="199"/>
        <v/>
      </c>
    </row>
    <row r="849" spans="1:32" s="7" customFormat="1" ht="32.15" customHeight="1" x14ac:dyDescent="0.35">
      <c r="A849" s="26">
        <f t="shared" si="194"/>
        <v>789</v>
      </c>
      <c r="B849" s="32" t="s">
        <v>2322</v>
      </c>
      <c r="C849" s="258" t="s">
        <v>2348</v>
      </c>
      <c r="D849" s="259"/>
      <c r="E849" s="24" t="s">
        <v>108</v>
      </c>
      <c r="F849" s="24"/>
      <c r="G849" s="86"/>
      <c r="H849" s="126"/>
      <c r="I849" s="36"/>
      <c r="J849" s="124"/>
      <c r="K849" s="3" t="str">
        <f t="shared" ca="1" si="195"/>
        <v/>
      </c>
      <c r="L849" s="56" t="s">
        <v>1749</v>
      </c>
      <c r="M849" s="124"/>
      <c r="N849" s="3" t="str">
        <f t="shared" ca="1" si="192"/>
        <v/>
      </c>
      <c r="O849" s="56"/>
      <c r="P849" s="4"/>
      <c r="Q849" s="4" t="str">
        <f t="shared" si="197"/>
        <v/>
      </c>
      <c r="R849" s="4">
        <f t="shared" si="200"/>
        <v>1</v>
      </c>
      <c r="S849" s="4" t="str">
        <f t="shared" si="193"/>
        <v>0</v>
      </c>
      <c r="T849" s="4">
        <f t="shared" ref="T849:T916" si="201">R849-S849</f>
        <v>1</v>
      </c>
      <c r="U849" s="29"/>
      <c r="V849" s="30"/>
      <c r="W849" s="30"/>
      <c r="X849" s="30"/>
      <c r="Y849" s="30"/>
      <c r="Z849" s="30"/>
      <c r="AA849" s="30"/>
      <c r="AB849" s="29"/>
      <c r="AC849" s="29"/>
      <c r="AD849" s="37" t="str">
        <f t="shared" si="198"/>
        <v/>
      </c>
      <c r="AE849" s="3" t="str">
        <f t="shared" ca="1" si="196"/>
        <v/>
      </c>
      <c r="AF849" s="38" t="str">
        <f t="shared" si="199"/>
        <v/>
      </c>
    </row>
    <row r="850" spans="1:32" s="7" customFormat="1" ht="32.15" customHeight="1" x14ac:dyDescent="0.35">
      <c r="A850" s="26">
        <f t="shared" si="194"/>
        <v>790</v>
      </c>
      <c r="B850" s="32" t="s">
        <v>2322</v>
      </c>
      <c r="C850" s="258" t="s">
        <v>2349</v>
      </c>
      <c r="D850" s="259"/>
      <c r="E850" s="97" t="s">
        <v>2350</v>
      </c>
      <c r="F850" s="24" t="s">
        <v>43</v>
      </c>
      <c r="G850" s="86" t="s">
        <v>2351</v>
      </c>
      <c r="H850" s="98" t="s">
        <v>1715</v>
      </c>
      <c r="I850" s="25" t="s">
        <v>441</v>
      </c>
      <c r="J850" s="110" t="s">
        <v>338</v>
      </c>
      <c r="K850" s="3" t="str">
        <f t="shared" ca="1" si="195"/>
        <v xml:space="preserve">2 Tahun 11 bulan </v>
      </c>
      <c r="L850" s="56" t="s">
        <v>1749</v>
      </c>
      <c r="M850" s="110" t="s">
        <v>338</v>
      </c>
      <c r="N850" s="3" t="str">
        <f t="shared" ca="1" si="192"/>
        <v xml:space="preserve">2 Tahun 11 bulan </v>
      </c>
      <c r="O850" s="56"/>
      <c r="P850" s="4"/>
      <c r="Q850" s="4" t="str">
        <f t="shared" si="197"/>
        <v>Laki-Laki</v>
      </c>
      <c r="R850" s="4">
        <f t="shared" si="200"/>
        <v>1</v>
      </c>
      <c r="S850" s="4" t="str">
        <f t="shared" si="193"/>
        <v>1</v>
      </c>
      <c r="T850" s="4">
        <f t="shared" si="201"/>
        <v>0</v>
      </c>
      <c r="U850" s="29"/>
      <c r="V850" s="30"/>
      <c r="W850" s="30"/>
      <c r="X850" s="30"/>
      <c r="Y850" s="30"/>
      <c r="Z850" s="30"/>
      <c r="AA850" s="30"/>
      <c r="AB850" s="29"/>
      <c r="AC850" s="29"/>
      <c r="AD850" s="37">
        <f t="shared" si="198"/>
        <v>28241</v>
      </c>
      <c r="AE850" s="3" t="str">
        <f t="shared" ca="1" si="196"/>
        <v>49 Tahun 4 bulan 6 Hari</v>
      </c>
      <c r="AF850" s="38">
        <f t="shared" si="199"/>
        <v>50161</v>
      </c>
    </row>
    <row r="851" spans="1:32" s="7" customFormat="1" ht="32.15" customHeight="1" x14ac:dyDescent="0.35">
      <c r="A851" s="26">
        <f t="shared" si="194"/>
        <v>791</v>
      </c>
      <c r="B851" s="32" t="s">
        <v>2322</v>
      </c>
      <c r="C851" s="258" t="s">
        <v>2352</v>
      </c>
      <c r="D851" s="259"/>
      <c r="E851" s="24" t="s">
        <v>108</v>
      </c>
      <c r="F851" s="24"/>
      <c r="G851" s="86"/>
      <c r="H851" s="98"/>
      <c r="I851" s="25"/>
      <c r="J851" s="124"/>
      <c r="K851" s="3" t="str">
        <f t="shared" ca="1" si="195"/>
        <v/>
      </c>
      <c r="L851" s="56" t="s">
        <v>1749</v>
      </c>
      <c r="M851" s="124"/>
      <c r="N851" s="3" t="str">
        <f t="shared" ca="1" si="192"/>
        <v/>
      </c>
      <c r="O851" s="56"/>
      <c r="P851" s="4"/>
      <c r="Q851" s="4" t="str">
        <f t="shared" si="197"/>
        <v/>
      </c>
      <c r="R851" s="4">
        <f t="shared" si="200"/>
        <v>1</v>
      </c>
      <c r="S851" s="4" t="str">
        <f t="shared" si="193"/>
        <v>0</v>
      </c>
      <c r="T851" s="4">
        <f t="shared" si="201"/>
        <v>1</v>
      </c>
      <c r="U851" s="29"/>
      <c r="V851" s="30"/>
      <c r="W851" s="30"/>
      <c r="X851" s="30"/>
      <c r="Y851" s="30"/>
      <c r="Z851" s="30"/>
      <c r="AA851" s="30"/>
      <c r="AB851" s="29"/>
      <c r="AC851" s="29"/>
      <c r="AD851" s="37" t="str">
        <f t="shared" si="198"/>
        <v/>
      </c>
      <c r="AE851" s="3" t="str">
        <f t="shared" ca="1" si="196"/>
        <v/>
      </c>
      <c r="AF851" s="38" t="str">
        <f t="shared" si="199"/>
        <v/>
      </c>
    </row>
    <row r="852" spans="1:32" s="7" customFormat="1" ht="32.15" customHeight="1" x14ac:dyDescent="0.35">
      <c r="A852" s="26">
        <f t="shared" si="194"/>
        <v>792</v>
      </c>
      <c r="B852" s="32" t="s">
        <v>2322</v>
      </c>
      <c r="C852" s="258" t="s">
        <v>2353</v>
      </c>
      <c r="D852" s="259"/>
      <c r="E852" s="24" t="s">
        <v>108</v>
      </c>
      <c r="F852" s="24"/>
      <c r="G852" s="86"/>
      <c r="H852" s="98"/>
      <c r="I852" s="25"/>
      <c r="J852" s="124"/>
      <c r="K852" s="3" t="str">
        <f t="shared" ca="1" si="195"/>
        <v/>
      </c>
      <c r="L852" s="56" t="s">
        <v>1749</v>
      </c>
      <c r="M852" s="124"/>
      <c r="N852" s="3" t="str">
        <f t="shared" ca="1" si="192"/>
        <v/>
      </c>
      <c r="O852" s="56"/>
      <c r="P852" s="4"/>
      <c r="Q852" s="4" t="str">
        <f t="shared" si="197"/>
        <v/>
      </c>
      <c r="R852" s="4">
        <f t="shared" si="200"/>
        <v>1</v>
      </c>
      <c r="S852" s="4" t="str">
        <f t="shared" si="193"/>
        <v>0</v>
      </c>
      <c r="T852" s="4">
        <f t="shared" si="201"/>
        <v>1</v>
      </c>
      <c r="U852" s="29"/>
      <c r="V852" s="30"/>
      <c r="W852" s="30"/>
      <c r="X852" s="30"/>
      <c r="Y852" s="30"/>
      <c r="Z852" s="30"/>
      <c r="AA852" s="30"/>
      <c r="AB852" s="29"/>
      <c r="AC852" s="29"/>
      <c r="AD852" s="37" t="str">
        <f t="shared" si="198"/>
        <v/>
      </c>
      <c r="AE852" s="3" t="str">
        <f t="shared" ca="1" si="196"/>
        <v/>
      </c>
      <c r="AF852" s="38" t="str">
        <f t="shared" si="199"/>
        <v/>
      </c>
    </row>
    <row r="853" spans="1:32" s="7" customFormat="1" ht="33.75" customHeight="1" x14ac:dyDescent="0.35">
      <c r="A853" s="26">
        <f t="shared" si="194"/>
        <v>793</v>
      </c>
      <c r="B853" s="32" t="s">
        <v>2322</v>
      </c>
      <c r="C853" s="258" t="s">
        <v>2354</v>
      </c>
      <c r="D853" s="259"/>
      <c r="E853" s="24" t="s">
        <v>3005</v>
      </c>
      <c r="F853" s="24" t="s">
        <v>43</v>
      </c>
      <c r="G853" s="86" t="s">
        <v>1233</v>
      </c>
      <c r="H853" s="126" t="s">
        <v>458</v>
      </c>
      <c r="I853" s="25" t="s">
        <v>441</v>
      </c>
      <c r="J853" s="209">
        <v>46198</v>
      </c>
      <c r="K853" s="3" t="str">
        <f t="shared" ca="1" si="195"/>
        <v xml:space="preserve">0 Tahun 2 bulan </v>
      </c>
      <c r="L853" s="56" t="s">
        <v>1749</v>
      </c>
      <c r="M853" s="124"/>
      <c r="N853" s="3" t="str">
        <f t="shared" ca="1" si="192"/>
        <v/>
      </c>
      <c r="O853" s="56"/>
      <c r="P853" s="4"/>
      <c r="Q853" s="4" t="str">
        <f t="shared" si="197"/>
        <v>Laki-Laki</v>
      </c>
      <c r="R853" s="4">
        <f t="shared" si="200"/>
        <v>1</v>
      </c>
      <c r="S853" s="4" t="str">
        <f t="shared" si="193"/>
        <v>1</v>
      </c>
      <c r="T853" s="4">
        <f t="shared" si="201"/>
        <v>0</v>
      </c>
      <c r="U853" s="29"/>
      <c r="V853" s="30"/>
      <c r="W853" s="30"/>
      <c r="X853" s="30"/>
      <c r="Y853" s="30"/>
      <c r="Z853" s="30"/>
      <c r="AA853" s="30"/>
      <c r="AB853" s="29"/>
      <c r="AC853" s="29"/>
      <c r="AD853" s="37">
        <f t="shared" si="198"/>
        <v>29863</v>
      </c>
      <c r="AE853" s="3" t="str">
        <f t="shared" ca="1" si="196"/>
        <v>44 Tahun 10 bulan 28 Hari</v>
      </c>
      <c r="AF853" s="38">
        <f t="shared" si="199"/>
        <v>51806</v>
      </c>
    </row>
    <row r="854" spans="1:32" s="7" customFormat="1" ht="32.15" customHeight="1" x14ac:dyDescent="0.35">
      <c r="A854" s="26"/>
      <c r="B854" s="32" t="s">
        <v>2355</v>
      </c>
      <c r="C854" s="280" t="s">
        <v>2356</v>
      </c>
      <c r="D854" s="281"/>
      <c r="E854" s="24"/>
      <c r="F854" s="24"/>
      <c r="G854" s="4"/>
      <c r="H854" s="4"/>
      <c r="I854" s="33"/>
      <c r="J854" s="5"/>
      <c r="K854" s="3" t="str">
        <f t="shared" ca="1" si="195"/>
        <v/>
      </c>
      <c r="L854" s="30"/>
      <c r="M854" s="5"/>
      <c r="N854" s="3" t="str">
        <f t="shared" ca="1" si="192"/>
        <v/>
      </c>
      <c r="O854" s="4"/>
      <c r="P854" s="4"/>
      <c r="Q854" s="4"/>
      <c r="R854" s="4"/>
      <c r="S854" s="4"/>
      <c r="T854" s="4"/>
      <c r="U854" s="29"/>
      <c r="V854" s="30"/>
      <c r="W854" s="30"/>
      <c r="X854" s="30"/>
      <c r="Y854" s="30"/>
      <c r="Z854" s="29"/>
      <c r="AA854" s="29"/>
      <c r="AB854" s="29"/>
      <c r="AC854" s="29"/>
      <c r="AD854" s="37" t="str">
        <f t="shared" si="198"/>
        <v/>
      </c>
      <c r="AE854" s="3" t="str">
        <f t="shared" ca="1" si="196"/>
        <v/>
      </c>
      <c r="AF854" s="38" t="str">
        <f t="shared" si="199"/>
        <v/>
      </c>
    </row>
    <row r="855" spans="1:32" s="7" customFormat="1" ht="32.15" customHeight="1" x14ac:dyDescent="0.35">
      <c r="A855" s="26">
        <f>A853+1</f>
        <v>794</v>
      </c>
      <c r="B855" s="32" t="s">
        <v>2355</v>
      </c>
      <c r="C855" s="286" t="s">
        <v>2357</v>
      </c>
      <c r="D855" s="287"/>
      <c r="E855" s="128" t="s">
        <v>2358</v>
      </c>
      <c r="F855" s="24" t="s">
        <v>43</v>
      </c>
      <c r="G855" s="3" t="s">
        <v>2359</v>
      </c>
      <c r="H855" s="4" t="s">
        <v>2360</v>
      </c>
      <c r="I855" s="25" t="s">
        <v>86</v>
      </c>
      <c r="J855" s="72" t="s">
        <v>751</v>
      </c>
      <c r="K855" s="3" t="str">
        <f t="shared" ca="1" si="195"/>
        <v xml:space="preserve">5 Tahun 0 bulan </v>
      </c>
      <c r="L855" s="39" t="s">
        <v>200</v>
      </c>
      <c r="M855" s="72" t="s">
        <v>751</v>
      </c>
      <c r="N855" s="3" t="str">
        <f t="shared" ca="1" si="192"/>
        <v xml:space="preserve">5 Tahun 0 bulan </v>
      </c>
      <c r="O855" s="56"/>
      <c r="P855" s="4" t="s">
        <v>35</v>
      </c>
      <c r="Q855" s="4" t="str">
        <f t="shared" si="197"/>
        <v>Laki-Laki</v>
      </c>
      <c r="R855" s="4">
        <f>R853</f>
        <v>1</v>
      </c>
      <c r="S855" s="4" t="str">
        <f t="shared" ref="S855:S886" si="202">IF(E855="LOWONG","0","1")</f>
        <v>1</v>
      </c>
      <c r="T855" s="4">
        <f t="shared" si="201"/>
        <v>0</v>
      </c>
      <c r="U855" s="29"/>
      <c r="V855" s="30" t="s">
        <v>50</v>
      </c>
      <c r="W855" s="30"/>
      <c r="X855" s="30"/>
      <c r="Y855" s="30"/>
      <c r="Z855" s="30"/>
      <c r="AA855" s="30"/>
      <c r="AB855" s="29"/>
      <c r="AC855" s="29"/>
      <c r="AD855" s="37">
        <f t="shared" si="198"/>
        <v>28782</v>
      </c>
      <c r="AE855" s="3" t="str">
        <f t="shared" ca="1" si="196"/>
        <v>47 Tahun 10 bulan 13 Hari</v>
      </c>
      <c r="AF855" s="38">
        <f t="shared" si="199"/>
        <v>50710</v>
      </c>
    </row>
    <row r="856" spans="1:32" s="7" customFormat="1" ht="36" customHeight="1" x14ac:dyDescent="0.35">
      <c r="A856" s="26">
        <f t="shared" si="194"/>
        <v>795</v>
      </c>
      <c r="B856" s="32" t="s">
        <v>2355</v>
      </c>
      <c r="C856" s="26"/>
      <c r="D856" s="129" t="s">
        <v>2361</v>
      </c>
      <c r="E856" s="24" t="s">
        <v>108</v>
      </c>
      <c r="F856" s="24"/>
      <c r="G856" s="130"/>
      <c r="H856" s="114"/>
      <c r="I856" s="25"/>
      <c r="J856" s="124"/>
      <c r="K856" s="3" t="str">
        <f t="shared" ca="1" si="195"/>
        <v/>
      </c>
      <c r="L856" s="25" t="s">
        <v>1749</v>
      </c>
      <c r="M856" s="124"/>
      <c r="N856" s="3" t="str">
        <f t="shared" ca="1" si="192"/>
        <v/>
      </c>
      <c r="O856" s="56"/>
      <c r="P856" s="4"/>
      <c r="Q856" s="4" t="str">
        <f t="shared" si="197"/>
        <v/>
      </c>
      <c r="R856" s="4">
        <f t="shared" si="200"/>
        <v>1</v>
      </c>
      <c r="S856" s="4" t="str">
        <f t="shared" si="202"/>
        <v>0</v>
      </c>
      <c r="T856" s="4">
        <f t="shared" si="201"/>
        <v>1</v>
      </c>
      <c r="U856" s="29"/>
      <c r="V856" s="30"/>
      <c r="W856" s="30"/>
      <c r="X856" s="30"/>
      <c r="Y856" s="30"/>
      <c r="Z856" s="30"/>
      <c r="AA856" s="30"/>
      <c r="AB856" s="29"/>
      <c r="AC856" s="29"/>
      <c r="AD856" s="37" t="str">
        <f t="shared" si="198"/>
        <v/>
      </c>
      <c r="AE856" s="3" t="str">
        <f t="shared" ca="1" si="196"/>
        <v/>
      </c>
      <c r="AF856" s="38" t="str">
        <f t="shared" si="199"/>
        <v/>
      </c>
    </row>
    <row r="857" spans="1:32" s="7" customFormat="1" ht="32.15" customHeight="1" x14ac:dyDescent="0.35">
      <c r="A857" s="26">
        <f t="shared" si="194"/>
        <v>796</v>
      </c>
      <c r="B857" s="32" t="s">
        <v>2355</v>
      </c>
      <c r="C857" s="286" t="s">
        <v>2362</v>
      </c>
      <c r="D857" s="287"/>
      <c r="E857" s="93" t="s">
        <v>2363</v>
      </c>
      <c r="F857" s="24" t="s">
        <v>43</v>
      </c>
      <c r="G857" s="114" t="s">
        <v>2364</v>
      </c>
      <c r="H857" s="4" t="s">
        <v>788</v>
      </c>
      <c r="I857" s="4" t="s">
        <v>184</v>
      </c>
      <c r="J857" s="72" t="s">
        <v>98</v>
      </c>
      <c r="K857" s="3" t="str">
        <f t="shared" ca="1" si="195"/>
        <v xml:space="preserve">3 Tahun 0 bulan </v>
      </c>
      <c r="L857" s="39" t="s">
        <v>200</v>
      </c>
      <c r="M857" s="72" t="s">
        <v>98</v>
      </c>
      <c r="N857" s="3" t="str">
        <f t="shared" ca="1" si="192"/>
        <v xml:space="preserve">3 Tahun 0 bulan </v>
      </c>
      <c r="O857" s="4"/>
      <c r="P857" s="4" t="s">
        <v>35</v>
      </c>
      <c r="Q857" s="4" t="str">
        <f t="shared" si="197"/>
        <v>Laki-Laki</v>
      </c>
      <c r="R857" s="4">
        <f t="shared" si="200"/>
        <v>1</v>
      </c>
      <c r="S857" s="4" t="str">
        <f t="shared" si="202"/>
        <v>1</v>
      </c>
      <c r="T857" s="4">
        <f t="shared" si="201"/>
        <v>0</v>
      </c>
      <c r="U857" s="29"/>
      <c r="V857" s="30" t="s">
        <v>50</v>
      </c>
      <c r="W857" s="30"/>
      <c r="X857" s="30"/>
      <c r="Y857" s="30"/>
      <c r="Z857" s="30"/>
      <c r="AA857" s="30"/>
      <c r="AB857" s="29"/>
      <c r="AC857" s="29"/>
      <c r="AD857" s="37">
        <f t="shared" si="198"/>
        <v>30224</v>
      </c>
      <c r="AE857" s="3" t="str">
        <f t="shared" ca="1" si="196"/>
        <v>43 Tahun 11 bulan 2 Hari</v>
      </c>
      <c r="AF857" s="38">
        <f t="shared" si="199"/>
        <v>52140</v>
      </c>
    </row>
    <row r="858" spans="1:32" s="7" customFormat="1" ht="38.25" customHeight="1" x14ac:dyDescent="0.35">
      <c r="A858" s="26">
        <f t="shared" si="194"/>
        <v>797</v>
      </c>
      <c r="B858" s="32" t="s">
        <v>2355</v>
      </c>
      <c r="C858" s="26"/>
      <c r="D858" s="129" t="s">
        <v>2365</v>
      </c>
      <c r="E858" s="24" t="s">
        <v>530</v>
      </c>
      <c r="F858" s="24" t="s">
        <v>43</v>
      </c>
      <c r="G858" s="130" t="s">
        <v>531</v>
      </c>
      <c r="H858" s="114" t="s">
        <v>379</v>
      </c>
      <c r="I858" s="25" t="s">
        <v>446</v>
      </c>
      <c r="J858" s="131" t="s">
        <v>898</v>
      </c>
      <c r="K858" s="3" t="str">
        <f t="shared" ca="1" si="195"/>
        <v xml:space="preserve">0 Tahun 8 bulan </v>
      </c>
      <c r="L858" s="25" t="s">
        <v>1749</v>
      </c>
      <c r="M858" s="124"/>
      <c r="N858" s="3" t="str">
        <f t="shared" ca="1" si="192"/>
        <v/>
      </c>
      <c r="O858" s="56"/>
      <c r="P858" s="4"/>
      <c r="Q858" s="4" t="str">
        <f t="shared" si="197"/>
        <v>Laki-Laki</v>
      </c>
      <c r="R858" s="4">
        <f t="shared" si="200"/>
        <v>1</v>
      </c>
      <c r="S858" s="4" t="str">
        <f t="shared" si="202"/>
        <v>1</v>
      </c>
      <c r="T858" s="4">
        <f t="shared" si="201"/>
        <v>0</v>
      </c>
      <c r="U858" s="29"/>
      <c r="V858" s="30"/>
      <c r="W858" s="30"/>
      <c r="X858" s="30"/>
      <c r="Y858" s="30"/>
      <c r="Z858" s="30"/>
      <c r="AA858" s="30"/>
      <c r="AB858" s="29"/>
      <c r="AC858" s="29"/>
      <c r="AD858" s="37">
        <f t="shared" si="198"/>
        <v>28646</v>
      </c>
      <c r="AE858" s="3" t="str">
        <f t="shared" ca="1" si="196"/>
        <v>48 Tahun 2 bulan 27 Hari</v>
      </c>
      <c r="AF858" s="38">
        <f t="shared" si="199"/>
        <v>50587</v>
      </c>
    </row>
    <row r="859" spans="1:32" s="7" customFormat="1" ht="32.15" customHeight="1" x14ac:dyDescent="0.35">
      <c r="A859" s="26">
        <f t="shared" si="194"/>
        <v>798</v>
      </c>
      <c r="B859" s="32" t="s">
        <v>2355</v>
      </c>
      <c r="C859" s="286" t="s">
        <v>2366</v>
      </c>
      <c r="D859" s="287"/>
      <c r="E859" s="93" t="s">
        <v>2367</v>
      </c>
      <c r="F859" s="24" t="s">
        <v>43</v>
      </c>
      <c r="G859" s="114" t="s">
        <v>2368</v>
      </c>
      <c r="H859" s="4" t="s">
        <v>2360</v>
      </c>
      <c r="I859" s="25" t="s">
        <v>441</v>
      </c>
      <c r="J859" s="72" t="s">
        <v>501</v>
      </c>
      <c r="K859" s="3" t="str">
        <f t="shared" ca="1" si="195"/>
        <v xml:space="preserve">5 Tahun 2 bulan </v>
      </c>
      <c r="L859" s="39" t="s">
        <v>200</v>
      </c>
      <c r="M859" s="72" t="s">
        <v>501</v>
      </c>
      <c r="N859" s="3" t="str">
        <f t="shared" ca="1" si="192"/>
        <v xml:space="preserve">5 Tahun 2 bulan </v>
      </c>
      <c r="O859" s="56"/>
      <c r="P859" s="4" t="s">
        <v>35</v>
      </c>
      <c r="Q859" s="4" t="str">
        <f t="shared" si="197"/>
        <v/>
      </c>
      <c r="R859" s="4">
        <f t="shared" si="200"/>
        <v>1</v>
      </c>
      <c r="S859" s="4" t="str">
        <f t="shared" si="202"/>
        <v>1</v>
      </c>
      <c r="T859" s="4">
        <f t="shared" si="201"/>
        <v>0</v>
      </c>
      <c r="U859" s="29"/>
      <c r="V859" s="30"/>
      <c r="W859" s="30"/>
      <c r="X859" s="30"/>
      <c r="Y859" s="30"/>
      <c r="Z859" s="30"/>
      <c r="AA859" s="30"/>
      <c r="AB859" s="29"/>
      <c r="AC859" s="29"/>
      <c r="AD859" s="37">
        <f t="shared" si="198"/>
        <v>27179</v>
      </c>
      <c r="AE859" s="3" t="str">
        <f t="shared" ca="1" si="196"/>
        <v>52 Tahun 3 bulan 2 Hari</v>
      </c>
      <c r="AF859" s="38">
        <f t="shared" si="199"/>
        <v>49096</v>
      </c>
    </row>
    <row r="860" spans="1:32" s="7" customFormat="1" ht="20" x14ac:dyDescent="0.35">
      <c r="A860" s="26">
        <f t="shared" si="194"/>
        <v>799</v>
      </c>
      <c r="B860" s="32" t="s">
        <v>2355</v>
      </c>
      <c r="C860" s="26"/>
      <c r="D860" s="129" t="s">
        <v>2369</v>
      </c>
      <c r="E860" s="24" t="s">
        <v>108</v>
      </c>
      <c r="F860" s="24"/>
      <c r="G860" s="130"/>
      <c r="H860" s="114"/>
      <c r="I860" s="25"/>
      <c r="J860" s="124"/>
      <c r="K860" s="3" t="str">
        <f t="shared" ca="1" si="195"/>
        <v/>
      </c>
      <c r="L860" s="25" t="s">
        <v>1749</v>
      </c>
      <c r="M860" s="124"/>
      <c r="N860" s="3" t="str">
        <f t="shared" ca="1" si="192"/>
        <v/>
      </c>
      <c r="O860" s="56"/>
      <c r="P860" s="4"/>
      <c r="Q860" s="4" t="str">
        <f t="shared" si="197"/>
        <v/>
      </c>
      <c r="R860" s="4">
        <f t="shared" si="200"/>
        <v>1</v>
      </c>
      <c r="S860" s="4" t="str">
        <f t="shared" si="202"/>
        <v>0</v>
      </c>
      <c r="T860" s="4">
        <f t="shared" si="201"/>
        <v>1</v>
      </c>
      <c r="U860" s="29"/>
      <c r="V860" s="30"/>
      <c r="W860" s="30"/>
      <c r="X860" s="30"/>
      <c r="Y860" s="30"/>
      <c r="Z860" s="30"/>
      <c r="AA860" s="30"/>
      <c r="AB860" s="29"/>
      <c r="AC860" s="29"/>
      <c r="AD860" s="37" t="str">
        <f t="shared" si="198"/>
        <v/>
      </c>
      <c r="AE860" s="3" t="str">
        <f t="shared" ca="1" si="196"/>
        <v/>
      </c>
      <c r="AF860" s="38" t="str">
        <f t="shared" si="199"/>
        <v/>
      </c>
    </row>
    <row r="861" spans="1:32" s="7" customFormat="1" ht="32.15" customHeight="1" x14ac:dyDescent="0.35">
      <c r="A861" s="26">
        <f t="shared" si="194"/>
        <v>800</v>
      </c>
      <c r="B861" s="32" t="s">
        <v>2355</v>
      </c>
      <c r="C861" s="286" t="s">
        <v>2370</v>
      </c>
      <c r="D861" s="287"/>
      <c r="E861" s="93" t="s">
        <v>2371</v>
      </c>
      <c r="F861" s="24" t="s">
        <v>43</v>
      </c>
      <c r="G861" s="94" t="s">
        <v>2372</v>
      </c>
      <c r="H861" s="36" t="s">
        <v>554</v>
      </c>
      <c r="I861" s="25" t="s">
        <v>86</v>
      </c>
      <c r="J861" s="72" t="s">
        <v>338</v>
      </c>
      <c r="K861" s="3" t="str">
        <f t="shared" ca="1" si="195"/>
        <v xml:space="preserve">2 Tahun 11 bulan </v>
      </c>
      <c r="L861" s="39" t="s">
        <v>200</v>
      </c>
      <c r="M861" s="72" t="s">
        <v>338</v>
      </c>
      <c r="N861" s="3" t="str">
        <f t="shared" ca="1" si="192"/>
        <v xml:space="preserve">2 Tahun 11 bulan </v>
      </c>
      <c r="O861" s="56"/>
      <c r="P861" s="4" t="s">
        <v>35</v>
      </c>
      <c r="Q861" s="4" t="str">
        <f t="shared" si="197"/>
        <v>Laki-Laki</v>
      </c>
      <c r="R861" s="4">
        <f t="shared" si="200"/>
        <v>1</v>
      </c>
      <c r="S861" s="4" t="str">
        <f t="shared" si="202"/>
        <v>1</v>
      </c>
      <c r="T861" s="4">
        <f t="shared" si="201"/>
        <v>0</v>
      </c>
      <c r="U861" s="29"/>
      <c r="V861" s="30" t="s">
        <v>50</v>
      </c>
      <c r="W861" s="30"/>
      <c r="X861" s="30"/>
      <c r="Y861" s="30"/>
      <c r="Z861" s="30"/>
      <c r="AA861" s="30"/>
      <c r="AB861" s="29"/>
      <c r="AC861" s="29"/>
      <c r="AD861" s="37">
        <f t="shared" si="198"/>
        <v>26841</v>
      </c>
      <c r="AE861" s="3" t="str">
        <f t="shared" ca="1" si="196"/>
        <v>53 Tahun 2 bulan 6 Hari</v>
      </c>
      <c r="AF861" s="38">
        <f t="shared" si="199"/>
        <v>48761</v>
      </c>
    </row>
    <row r="862" spans="1:32" s="7" customFormat="1" ht="37.5" customHeight="1" x14ac:dyDescent="0.35">
      <c r="A862" s="26">
        <f t="shared" si="194"/>
        <v>801</v>
      </c>
      <c r="B862" s="32" t="s">
        <v>2355</v>
      </c>
      <c r="C862" s="26"/>
      <c r="D862" s="129" t="s">
        <v>2373</v>
      </c>
      <c r="E862" s="24" t="s">
        <v>108</v>
      </c>
      <c r="F862" s="24"/>
      <c r="G862" s="70"/>
      <c r="H862" s="56"/>
      <c r="I862" s="25"/>
      <c r="J862" s="131"/>
      <c r="K862" s="3" t="str">
        <f t="shared" ca="1" si="195"/>
        <v/>
      </c>
      <c r="L862" s="25" t="s">
        <v>1749</v>
      </c>
      <c r="M862" s="124"/>
      <c r="N862" s="3" t="str">
        <f t="shared" ca="1" si="192"/>
        <v/>
      </c>
      <c r="O862" s="56"/>
      <c r="P862" s="4"/>
      <c r="Q862" s="4" t="str">
        <f t="shared" si="197"/>
        <v/>
      </c>
      <c r="R862" s="4">
        <f t="shared" si="200"/>
        <v>1</v>
      </c>
      <c r="S862" s="4" t="str">
        <f t="shared" si="202"/>
        <v>0</v>
      </c>
      <c r="T862" s="4">
        <f t="shared" si="201"/>
        <v>1</v>
      </c>
      <c r="U862" s="29"/>
      <c r="V862" s="30"/>
      <c r="W862" s="30"/>
      <c r="X862" s="30"/>
      <c r="Y862" s="30"/>
      <c r="Z862" s="30"/>
      <c r="AA862" s="30"/>
      <c r="AB862" s="29"/>
      <c r="AC862" s="29"/>
      <c r="AD862" s="37" t="str">
        <f t="shared" si="198"/>
        <v/>
      </c>
      <c r="AE862" s="3" t="str">
        <f t="shared" ca="1" si="196"/>
        <v/>
      </c>
      <c r="AF862" s="38" t="str">
        <f t="shared" si="199"/>
        <v/>
      </c>
    </row>
    <row r="863" spans="1:32" s="7" customFormat="1" ht="32.15" customHeight="1" x14ac:dyDescent="0.35">
      <c r="A863" s="26">
        <f t="shared" si="194"/>
        <v>802</v>
      </c>
      <c r="B863" s="32" t="s">
        <v>2355</v>
      </c>
      <c r="C863" s="286" t="s">
        <v>2374</v>
      </c>
      <c r="D863" s="287"/>
      <c r="E863" s="93" t="s">
        <v>2375</v>
      </c>
      <c r="F863" s="24" t="s">
        <v>43</v>
      </c>
      <c r="G863" s="114" t="s">
        <v>2376</v>
      </c>
      <c r="H863" s="114" t="s">
        <v>598</v>
      </c>
      <c r="I863" s="25" t="s">
        <v>1814</v>
      </c>
      <c r="J863" s="72" t="s">
        <v>2377</v>
      </c>
      <c r="K863" s="3" t="str">
        <f t="shared" ca="1" si="195"/>
        <v xml:space="preserve">3 Tahun 7 bulan </v>
      </c>
      <c r="L863" s="39" t="s">
        <v>200</v>
      </c>
      <c r="M863" s="72" t="s">
        <v>2377</v>
      </c>
      <c r="N863" s="3" t="str">
        <f t="shared" ca="1" si="192"/>
        <v xml:space="preserve">3 Tahun 7 bulan </v>
      </c>
      <c r="O863" s="56"/>
      <c r="P863" s="4" t="s">
        <v>35</v>
      </c>
      <c r="Q863" s="4" t="str">
        <f t="shared" si="197"/>
        <v>Laki-Laki</v>
      </c>
      <c r="R863" s="4">
        <f t="shared" si="200"/>
        <v>1</v>
      </c>
      <c r="S863" s="4" t="str">
        <f t="shared" si="202"/>
        <v>1</v>
      </c>
      <c r="T863" s="4">
        <f t="shared" si="201"/>
        <v>0</v>
      </c>
      <c r="U863" s="29"/>
      <c r="V863" s="30" t="s">
        <v>50</v>
      </c>
      <c r="W863" s="30"/>
      <c r="X863" s="30"/>
      <c r="Y863" s="30"/>
      <c r="Z863" s="30"/>
      <c r="AA863" s="30"/>
      <c r="AB863" s="29"/>
      <c r="AC863" s="29"/>
      <c r="AD863" s="37">
        <f t="shared" si="198"/>
        <v>27321</v>
      </c>
      <c r="AE863" s="3" t="str">
        <f t="shared" ca="1" si="196"/>
        <v>51 Tahun 10 bulan 13 Hari</v>
      </c>
      <c r="AF863" s="38">
        <f t="shared" si="199"/>
        <v>49249</v>
      </c>
    </row>
    <row r="864" spans="1:32" s="7" customFormat="1" ht="35.25" customHeight="1" x14ac:dyDescent="0.35">
      <c r="A864" s="26">
        <f t="shared" si="194"/>
        <v>803</v>
      </c>
      <c r="B864" s="32" t="s">
        <v>2355</v>
      </c>
      <c r="C864" s="26"/>
      <c r="D864" s="129" t="s">
        <v>2378</v>
      </c>
      <c r="E864" s="24" t="s">
        <v>108</v>
      </c>
      <c r="F864" s="24"/>
      <c r="G864" s="130"/>
      <c r="H864" s="114"/>
      <c r="I864" s="25"/>
      <c r="J864" s="124"/>
      <c r="K864" s="3" t="str">
        <f t="shared" ca="1" si="195"/>
        <v/>
      </c>
      <c r="L864" s="25" t="s">
        <v>1749</v>
      </c>
      <c r="M864" s="124"/>
      <c r="N864" s="3" t="str">
        <f t="shared" ca="1" si="192"/>
        <v/>
      </c>
      <c r="O864" s="56"/>
      <c r="P864" s="4"/>
      <c r="Q864" s="4" t="str">
        <f t="shared" si="197"/>
        <v/>
      </c>
      <c r="R864" s="4">
        <f t="shared" si="200"/>
        <v>1</v>
      </c>
      <c r="S864" s="4" t="str">
        <f t="shared" si="202"/>
        <v>0</v>
      </c>
      <c r="T864" s="4">
        <f t="shared" si="201"/>
        <v>1</v>
      </c>
      <c r="U864" s="29"/>
      <c r="V864" s="30"/>
      <c r="W864" s="30"/>
      <c r="X864" s="30"/>
      <c r="Y864" s="30"/>
      <c r="Z864" s="30"/>
      <c r="AA864" s="30"/>
      <c r="AB864" s="29"/>
      <c r="AC864" s="29"/>
      <c r="AD864" s="37" t="str">
        <f t="shared" si="198"/>
        <v/>
      </c>
      <c r="AE864" s="3" t="str">
        <f t="shared" ca="1" si="196"/>
        <v/>
      </c>
      <c r="AF864" s="38" t="str">
        <f t="shared" si="199"/>
        <v/>
      </c>
    </row>
    <row r="865" spans="1:32" s="7" customFormat="1" ht="32.15" customHeight="1" x14ac:dyDescent="0.35">
      <c r="A865" s="26">
        <f t="shared" si="194"/>
        <v>804</v>
      </c>
      <c r="B865" s="32" t="s">
        <v>2355</v>
      </c>
      <c r="C865" s="286" t="s">
        <v>2379</v>
      </c>
      <c r="D865" s="287"/>
      <c r="E865" s="93" t="s">
        <v>3063</v>
      </c>
      <c r="F865" s="24" t="s">
        <v>43</v>
      </c>
      <c r="G865" s="114" t="s">
        <v>3064</v>
      </c>
      <c r="H865" s="4" t="s">
        <v>1740</v>
      </c>
      <c r="I865" s="25" t="s">
        <v>107</v>
      </c>
      <c r="J865" s="115">
        <v>46260</v>
      </c>
      <c r="K865" s="3" t="str">
        <f t="shared" ca="1" si="195"/>
        <v xml:space="preserve">0 Tahun 0 bulan </v>
      </c>
      <c r="L865" s="39" t="s">
        <v>200</v>
      </c>
      <c r="M865" s="132"/>
      <c r="N865" s="3" t="str">
        <f t="shared" ca="1" si="192"/>
        <v/>
      </c>
      <c r="O865" s="56"/>
      <c r="P865" s="4"/>
      <c r="Q865" s="4" t="str">
        <f t="shared" si="197"/>
        <v>Laki-Laki</v>
      </c>
      <c r="R865" s="4">
        <f t="shared" si="200"/>
        <v>1</v>
      </c>
      <c r="S865" s="4" t="str">
        <f t="shared" si="202"/>
        <v>1</v>
      </c>
      <c r="T865" s="4">
        <f t="shared" si="201"/>
        <v>0</v>
      </c>
      <c r="U865" s="29"/>
      <c r="V865" s="30" t="s">
        <v>50</v>
      </c>
      <c r="W865" s="30"/>
      <c r="X865" s="30"/>
      <c r="Y865" s="30"/>
      <c r="Z865" s="30"/>
      <c r="AA865" s="30"/>
      <c r="AB865" s="29"/>
      <c r="AC865" s="29"/>
      <c r="AD865" s="37">
        <f t="shared" si="198"/>
        <v>25994</v>
      </c>
      <c r="AE865" s="3" t="str">
        <f t="shared" ca="1" si="196"/>
        <v>55 Tahun 5 bulan 30 Hari</v>
      </c>
      <c r="AF865" s="38">
        <f t="shared" si="199"/>
        <v>47939</v>
      </c>
    </row>
    <row r="866" spans="1:32" s="7" customFormat="1" ht="40.5" customHeight="1" x14ac:dyDescent="0.35">
      <c r="A866" s="26">
        <f t="shared" si="194"/>
        <v>805</v>
      </c>
      <c r="B866" s="32" t="s">
        <v>2355</v>
      </c>
      <c r="C866" s="26"/>
      <c r="D866" s="129" t="s">
        <v>2380</v>
      </c>
      <c r="E866" s="24" t="s">
        <v>108</v>
      </c>
      <c r="F866" s="24"/>
      <c r="G866" s="133"/>
      <c r="H866" s="134"/>
      <c r="I866" s="25"/>
      <c r="J866" s="124"/>
      <c r="K866" s="3" t="str">
        <f t="shared" ca="1" si="195"/>
        <v/>
      </c>
      <c r="L866" s="25" t="s">
        <v>1749</v>
      </c>
      <c r="M866" s="124"/>
      <c r="N866" s="3" t="str">
        <f t="shared" ca="1" si="192"/>
        <v/>
      </c>
      <c r="O866" s="56"/>
      <c r="P866" s="4"/>
      <c r="Q866" s="4" t="str">
        <f t="shared" si="197"/>
        <v/>
      </c>
      <c r="R866" s="4">
        <f t="shared" si="200"/>
        <v>1</v>
      </c>
      <c r="S866" s="4" t="str">
        <f t="shared" si="202"/>
        <v>0</v>
      </c>
      <c r="T866" s="4">
        <f t="shared" si="201"/>
        <v>1</v>
      </c>
      <c r="U866" s="29"/>
      <c r="V866" s="30"/>
      <c r="W866" s="30"/>
      <c r="X866" s="30"/>
      <c r="Y866" s="30"/>
      <c r="Z866" s="30"/>
      <c r="AA866" s="30"/>
      <c r="AB866" s="29"/>
      <c r="AC866" s="29"/>
      <c r="AD866" s="37" t="str">
        <f t="shared" si="198"/>
        <v/>
      </c>
      <c r="AE866" s="3" t="str">
        <f t="shared" ca="1" si="196"/>
        <v/>
      </c>
      <c r="AF866" s="38" t="str">
        <f t="shared" si="199"/>
        <v/>
      </c>
    </row>
    <row r="867" spans="1:32" s="7" customFormat="1" ht="32.15" customHeight="1" x14ac:dyDescent="0.35">
      <c r="A867" s="26">
        <f t="shared" si="194"/>
        <v>806</v>
      </c>
      <c r="B867" s="32" t="s">
        <v>2355</v>
      </c>
      <c r="C867" s="286" t="s">
        <v>2381</v>
      </c>
      <c r="D867" s="287"/>
      <c r="E867" s="71" t="s">
        <v>2382</v>
      </c>
      <c r="F867" s="24" t="s">
        <v>43</v>
      </c>
      <c r="G867" s="70" t="s">
        <v>2383</v>
      </c>
      <c r="H867" s="135" t="s">
        <v>703</v>
      </c>
      <c r="I867" s="25" t="s">
        <v>1814</v>
      </c>
      <c r="J867" s="110" t="s">
        <v>2377</v>
      </c>
      <c r="K867" s="3" t="str">
        <f t="shared" ca="1" si="195"/>
        <v xml:space="preserve">3 Tahun 7 bulan </v>
      </c>
      <c r="L867" s="39" t="s">
        <v>200</v>
      </c>
      <c r="M867" s="110" t="s">
        <v>2377</v>
      </c>
      <c r="N867" s="3" t="str">
        <f t="shared" ca="1" si="192"/>
        <v xml:space="preserve">3 Tahun 7 bulan </v>
      </c>
      <c r="O867" s="56"/>
      <c r="P867" s="4" t="s">
        <v>35</v>
      </c>
      <c r="Q867" s="4" t="str">
        <f t="shared" si="197"/>
        <v>Perempuan</v>
      </c>
      <c r="R867" s="4">
        <f t="shared" si="200"/>
        <v>1</v>
      </c>
      <c r="S867" s="4" t="str">
        <f t="shared" si="202"/>
        <v>1</v>
      </c>
      <c r="T867" s="4">
        <f t="shared" si="201"/>
        <v>0</v>
      </c>
      <c r="U867" s="29"/>
      <c r="V867" s="30"/>
      <c r="W867" s="30"/>
      <c r="X867" s="30"/>
      <c r="Y867" s="30"/>
      <c r="Z867" s="30"/>
      <c r="AA867" s="30"/>
      <c r="AB867" s="29"/>
      <c r="AC867" s="29"/>
      <c r="AD867" s="37">
        <f t="shared" si="198"/>
        <v>25832</v>
      </c>
      <c r="AE867" s="3" t="str">
        <f t="shared" ca="1" si="196"/>
        <v>55 Tahun 11 bulan 11 Hari</v>
      </c>
      <c r="AF867" s="38">
        <f t="shared" si="199"/>
        <v>47757</v>
      </c>
    </row>
    <row r="868" spans="1:32" s="7" customFormat="1" ht="38.25" customHeight="1" x14ac:dyDescent="0.35">
      <c r="A868" s="26">
        <f t="shared" si="194"/>
        <v>807</v>
      </c>
      <c r="B868" s="32" t="s">
        <v>2355</v>
      </c>
      <c r="C868" s="26"/>
      <c r="D868" s="129" t="s">
        <v>2384</v>
      </c>
      <c r="E868" s="24" t="s">
        <v>108</v>
      </c>
      <c r="F868" s="24"/>
      <c r="G868" s="130"/>
      <c r="H868" s="134"/>
      <c r="I868" s="25"/>
      <c r="J868" s="124"/>
      <c r="K868" s="3" t="str">
        <f t="shared" ca="1" si="195"/>
        <v/>
      </c>
      <c r="L868" s="25" t="s">
        <v>1749</v>
      </c>
      <c r="M868" s="124"/>
      <c r="N868" s="3" t="str">
        <f t="shared" ca="1" si="192"/>
        <v/>
      </c>
      <c r="O868" s="56"/>
      <c r="P868" s="4"/>
      <c r="Q868" s="4" t="str">
        <f t="shared" si="197"/>
        <v/>
      </c>
      <c r="R868" s="4">
        <f t="shared" si="200"/>
        <v>1</v>
      </c>
      <c r="S868" s="4" t="str">
        <f t="shared" si="202"/>
        <v>0</v>
      </c>
      <c r="T868" s="4">
        <f t="shared" si="201"/>
        <v>1</v>
      </c>
      <c r="U868" s="29"/>
      <c r="V868" s="30"/>
      <c r="W868" s="30"/>
      <c r="X868" s="30"/>
      <c r="Y868" s="30"/>
      <c r="Z868" s="30"/>
      <c r="AA868" s="30"/>
      <c r="AB868" s="29"/>
      <c r="AC868" s="29"/>
      <c r="AD868" s="37" t="str">
        <f t="shared" si="198"/>
        <v/>
      </c>
      <c r="AE868" s="3" t="str">
        <f t="shared" ca="1" si="196"/>
        <v/>
      </c>
      <c r="AF868" s="38" t="str">
        <f t="shared" si="199"/>
        <v/>
      </c>
    </row>
    <row r="869" spans="1:32" s="7" customFormat="1" ht="32.15" customHeight="1" x14ac:dyDescent="0.35">
      <c r="A869" s="26">
        <f t="shared" si="194"/>
        <v>808</v>
      </c>
      <c r="B869" s="32" t="s">
        <v>2355</v>
      </c>
      <c r="C869" s="286" t="s">
        <v>2385</v>
      </c>
      <c r="D869" s="287"/>
      <c r="E869" s="93" t="s">
        <v>2386</v>
      </c>
      <c r="F869" s="24" t="s">
        <v>43</v>
      </c>
      <c r="G869" s="114" t="s">
        <v>2387</v>
      </c>
      <c r="H869" s="4" t="s">
        <v>2360</v>
      </c>
      <c r="I869" s="25" t="s">
        <v>350</v>
      </c>
      <c r="J869" s="110" t="s">
        <v>751</v>
      </c>
      <c r="K869" s="3" t="str">
        <f t="shared" ca="1" si="195"/>
        <v xml:space="preserve">5 Tahun 0 bulan </v>
      </c>
      <c r="L869" s="39" t="s">
        <v>200</v>
      </c>
      <c r="M869" s="136">
        <v>44413</v>
      </c>
      <c r="N869" s="3" t="str">
        <f t="shared" ca="1" si="192"/>
        <v xml:space="preserve">5 Tahun 0 bulan </v>
      </c>
      <c r="O869" s="56"/>
      <c r="P869" s="4" t="s">
        <v>35</v>
      </c>
      <c r="Q869" s="4" t="str">
        <f t="shared" si="197"/>
        <v>Laki-Laki</v>
      </c>
      <c r="R869" s="4">
        <f t="shared" si="200"/>
        <v>1</v>
      </c>
      <c r="S869" s="4" t="str">
        <f t="shared" si="202"/>
        <v>1</v>
      </c>
      <c r="T869" s="4">
        <f t="shared" si="201"/>
        <v>0</v>
      </c>
      <c r="U869" s="29"/>
      <c r="V869" s="30" t="s">
        <v>50</v>
      </c>
      <c r="W869" s="30"/>
      <c r="X869" s="30"/>
      <c r="Y869" s="30"/>
      <c r="Z869" s="30"/>
      <c r="AA869" s="30"/>
      <c r="AB869" s="29"/>
      <c r="AC869" s="29"/>
      <c r="AD869" s="37">
        <f t="shared" si="198"/>
        <v>26917</v>
      </c>
      <c r="AE869" s="3" t="str">
        <f t="shared" ca="1" si="196"/>
        <v>52 Tahun 11 bulan 22 Hari</v>
      </c>
      <c r="AF869" s="38">
        <f t="shared" si="199"/>
        <v>48853</v>
      </c>
    </row>
    <row r="870" spans="1:32" s="7" customFormat="1" ht="37.5" customHeight="1" x14ac:dyDescent="0.35">
      <c r="A870" s="26">
        <f t="shared" si="194"/>
        <v>809</v>
      </c>
      <c r="B870" s="32" t="s">
        <v>2355</v>
      </c>
      <c r="C870" s="26"/>
      <c r="D870" s="129" t="s">
        <v>2388</v>
      </c>
      <c r="E870" s="24" t="s">
        <v>108</v>
      </c>
      <c r="F870" s="24"/>
      <c r="G870" s="130"/>
      <c r="H870" s="134"/>
      <c r="I870" s="25"/>
      <c r="J870" s="124"/>
      <c r="K870" s="3" t="str">
        <f t="shared" ca="1" si="195"/>
        <v/>
      </c>
      <c r="L870" s="25" t="s">
        <v>1749</v>
      </c>
      <c r="M870" s="124"/>
      <c r="N870" s="3" t="str">
        <f t="shared" ca="1" si="192"/>
        <v/>
      </c>
      <c r="O870" s="56"/>
      <c r="P870" s="4"/>
      <c r="Q870" s="4" t="str">
        <f t="shared" si="197"/>
        <v/>
      </c>
      <c r="R870" s="4">
        <f t="shared" si="200"/>
        <v>1</v>
      </c>
      <c r="S870" s="4" t="str">
        <f t="shared" si="202"/>
        <v>0</v>
      </c>
      <c r="T870" s="4">
        <f t="shared" si="201"/>
        <v>1</v>
      </c>
      <c r="U870" s="29"/>
      <c r="V870" s="30"/>
      <c r="W870" s="30"/>
      <c r="X870" s="30"/>
      <c r="Y870" s="30"/>
      <c r="Z870" s="30"/>
      <c r="AA870" s="30"/>
      <c r="AB870" s="29"/>
      <c r="AC870" s="29"/>
      <c r="AD870" s="37" t="str">
        <f t="shared" si="198"/>
        <v/>
      </c>
      <c r="AE870" s="3" t="str">
        <f t="shared" ca="1" si="196"/>
        <v/>
      </c>
      <c r="AF870" s="38" t="str">
        <f t="shared" si="199"/>
        <v/>
      </c>
    </row>
    <row r="871" spans="1:32" s="7" customFormat="1" ht="32.15" customHeight="1" x14ac:dyDescent="0.35">
      <c r="A871" s="26">
        <f t="shared" si="194"/>
        <v>810</v>
      </c>
      <c r="B871" s="32" t="s">
        <v>2355</v>
      </c>
      <c r="C871" s="286" t="s">
        <v>2389</v>
      </c>
      <c r="D871" s="287"/>
      <c r="E871" s="93" t="s">
        <v>108</v>
      </c>
      <c r="F871" s="93"/>
      <c r="G871" s="114"/>
      <c r="H871" s="134"/>
      <c r="I871" s="25"/>
      <c r="J871" s="132"/>
      <c r="K871" s="3" t="str">
        <f t="shared" ca="1" si="195"/>
        <v/>
      </c>
      <c r="L871" s="39" t="s">
        <v>200</v>
      </c>
      <c r="M871" s="132"/>
      <c r="N871" s="3" t="str">
        <f t="shared" ca="1" si="192"/>
        <v/>
      </c>
      <c r="O871" s="56"/>
      <c r="P871" s="4"/>
      <c r="Q871" s="4" t="str">
        <f t="shared" si="197"/>
        <v/>
      </c>
      <c r="R871" s="4">
        <f t="shared" si="200"/>
        <v>1</v>
      </c>
      <c r="S871" s="4" t="str">
        <f t="shared" si="202"/>
        <v>0</v>
      </c>
      <c r="T871" s="4">
        <f t="shared" si="201"/>
        <v>1</v>
      </c>
      <c r="U871" s="29"/>
      <c r="V871" s="30" t="s">
        <v>50</v>
      </c>
      <c r="W871" s="30"/>
      <c r="X871" s="30"/>
      <c r="Y871" s="30"/>
      <c r="Z871" s="30"/>
      <c r="AA871" s="30"/>
      <c r="AB871" s="29"/>
      <c r="AC871" s="29"/>
      <c r="AD871" s="37" t="str">
        <f t="shared" si="198"/>
        <v/>
      </c>
      <c r="AE871" s="3" t="str">
        <f t="shared" ca="1" si="196"/>
        <v/>
      </c>
      <c r="AF871" s="38" t="str">
        <f t="shared" si="199"/>
        <v/>
      </c>
    </row>
    <row r="872" spans="1:32" s="7" customFormat="1" ht="38.25" customHeight="1" x14ac:dyDescent="0.35">
      <c r="A872" s="26">
        <f t="shared" si="194"/>
        <v>811</v>
      </c>
      <c r="B872" s="32" t="s">
        <v>2355</v>
      </c>
      <c r="C872" s="26"/>
      <c r="D872" s="129" t="s">
        <v>2390</v>
      </c>
      <c r="E872" s="24" t="s">
        <v>108</v>
      </c>
      <c r="F872" s="24"/>
      <c r="G872" s="130"/>
      <c r="H872" s="134"/>
      <c r="I872" s="25"/>
      <c r="J872" s="124"/>
      <c r="K872" s="3" t="str">
        <f t="shared" ca="1" si="195"/>
        <v/>
      </c>
      <c r="L872" s="25" t="s">
        <v>1749</v>
      </c>
      <c r="M872" s="124"/>
      <c r="N872" s="3" t="str">
        <f t="shared" ca="1" si="192"/>
        <v/>
      </c>
      <c r="O872" s="56"/>
      <c r="P872" s="4"/>
      <c r="Q872" s="4" t="str">
        <f t="shared" si="197"/>
        <v/>
      </c>
      <c r="R872" s="4">
        <f t="shared" si="200"/>
        <v>1</v>
      </c>
      <c r="S872" s="4" t="str">
        <f t="shared" si="202"/>
        <v>0</v>
      </c>
      <c r="T872" s="4">
        <f t="shared" si="201"/>
        <v>1</v>
      </c>
      <c r="U872" s="29"/>
      <c r="V872" s="30"/>
      <c r="W872" s="30"/>
      <c r="X872" s="30"/>
      <c r="Y872" s="30"/>
      <c r="Z872" s="30"/>
      <c r="AA872" s="30"/>
      <c r="AB872" s="29"/>
      <c r="AC872" s="29"/>
      <c r="AD872" s="37" t="str">
        <f t="shared" si="198"/>
        <v/>
      </c>
      <c r="AE872" s="3" t="str">
        <f t="shared" ca="1" si="196"/>
        <v/>
      </c>
      <c r="AF872" s="38" t="str">
        <f t="shared" si="199"/>
        <v/>
      </c>
    </row>
    <row r="873" spans="1:32" s="7" customFormat="1" ht="32.15" customHeight="1" x14ac:dyDescent="0.35">
      <c r="A873" s="26">
        <f t="shared" si="194"/>
        <v>812</v>
      </c>
      <c r="B873" s="32" t="s">
        <v>2355</v>
      </c>
      <c r="C873" s="286" t="s">
        <v>2391</v>
      </c>
      <c r="D873" s="287"/>
      <c r="E873" s="24" t="s">
        <v>108</v>
      </c>
      <c r="F873" s="24"/>
      <c r="G873" s="130"/>
      <c r="H873" s="134"/>
      <c r="I873" s="25"/>
      <c r="J873" s="124"/>
      <c r="K873" s="3" t="str">
        <f t="shared" ca="1" si="195"/>
        <v/>
      </c>
      <c r="L873" s="39" t="s">
        <v>200</v>
      </c>
      <c r="M873" s="124"/>
      <c r="N873" s="3" t="str">
        <f t="shared" ca="1" si="192"/>
        <v/>
      </c>
      <c r="O873" s="56"/>
      <c r="P873" s="4"/>
      <c r="Q873" s="4" t="str">
        <f t="shared" si="197"/>
        <v/>
      </c>
      <c r="R873" s="4">
        <f t="shared" si="200"/>
        <v>1</v>
      </c>
      <c r="S873" s="4" t="str">
        <f t="shared" si="202"/>
        <v>0</v>
      </c>
      <c r="T873" s="4">
        <f t="shared" si="201"/>
        <v>1</v>
      </c>
      <c r="U873" s="29"/>
      <c r="V873" s="30"/>
      <c r="W873" s="30"/>
      <c r="X873" s="30"/>
      <c r="Y873" s="30"/>
      <c r="Z873" s="30"/>
      <c r="AA873" s="30"/>
      <c r="AB873" s="29"/>
      <c r="AC873" s="29"/>
      <c r="AD873" s="37" t="str">
        <f t="shared" si="198"/>
        <v/>
      </c>
      <c r="AE873" s="3" t="str">
        <f t="shared" ca="1" si="196"/>
        <v/>
      </c>
      <c r="AF873" s="38" t="str">
        <f t="shared" si="199"/>
        <v/>
      </c>
    </row>
    <row r="874" spans="1:32" s="7" customFormat="1" ht="36" customHeight="1" x14ac:dyDescent="0.35">
      <c r="A874" s="26">
        <f t="shared" si="194"/>
        <v>813</v>
      </c>
      <c r="B874" s="32" t="s">
        <v>2355</v>
      </c>
      <c r="C874" s="26"/>
      <c r="D874" s="129" t="s">
        <v>2392</v>
      </c>
      <c r="E874" s="24" t="s">
        <v>108</v>
      </c>
      <c r="F874" s="24"/>
      <c r="G874" s="130"/>
      <c r="H874" s="134"/>
      <c r="I874" s="25"/>
      <c r="J874" s="124"/>
      <c r="K874" s="3" t="str">
        <f t="shared" ca="1" si="195"/>
        <v/>
      </c>
      <c r="L874" s="25" t="s">
        <v>1749</v>
      </c>
      <c r="M874" s="124"/>
      <c r="N874" s="3" t="str">
        <f t="shared" ca="1" si="192"/>
        <v/>
      </c>
      <c r="O874" s="56"/>
      <c r="P874" s="4"/>
      <c r="Q874" s="4" t="str">
        <f t="shared" si="197"/>
        <v/>
      </c>
      <c r="R874" s="4">
        <f t="shared" si="200"/>
        <v>1</v>
      </c>
      <c r="S874" s="4" t="str">
        <f t="shared" si="202"/>
        <v>0</v>
      </c>
      <c r="T874" s="4">
        <f t="shared" si="201"/>
        <v>1</v>
      </c>
      <c r="U874" s="29"/>
      <c r="V874" s="30"/>
      <c r="W874" s="30"/>
      <c r="X874" s="30"/>
      <c r="Y874" s="30"/>
      <c r="Z874" s="30"/>
      <c r="AA874" s="30"/>
      <c r="AB874" s="29"/>
      <c r="AC874" s="29"/>
      <c r="AD874" s="37" t="str">
        <f t="shared" si="198"/>
        <v/>
      </c>
      <c r="AE874" s="3" t="str">
        <f t="shared" ca="1" si="196"/>
        <v/>
      </c>
      <c r="AF874" s="38" t="str">
        <f t="shared" si="199"/>
        <v/>
      </c>
    </row>
    <row r="875" spans="1:32" s="7" customFormat="1" ht="32.15" customHeight="1" x14ac:dyDescent="0.35">
      <c r="A875" s="26">
        <f t="shared" si="194"/>
        <v>814</v>
      </c>
      <c r="B875" s="32" t="s">
        <v>2355</v>
      </c>
      <c r="C875" s="286" t="s">
        <v>2393</v>
      </c>
      <c r="D875" s="287"/>
      <c r="E875" s="93" t="s">
        <v>2394</v>
      </c>
      <c r="F875" s="24" t="s">
        <v>43</v>
      </c>
      <c r="G875" s="114" t="s">
        <v>2395</v>
      </c>
      <c r="H875" s="134" t="s">
        <v>584</v>
      </c>
      <c r="I875" s="25" t="s">
        <v>184</v>
      </c>
      <c r="J875" s="72" t="s">
        <v>501</v>
      </c>
      <c r="K875" s="3" t="str">
        <f t="shared" ca="1" si="195"/>
        <v xml:space="preserve">5 Tahun 2 bulan </v>
      </c>
      <c r="L875" s="39" t="s">
        <v>200</v>
      </c>
      <c r="M875" s="72" t="s">
        <v>501</v>
      </c>
      <c r="N875" s="3" t="str">
        <f t="shared" ca="1" si="192"/>
        <v xml:space="preserve">5 Tahun 2 bulan </v>
      </c>
      <c r="O875" s="56"/>
      <c r="P875" s="4" t="s">
        <v>35</v>
      </c>
      <c r="Q875" s="4" t="str">
        <f t="shared" si="197"/>
        <v>Laki-Laki</v>
      </c>
      <c r="R875" s="4">
        <f t="shared" si="200"/>
        <v>1</v>
      </c>
      <c r="S875" s="4" t="str">
        <f t="shared" si="202"/>
        <v>1</v>
      </c>
      <c r="T875" s="4">
        <f t="shared" si="201"/>
        <v>0</v>
      </c>
      <c r="U875" s="29"/>
      <c r="V875" s="30" t="s">
        <v>50</v>
      </c>
      <c r="W875" s="30"/>
      <c r="X875" s="30"/>
      <c r="Y875" s="30"/>
      <c r="Z875" s="30"/>
      <c r="AA875" s="30"/>
      <c r="AB875" s="29"/>
      <c r="AC875" s="29"/>
      <c r="AD875" s="37">
        <f t="shared" si="198"/>
        <v>27324</v>
      </c>
      <c r="AE875" s="3" t="str">
        <f t="shared" ca="1" si="196"/>
        <v>51 Tahun 10 bulan 10 Hari</v>
      </c>
      <c r="AF875" s="38">
        <f t="shared" si="199"/>
        <v>49249</v>
      </c>
    </row>
    <row r="876" spans="1:32" s="7" customFormat="1" ht="32.15" customHeight="1" x14ac:dyDescent="0.35">
      <c r="A876" s="26">
        <f t="shared" si="194"/>
        <v>815</v>
      </c>
      <c r="B876" s="32" t="s">
        <v>2355</v>
      </c>
      <c r="C876" s="26"/>
      <c r="D876" s="129" t="s">
        <v>2396</v>
      </c>
      <c r="E876" s="24" t="s">
        <v>108</v>
      </c>
      <c r="F876" s="24"/>
      <c r="G876" s="94"/>
      <c r="H876" s="98"/>
      <c r="I876" s="25"/>
      <c r="J876" s="124"/>
      <c r="K876" s="3" t="str">
        <f t="shared" ca="1" si="195"/>
        <v/>
      </c>
      <c r="L876" s="25" t="s">
        <v>1749</v>
      </c>
      <c r="M876" s="124"/>
      <c r="N876" s="3" t="str">
        <f t="shared" ca="1" si="192"/>
        <v/>
      </c>
      <c r="O876" s="56"/>
      <c r="P876" s="4"/>
      <c r="Q876" s="4" t="str">
        <f t="shared" si="197"/>
        <v/>
      </c>
      <c r="R876" s="4">
        <f t="shared" si="200"/>
        <v>1</v>
      </c>
      <c r="S876" s="4" t="str">
        <f t="shared" si="202"/>
        <v>0</v>
      </c>
      <c r="T876" s="4">
        <f t="shared" si="201"/>
        <v>1</v>
      </c>
      <c r="U876" s="29"/>
      <c r="V876" s="30"/>
      <c r="W876" s="30"/>
      <c r="X876" s="30"/>
      <c r="Y876" s="30"/>
      <c r="Z876" s="30"/>
      <c r="AA876" s="30"/>
      <c r="AB876" s="29"/>
      <c r="AC876" s="29"/>
      <c r="AD876" s="37" t="str">
        <f t="shared" si="198"/>
        <v/>
      </c>
      <c r="AE876" s="3" t="str">
        <f t="shared" ca="1" si="196"/>
        <v/>
      </c>
      <c r="AF876" s="38" t="str">
        <f t="shared" si="199"/>
        <v/>
      </c>
    </row>
    <row r="877" spans="1:32" s="7" customFormat="1" ht="32.15" customHeight="1" x14ac:dyDescent="0.35">
      <c r="A877" s="26">
        <f t="shared" si="194"/>
        <v>816</v>
      </c>
      <c r="B877" s="32" t="s">
        <v>2355</v>
      </c>
      <c r="C877" s="286" t="s">
        <v>2397</v>
      </c>
      <c r="D877" s="287"/>
      <c r="E877" s="24" t="s">
        <v>3083</v>
      </c>
      <c r="F877" s="24" t="s">
        <v>43</v>
      </c>
      <c r="G877" s="114" t="s">
        <v>3084</v>
      </c>
      <c r="H877" s="134" t="s">
        <v>3082</v>
      </c>
      <c r="I877" s="25" t="s">
        <v>3085</v>
      </c>
      <c r="J877" s="96">
        <v>46260</v>
      </c>
      <c r="K877" s="3" t="str">
        <f t="shared" ca="1" si="195"/>
        <v xml:space="preserve">0 Tahun 0 bulan </v>
      </c>
      <c r="L877" s="39" t="s">
        <v>200</v>
      </c>
      <c r="M877" s="124"/>
      <c r="N877" s="3" t="str">
        <f t="shared" ca="1" si="192"/>
        <v/>
      </c>
      <c r="O877" s="56"/>
      <c r="P877" s="4"/>
      <c r="Q877" s="4" t="str">
        <f t="shared" si="197"/>
        <v>Laki-Laki</v>
      </c>
      <c r="R877" s="4">
        <f t="shared" si="200"/>
        <v>1</v>
      </c>
      <c r="S877" s="4" t="str">
        <f t="shared" si="202"/>
        <v>1</v>
      </c>
      <c r="T877" s="4">
        <f t="shared" si="201"/>
        <v>0</v>
      </c>
      <c r="U877" s="29"/>
      <c r="V877" s="30"/>
      <c r="W877" s="30"/>
      <c r="X877" s="30"/>
      <c r="Y877" s="30"/>
      <c r="Z877" s="30"/>
      <c r="AA877" s="30"/>
      <c r="AB877" s="29"/>
      <c r="AC877" s="29"/>
      <c r="AD877" s="37">
        <f t="shared" si="198"/>
        <v>28753</v>
      </c>
      <c r="AE877" s="3" t="str">
        <f t="shared" ca="1" si="196"/>
        <v>47 Tahun 11 bulan 12 Hari</v>
      </c>
      <c r="AF877" s="38">
        <f t="shared" si="199"/>
        <v>50679</v>
      </c>
    </row>
    <row r="878" spans="1:32" s="7" customFormat="1" ht="32.15" customHeight="1" x14ac:dyDescent="0.35">
      <c r="A878" s="26">
        <f t="shared" si="194"/>
        <v>817</v>
      </c>
      <c r="B878" s="32" t="s">
        <v>2355</v>
      </c>
      <c r="C878" s="26"/>
      <c r="D878" s="129" t="s">
        <v>2398</v>
      </c>
      <c r="E878" s="24" t="s">
        <v>108</v>
      </c>
      <c r="F878" s="24"/>
      <c r="G878" s="114"/>
      <c r="H878" s="134"/>
      <c r="I878" s="25"/>
      <c r="J878" s="124"/>
      <c r="K878" s="3" t="str">
        <f t="shared" ca="1" si="195"/>
        <v/>
      </c>
      <c r="L878" s="25" t="s">
        <v>1749</v>
      </c>
      <c r="M878" s="124"/>
      <c r="N878" s="3" t="str">
        <f t="shared" ca="1" si="192"/>
        <v/>
      </c>
      <c r="O878" s="56"/>
      <c r="P878" s="4"/>
      <c r="Q878" s="4" t="str">
        <f t="shared" si="197"/>
        <v/>
      </c>
      <c r="R878" s="4">
        <f t="shared" si="200"/>
        <v>1</v>
      </c>
      <c r="S878" s="4" t="str">
        <f t="shared" si="202"/>
        <v>0</v>
      </c>
      <c r="T878" s="4">
        <f t="shared" si="201"/>
        <v>1</v>
      </c>
      <c r="U878" s="29"/>
      <c r="V878" s="30"/>
      <c r="W878" s="30"/>
      <c r="X878" s="30"/>
      <c r="Y878" s="30"/>
      <c r="Z878" s="30"/>
      <c r="AA878" s="30"/>
      <c r="AB878" s="29"/>
      <c r="AC878" s="29"/>
      <c r="AD878" s="37" t="str">
        <f t="shared" si="198"/>
        <v/>
      </c>
      <c r="AE878" s="3" t="str">
        <f t="shared" ca="1" si="196"/>
        <v/>
      </c>
      <c r="AF878" s="38" t="str">
        <f t="shared" si="199"/>
        <v/>
      </c>
    </row>
    <row r="879" spans="1:32" s="7" customFormat="1" ht="32.15" customHeight="1" x14ac:dyDescent="0.35">
      <c r="A879" s="26">
        <f t="shared" si="194"/>
        <v>818</v>
      </c>
      <c r="B879" s="32" t="s">
        <v>2355</v>
      </c>
      <c r="C879" s="286" t="s">
        <v>2399</v>
      </c>
      <c r="D879" s="287"/>
      <c r="E879" s="93" t="s">
        <v>2400</v>
      </c>
      <c r="F879" s="24" t="s">
        <v>43</v>
      </c>
      <c r="G879" s="94" t="s">
        <v>2401</v>
      </c>
      <c r="H879" s="114" t="s">
        <v>703</v>
      </c>
      <c r="I879" s="25" t="s">
        <v>1337</v>
      </c>
      <c r="J879" s="72" t="s">
        <v>501</v>
      </c>
      <c r="K879" s="3" t="str">
        <f t="shared" ca="1" si="195"/>
        <v xml:space="preserve">5 Tahun 2 bulan </v>
      </c>
      <c r="L879" s="39" t="s">
        <v>200</v>
      </c>
      <c r="M879" s="72" t="s">
        <v>501</v>
      </c>
      <c r="N879" s="3" t="str">
        <f t="shared" ref="N879:N942" ca="1" si="203">IF(M879="","",CONCATENATE(DATEDIF(M879,NOW(),"Y")," Tahun ",DATEDIF(M879,NOW(),"YM")," bulan "))</f>
        <v xml:space="preserve">5 Tahun 2 bulan </v>
      </c>
      <c r="O879" s="56"/>
      <c r="P879" s="4" t="s">
        <v>35</v>
      </c>
      <c r="Q879" s="4" t="str">
        <f t="shared" si="197"/>
        <v>Perempuan</v>
      </c>
      <c r="R879" s="4">
        <f t="shared" si="200"/>
        <v>1</v>
      </c>
      <c r="S879" s="4" t="str">
        <f t="shared" si="202"/>
        <v>1</v>
      </c>
      <c r="T879" s="4">
        <f t="shared" si="201"/>
        <v>0</v>
      </c>
      <c r="U879" s="29"/>
      <c r="V879" s="30"/>
      <c r="W879" s="30"/>
      <c r="X879" s="30"/>
      <c r="Y879" s="30"/>
      <c r="Z879" s="30"/>
      <c r="AA879" s="30"/>
      <c r="AB879" s="29"/>
      <c r="AC879" s="29"/>
      <c r="AD879" s="37">
        <f t="shared" si="198"/>
        <v>26515</v>
      </c>
      <c r="AE879" s="3" t="str">
        <f t="shared" ca="1" si="196"/>
        <v>54 Tahun 0 bulan 28 Hari</v>
      </c>
      <c r="AF879" s="38">
        <f t="shared" si="199"/>
        <v>48458</v>
      </c>
    </row>
    <row r="880" spans="1:32" s="7" customFormat="1" ht="32.15" customHeight="1" x14ac:dyDescent="0.35">
      <c r="A880" s="26">
        <f t="shared" si="194"/>
        <v>819</v>
      </c>
      <c r="B880" s="32" t="s">
        <v>2355</v>
      </c>
      <c r="C880" s="26"/>
      <c r="D880" s="129" t="s">
        <v>2402</v>
      </c>
      <c r="E880" s="24" t="s">
        <v>108</v>
      </c>
      <c r="F880" s="24"/>
      <c r="G880" s="94"/>
      <c r="H880" s="114"/>
      <c r="I880" s="25"/>
      <c r="J880" s="132"/>
      <c r="K880" s="3" t="str">
        <f t="shared" ca="1" si="195"/>
        <v/>
      </c>
      <c r="L880" s="25" t="s">
        <v>1749</v>
      </c>
      <c r="M880" s="132"/>
      <c r="N880" s="3" t="str">
        <f t="shared" ca="1" si="203"/>
        <v/>
      </c>
      <c r="O880" s="56"/>
      <c r="P880" s="4"/>
      <c r="Q880" s="4" t="str">
        <f t="shared" si="197"/>
        <v/>
      </c>
      <c r="R880" s="4">
        <f t="shared" si="200"/>
        <v>1</v>
      </c>
      <c r="S880" s="4" t="str">
        <f t="shared" si="202"/>
        <v>0</v>
      </c>
      <c r="T880" s="4">
        <f t="shared" si="201"/>
        <v>1</v>
      </c>
      <c r="U880" s="29"/>
      <c r="V880" s="30"/>
      <c r="W880" s="30"/>
      <c r="X880" s="30"/>
      <c r="Y880" s="30"/>
      <c r="Z880" s="30"/>
      <c r="AA880" s="30"/>
      <c r="AB880" s="29"/>
      <c r="AC880" s="29"/>
      <c r="AD880" s="37" t="str">
        <f t="shared" si="198"/>
        <v/>
      </c>
      <c r="AE880" s="3" t="str">
        <f t="shared" ca="1" si="196"/>
        <v/>
      </c>
      <c r="AF880" s="38" t="str">
        <f t="shared" si="199"/>
        <v/>
      </c>
    </row>
    <row r="881" spans="1:32" s="7" customFormat="1" ht="32.15" customHeight="1" x14ac:dyDescent="0.35">
      <c r="A881" s="26">
        <f t="shared" si="194"/>
        <v>820</v>
      </c>
      <c r="B881" s="32" t="s">
        <v>2355</v>
      </c>
      <c r="C881" s="286" t="s">
        <v>2403</v>
      </c>
      <c r="D881" s="287"/>
      <c r="E881" s="24" t="s">
        <v>2404</v>
      </c>
      <c r="F881" s="24" t="s">
        <v>43</v>
      </c>
      <c r="G881" s="3" t="s">
        <v>2405</v>
      </c>
      <c r="H881" s="4" t="s">
        <v>1853</v>
      </c>
      <c r="I881" s="4" t="s">
        <v>107</v>
      </c>
      <c r="J881" s="72" t="s">
        <v>501</v>
      </c>
      <c r="K881" s="3" t="str">
        <f t="shared" ca="1" si="195"/>
        <v xml:space="preserve">5 Tahun 2 bulan </v>
      </c>
      <c r="L881" s="39" t="s">
        <v>200</v>
      </c>
      <c r="M881" s="72" t="s">
        <v>501</v>
      </c>
      <c r="N881" s="3" t="str">
        <f t="shared" ca="1" si="203"/>
        <v xml:space="preserve">5 Tahun 2 bulan </v>
      </c>
      <c r="O881" s="4"/>
      <c r="P881" s="4" t="s">
        <v>35</v>
      </c>
      <c r="Q881" s="4" t="str">
        <f t="shared" si="197"/>
        <v>Laki-Laki</v>
      </c>
      <c r="R881" s="4">
        <f t="shared" si="200"/>
        <v>1</v>
      </c>
      <c r="S881" s="4" t="str">
        <f t="shared" si="202"/>
        <v>1</v>
      </c>
      <c r="T881" s="4">
        <f t="shared" si="201"/>
        <v>0</v>
      </c>
      <c r="U881" s="29"/>
      <c r="V881" s="30" t="s">
        <v>50</v>
      </c>
      <c r="W881" s="30"/>
      <c r="X881" s="30"/>
      <c r="Y881" s="30"/>
      <c r="Z881" s="30"/>
      <c r="AA881" s="30"/>
      <c r="AB881" s="29"/>
      <c r="AC881" s="29"/>
      <c r="AD881" s="37">
        <f t="shared" si="198"/>
        <v>27278</v>
      </c>
      <c r="AE881" s="3" t="str">
        <f t="shared" ca="1" si="196"/>
        <v>51 Tahun 11 bulan 26 Hari</v>
      </c>
      <c r="AF881" s="38">
        <f t="shared" si="199"/>
        <v>49218</v>
      </c>
    </row>
    <row r="882" spans="1:32" s="7" customFormat="1" ht="32.15" customHeight="1" x14ac:dyDescent="0.35">
      <c r="A882" s="26">
        <f t="shared" si="194"/>
        <v>821</v>
      </c>
      <c r="B882" s="32" t="s">
        <v>2355</v>
      </c>
      <c r="C882" s="26"/>
      <c r="D882" s="129" t="s">
        <v>2406</v>
      </c>
      <c r="E882" s="24" t="s">
        <v>108</v>
      </c>
      <c r="F882" s="24"/>
      <c r="G882" s="3"/>
      <c r="H882" s="134"/>
      <c r="I882" s="4"/>
      <c r="J882" s="91"/>
      <c r="K882" s="3" t="str">
        <f t="shared" ca="1" si="195"/>
        <v/>
      </c>
      <c r="L882" s="36" t="s">
        <v>1749</v>
      </c>
      <c r="M882" s="91"/>
      <c r="N882" s="3" t="str">
        <f t="shared" ca="1" si="203"/>
        <v/>
      </c>
      <c r="O882" s="4"/>
      <c r="P882" s="4"/>
      <c r="Q882" s="4" t="str">
        <f t="shared" si="197"/>
        <v/>
      </c>
      <c r="R882" s="4">
        <f t="shared" si="200"/>
        <v>1</v>
      </c>
      <c r="S882" s="4" t="str">
        <f t="shared" si="202"/>
        <v>0</v>
      </c>
      <c r="T882" s="4">
        <f t="shared" si="201"/>
        <v>1</v>
      </c>
      <c r="U882" s="29"/>
      <c r="V882" s="30"/>
      <c r="W882" s="30"/>
      <c r="X882" s="30"/>
      <c r="Y882" s="30"/>
      <c r="Z882" s="30"/>
      <c r="AA882" s="30"/>
      <c r="AB882" s="29"/>
      <c r="AC882" s="29"/>
      <c r="AD882" s="37" t="str">
        <f t="shared" si="198"/>
        <v/>
      </c>
      <c r="AE882" s="3" t="str">
        <f t="shared" ca="1" si="196"/>
        <v/>
      </c>
      <c r="AF882" s="38" t="str">
        <f t="shared" si="199"/>
        <v/>
      </c>
    </row>
    <row r="883" spans="1:32" s="7" customFormat="1" ht="32.15" customHeight="1" x14ac:dyDescent="0.35">
      <c r="A883" s="26">
        <f t="shared" si="194"/>
        <v>822</v>
      </c>
      <c r="B883" s="32" t="s">
        <v>2355</v>
      </c>
      <c r="C883" s="286" t="s">
        <v>2407</v>
      </c>
      <c r="D883" s="287"/>
      <c r="E883" s="24" t="s">
        <v>2408</v>
      </c>
      <c r="F883" s="24" t="s">
        <v>43</v>
      </c>
      <c r="G883" s="3" t="s">
        <v>2409</v>
      </c>
      <c r="H883" s="114" t="s">
        <v>2410</v>
      </c>
      <c r="I883" s="4" t="s">
        <v>362</v>
      </c>
      <c r="J883" s="72" t="s">
        <v>501</v>
      </c>
      <c r="K883" s="3" t="str">
        <f t="shared" ca="1" si="195"/>
        <v xml:space="preserve">5 Tahun 2 bulan </v>
      </c>
      <c r="L883" s="39" t="s">
        <v>200</v>
      </c>
      <c r="M883" s="72" t="s">
        <v>501</v>
      </c>
      <c r="N883" s="3" t="str">
        <f t="shared" ca="1" si="203"/>
        <v xml:space="preserve">5 Tahun 2 bulan </v>
      </c>
      <c r="O883" s="4"/>
      <c r="P883" s="4" t="s">
        <v>35</v>
      </c>
      <c r="Q883" s="4" t="str">
        <f t="shared" si="197"/>
        <v>Laki-Laki</v>
      </c>
      <c r="R883" s="4">
        <f t="shared" si="200"/>
        <v>1</v>
      </c>
      <c r="S883" s="4" t="str">
        <f t="shared" si="202"/>
        <v>1</v>
      </c>
      <c r="T883" s="4">
        <f t="shared" si="201"/>
        <v>0</v>
      </c>
      <c r="U883" s="29"/>
      <c r="V883" s="30" t="s">
        <v>50</v>
      </c>
      <c r="W883" s="30"/>
      <c r="X883" s="30"/>
      <c r="Y883" s="30"/>
      <c r="Z883" s="30"/>
      <c r="AA883" s="30"/>
      <c r="AB883" s="29"/>
      <c r="AC883" s="29"/>
      <c r="AD883" s="37">
        <f t="shared" si="198"/>
        <v>27470</v>
      </c>
      <c r="AE883" s="3" t="str">
        <f t="shared" ca="1" si="196"/>
        <v>51 Tahun 5 bulan 15 Hari</v>
      </c>
      <c r="AF883" s="38">
        <f t="shared" si="199"/>
        <v>49400</v>
      </c>
    </row>
    <row r="884" spans="1:32" s="7" customFormat="1" ht="32.15" customHeight="1" x14ac:dyDescent="0.35">
      <c r="A884" s="26">
        <f t="shared" si="194"/>
        <v>823</v>
      </c>
      <c r="B884" s="32" t="s">
        <v>2355</v>
      </c>
      <c r="C884" s="26"/>
      <c r="D884" s="129" t="s">
        <v>2411</v>
      </c>
      <c r="E884" s="24" t="s">
        <v>108</v>
      </c>
      <c r="F884" s="24"/>
      <c r="G884" s="3"/>
      <c r="H884" s="98"/>
      <c r="I884" s="4"/>
      <c r="J884" s="91"/>
      <c r="K884" s="3" t="str">
        <f t="shared" ca="1" si="195"/>
        <v/>
      </c>
      <c r="L884" s="36" t="s">
        <v>1749</v>
      </c>
      <c r="M884" s="91"/>
      <c r="N884" s="3" t="str">
        <f t="shared" ca="1" si="203"/>
        <v/>
      </c>
      <c r="O884" s="4"/>
      <c r="P884" s="4"/>
      <c r="Q884" s="4" t="str">
        <f t="shared" si="197"/>
        <v/>
      </c>
      <c r="R884" s="4">
        <f t="shared" si="200"/>
        <v>1</v>
      </c>
      <c r="S884" s="4" t="str">
        <f t="shared" si="202"/>
        <v>0</v>
      </c>
      <c r="T884" s="4">
        <f t="shared" si="201"/>
        <v>1</v>
      </c>
      <c r="U884" s="29"/>
      <c r="V884" s="30"/>
      <c r="W884" s="30"/>
      <c r="X884" s="30"/>
      <c r="Y884" s="30"/>
      <c r="Z884" s="30"/>
      <c r="AA884" s="30"/>
      <c r="AB884" s="29"/>
      <c r="AC884" s="29"/>
      <c r="AD884" s="37" t="str">
        <f t="shared" si="198"/>
        <v/>
      </c>
      <c r="AE884" s="3" t="str">
        <f t="shared" ca="1" si="196"/>
        <v/>
      </c>
      <c r="AF884" s="38" t="str">
        <f t="shared" si="199"/>
        <v/>
      </c>
    </row>
    <row r="885" spans="1:32" s="7" customFormat="1" ht="32.15" customHeight="1" x14ac:dyDescent="0.35">
      <c r="A885" s="26">
        <f t="shared" si="194"/>
        <v>824</v>
      </c>
      <c r="B885" s="32" t="s">
        <v>2355</v>
      </c>
      <c r="C885" s="286" t="s">
        <v>2412</v>
      </c>
      <c r="D885" s="287"/>
      <c r="E885" s="93" t="s">
        <v>2413</v>
      </c>
      <c r="F885" s="24" t="s">
        <v>43</v>
      </c>
      <c r="G885" s="94" t="s">
        <v>2414</v>
      </c>
      <c r="H885" s="4" t="s">
        <v>2360</v>
      </c>
      <c r="I885" s="25" t="s">
        <v>86</v>
      </c>
      <c r="J885" s="72" t="s">
        <v>501</v>
      </c>
      <c r="K885" s="3" t="str">
        <f t="shared" ca="1" si="195"/>
        <v xml:space="preserve">5 Tahun 2 bulan </v>
      </c>
      <c r="L885" s="39" t="s">
        <v>200</v>
      </c>
      <c r="M885" s="72" t="s">
        <v>501</v>
      </c>
      <c r="N885" s="3" t="str">
        <f t="shared" ca="1" si="203"/>
        <v xml:space="preserve">5 Tahun 2 bulan </v>
      </c>
      <c r="O885" s="56"/>
      <c r="P885" s="4" t="s">
        <v>35</v>
      </c>
      <c r="Q885" s="4" t="str">
        <f t="shared" si="197"/>
        <v>Perempuan</v>
      </c>
      <c r="R885" s="4">
        <f t="shared" si="200"/>
        <v>1</v>
      </c>
      <c r="S885" s="4" t="str">
        <f t="shared" si="202"/>
        <v>1</v>
      </c>
      <c r="T885" s="4">
        <f t="shared" si="201"/>
        <v>0</v>
      </c>
      <c r="U885" s="29"/>
      <c r="V885" s="30"/>
      <c r="W885" s="30"/>
      <c r="X885" s="30"/>
      <c r="Y885" s="30"/>
      <c r="Z885" s="30"/>
      <c r="AA885" s="30"/>
      <c r="AB885" s="29"/>
      <c r="AC885" s="29"/>
      <c r="AD885" s="37">
        <f t="shared" si="198"/>
        <v>28494</v>
      </c>
      <c r="AE885" s="3" t="str">
        <f t="shared" ca="1" si="196"/>
        <v>48 Tahun 7 bulan 28 Hari</v>
      </c>
      <c r="AF885" s="38">
        <f t="shared" si="199"/>
        <v>50437</v>
      </c>
    </row>
    <row r="886" spans="1:32" s="7" customFormat="1" ht="32.15" customHeight="1" x14ac:dyDescent="0.35">
      <c r="A886" s="26">
        <f t="shared" si="194"/>
        <v>825</v>
      </c>
      <c r="B886" s="32" t="s">
        <v>2355</v>
      </c>
      <c r="C886" s="26"/>
      <c r="D886" s="129" t="s">
        <v>2415</v>
      </c>
      <c r="E886" s="24" t="s">
        <v>108</v>
      </c>
      <c r="F886" s="24"/>
      <c r="G886" s="114"/>
      <c r="H886" s="98"/>
      <c r="I886" s="25"/>
      <c r="J886" s="124"/>
      <c r="K886" s="3" t="str">
        <f t="shared" ca="1" si="195"/>
        <v/>
      </c>
      <c r="L886" s="25" t="s">
        <v>1749</v>
      </c>
      <c r="M886" s="124"/>
      <c r="N886" s="3" t="str">
        <f t="shared" ca="1" si="203"/>
        <v/>
      </c>
      <c r="O886" s="56"/>
      <c r="P886" s="4"/>
      <c r="Q886" s="4" t="str">
        <f t="shared" si="197"/>
        <v/>
      </c>
      <c r="R886" s="4">
        <f t="shared" si="200"/>
        <v>1</v>
      </c>
      <c r="S886" s="4" t="str">
        <f t="shared" si="202"/>
        <v>0</v>
      </c>
      <c r="T886" s="4">
        <f t="shared" si="201"/>
        <v>1</v>
      </c>
      <c r="U886" s="29"/>
      <c r="V886" s="30"/>
      <c r="W886" s="30"/>
      <c r="X886" s="30"/>
      <c r="Y886" s="30"/>
      <c r="Z886" s="30"/>
      <c r="AA886" s="30"/>
      <c r="AB886" s="29"/>
      <c r="AC886" s="29"/>
      <c r="AD886" s="37" t="str">
        <f t="shared" si="198"/>
        <v/>
      </c>
      <c r="AE886" s="3" t="str">
        <f t="shared" ca="1" si="196"/>
        <v/>
      </c>
      <c r="AF886" s="38" t="str">
        <f t="shared" si="199"/>
        <v/>
      </c>
    </row>
    <row r="887" spans="1:32" s="7" customFormat="1" ht="32.15" customHeight="1" x14ac:dyDescent="0.35">
      <c r="A887" s="26"/>
      <c r="B887" s="27" t="s">
        <v>2416</v>
      </c>
      <c r="C887" s="269" t="s">
        <v>2417</v>
      </c>
      <c r="D887" s="270"/>
      <c r="E887" s="24"/>
      <c r="F887" s="24"/>
      <c r="G887" s="4"/>
      <c r="H887" s="4"/>
      <c r="I887" s="25"/>
      <c r="J887" s="5"/>
      <c r="K887" s="3" t="str">
        <f t="shared" ca="1" si="195"/>
        <v/>
      </c>
      <c r="L887" s="30"/>
      <c r="M887" s="5"/>
      <c r="N887" s="3" t="str">
        <f t="shared" ca="1" si="203"/>
        <v/>
      </c>
      <c r="O887" s="4"/>
      <c r="P887" s="4"/>
      <c r="Q887" s="4"/>
      <c r="R887" s="4"/>
      <c r="S887" s="4"/>
      <c r="T887" s="4"/>
      <c r="U887" s="29"/>
      <c r="V887" s="30"/>
      <c r="W887" s="30"/>
      <c r="X887" s="30"/>
      <c r="Y887" s="30"/>
      <c r="Z887" s="29"/>
      <c r="AA887" s="29"/>
      <c r="AB887" s="29"/>
      <c r="AC887" s="29"/>
      <c r="AD887" s="37" t="str">
        <f t="shared" si="198"/>
        <v/>
      </c>
      <c r="AE887" s="3" t="str">
        <f t="shared" ca="1" si="196"/>
        <v/>
      </c>
      <c r="AF887" s="38" t="str">
        <f t="shared" si="199"/>
        <v/>
      </c>
    </row>
    <row r="888" spans="1:32" s="7" customFormat="1" ht="36" customHeight="1" x14ac:dyDescent="0.35">
      <c r="A888" s="26">
        <f>A886+1</f>
        <v>826</v>
      </c>
      <c r="B888" s="27" t="s">
        <v>2416</v>
      </c>
      <c r="C888" s="288" t="s">
        <v>2418</v>
      </c>
      <c r="D888" s="289"/>
      <c r="E888" s="71" t="s">
        <v>1051</v>
      </c>
      <c r="F888" s="24" t="s">
        <v>43</v>
      </c>
      <c r="G888" s="70" t="s">
        <v>1052</v>
      </c>
      <c r="H888" s="56" t="s">
        <v>159</v>
      </c>
      <c r="I888" s="25" t="s">
        <v>184</v>
      </c>
      <c r="J888" s="110">
        <v>46198</v>
      </c>
      <c r="K888" s="3" t="str">
        <f t="shared" ca="1" si="195"/>
        <v xml:space="preserve">0 Tahun 2 bulan </v>
      </c>
      <c r="L888" s="39" t="s">
        <v>200</v>
      </c>
      <c r="M888" s="109">
        <v>46198</v>
      </c>
      <c r="N888" s="3" t="str">
        <f t="shared" ca="1" si="203"/>
        <v xml:space="preserve">0 Tahun 2 bulan </v>
      </c>
      <c r="O888" s="35"/>
      <c r="P888" s="4" t="s">
        <v>35</v>
      </c>
      <c r="Q888" s="4" t="str">
        <f t="shared" si="197"/>
        <v>Laki-Laki</v>
      </c>
      <c r="R888" s="4">
        <f>R886</f>
        <v>1</v>
      </c>
      <c r="S888" s="4" t="str">
        <f t="shared" ref="S888:S895" si="204">IF(E888="LOWONG","0","1")</f>
        <v>1</v>
      </c>
      <c r="T888" s="4">
        <f t="shared" si="201"/>
        <v>0</v>
      </c>
      <c r="U888" s="29"/>
      <c r="V888" s="30"/>
      <c r="W888" s="30"/>
      <c r="X888" s="30"/>
      <c r="Y888" s="30"/>
      <c r="Z888" s="30"/>
      <c r="AA888" s="30"/>
      <c r="AB888" s="29"/>
      <c r="AC888" s="29"/>
      <c r="AD888" s="37">
        <f t="shared" si="198"/>
        <v>25674</v>
      </c>
      <c r="AE888" s="3" t="str">
        <f t="shared" ca="1" si="196"/>
        <v>56 Tahun 4 bulan 16 Hari</v>
      </c>
      <c r="AF888" s="38">
        <f t="shared" si="199"/>
        <v>47604</v>
      </c>
    </row>
    <row r="889" spans="1:32" s="7" customFormat="1" ht="36" customHeight="1" x14ac:dyDescent="0.35">
      <c r="A889" s="26">
        <f t="shared" si="194"/>
        <v>827</v>
      </c>
      <c r="B889" s="27" t="s">
        <v>2416</v>
      </c>
      <c r="C889" s="26"/>
      <c r="D889" s="137" t="s">
        <v>2422</v>
      </c>
      <c r="E889" s="71" t="s">
        <v>2419</v>
      </c>
      <c r="F889" s="24" t="s">
        <v>43</v>
      </c>
      <c r="G889" s="70" t="s">
        <v>2420</v>
      </c>
      <c r="H889" s="56" t="s">
        <v>2421</v>
      </c>
      <c r="I889" s="25" t="s">
        <v>446</v>
      </c>
      <c r="J889" s="72" t="s">
        <v>2423</v>
      </c>
      <c r="K889" s="3" t="str">
        <f t="shared" ca="1" si="195"/>
        <v xml:space="preserve">4 Tahun 10 bulan </v>
      </c>
      <c r="L889" s="25" t="s">
        <v>1749</v>
      </c>
      <c r="M889" s="72" t="s">
        <v>1754</v>
      </c>
      <c r="N889" s="3" t="str">
        <f t="shared" ca="1" si="203"/>
        <v xml:space="preserve">4 Tahun 10 bulan </v>
      </c>
      <c r="O889" s="35"/>
      <c r="P889" s="4" t="s">
        <v>35</v>
      </c>
      <c r="Q889" s="4" t="str">
        <f t="shared" si="197"/>
        <v>Perempuan</v>
      </c>
      <c r="R889" s="4">
        <f t="shared" si="200"/>
        <v>1</v>
      </c>
      <c r="S889" s="4" t="str">
        <f t="shared" si="204"/>
        <v>1</v>
      </c>
      <c r="T889" s="4">
        <f t="shared" si="201"/>
        <v>0</v>
      </c>
      <c r="U889" s="29"/>
      <c r="V889" s="30"/>
      <c r="W889" s="30"/>
      <c r="X889" s="30"/>
      <c r="Y889" s="30"/>
      <c r="Z889" s="30"/>
      <c r="AA889" s="30"/>
      <c r="AB889" s="29"/>
      <c r="AC889" s="29"/>
      <c r="AD889" s="37">
        <f t="shared" si="198"/>
        <v>28250</v>
      </c>
      <c r="AE889" s="3" t="str">
        <f t="shared" ca="1" si="196"/>
        <v>49 Tahun 3 bulan 27 Hari</v>
      </c>
      <c r="AF889" s="38">
        <f t="shared" si="199"/>
        <v>50192</v>
      </c>
    </row>
    <row r="890" spans="1:32" s="7" customFormat="1" ht="36" customHeight="1" x14ac:dyDescent="0.35">
      <c r="A890" s="26">
        <f t="shared" si="194"/>
        <v>828</v>
      </c>
      <c r="B890" s="27" t="s">
        <v>2416</v>
      </c>
      <c r="C890" s="288" t="s">
        <v>2424</v>
      </c>
      <c r="D890" s="289"/>
      <c r="E890" s="24" t="s">
        <v>2425</v>
      </c>
      <c r="F890" s="24" t="s">
        <v>43</v>
      </c>
      <c r="G890" s="3" t="s">
        <v>2426</v>
      </c>
      <c r="H890" s="56" t="s">
        <v>2427</v>
      </c>
      <c r="I890" s="25" t="s">
        <v>86</v>
      </c>
      <c r="J890" s="110">
        <v>45993</v>
      </c>
      <c r="K890" s="3" t="str">
        <f t="shared" ca="1" si="195"/>
        <v xml:space="preserve">0 Tahun 8 bulan </v>
      </c>
      <c r="L890" s="71" t="s">
        <v>200</v>
      </c>
      <c r="M890" s="109" t="s">
        <v>2428</v>
      </c>
      <c r="N890" s="3" t="str">
        <f t="shared" ca="1" si="203"/>
        <v xml:space="preserve">1 Tahun 8 bulan </v>
      </c>
      <c r="O890" s="56"/>
      <c r="P890" s="4" t="s">
        <v>35</v>
      </c>
      <c r="Q890" s="4" t="str">
        <f t="shared" si="197"/>
        <v>Laki-Laki</v>
      </c>
      <c r="R890" s="4">
        <f t="shared" si="200"/>
        <v>1</v>
      </c>
      <c r="S890" s="4" t="str">
        <f t="shared" si="204"/>
        <v>1</v>
      </c>
      <c r="T890" s="4">
        <f t="shared" si="201"/>
        <v>0</v>
      </c>
      <c r="U890" s="29"/>
      <c r="V890" s="30" t="s">
        <v>50</v>
      </c>
      <c r="W890" s="30"/>
      <c r="X890" s="30"/>
      <c r="Y890" s="30"/>
      <c r="Z890" s="30"/>
      <c r="AA890" s="30"/>
      <c r="AB890" s="29"/>
      <c r="AC890" s="29"/>
      <c r="AD890" s="37">
        <f t="shared" si="198"/>
        <v>25434</v>
      </c>
      <c r="AE890" s="3" t="str">
        <f t="shared" ca="1" si="196"/>
        <v>57 Tahun 0 bulan 13 Hari</v>
      </c>
      <c r="AF890" s="38">
        <f t="shared" si="199"/>
        <v>47362</v>
      </c>
    </row>
    <row r="891" spans="1:32" s="7" customFormat="1" ht="36" customHeight="1" x14ac:dyDescent="0.35">
      <c r="A891" s="26">
        <f t="shared" si="194"/>
        <v>829</v>
      </c>
      <c r="B891" s="27" t="s">
        <v>2416</v>
      </c>
      <c r="C891" s="26"/>
      <c r="D891" s="137" t="s">
        <v>2429</v>
      </c>
      <c r="E891" s="24" t="s">
        <v>108</v>
      </c>
      <c r="F891" s="24"/>
      <c r="G891" s="4"/>
      <c r="H891" s="4"/>
      <c r="I891" s="33"/>
      <c r="J891" s="132"/>
      <c r="K891" s="3" t="str">
        <f t="shared" ca="1" si="195"/>
        <v/>
      </c>
      <c r="L891" s="25" t="s">
        <v>1749</v>
      </c>
      <c r="M891" s="132"/>
      <c r="N891" s="3" t="str">
        <f t="shared" ca="1" si="203"/>
        <v/>
      </c>
      <c r="O891" s="56"/>
      <c r="P891" s="4"/>
      <c r="Q891" s="4" t="str">
        <f t="shared" si="197"/>
        <v/>
      </c>
      <c r="R891" s="4">
        <f t="shared" si="200"/>
        <v>1</v>
      </c>
      <c r="S891" s="4" t="str">
        <f t="shared" si="204"/>
        <v>0</v>
      </c>
      <c r="T891" s="4">
        <f t="shared" si="201"/>
        <v>1</v>
      </c>
      <c r="U891" s="29"/>
      <c r="V891" s="30"/>
      <c r="W891" s="30"/>
      <c r="X891" s="30"/>
      <c r="Y891" s="30"/>
      <c r="Z891" s="30"/>
      <c r="AA891" s="30"/>
      <c r="AB891" s="29"/>
      <c r="AC891" s="29"/>
      <c r="AD891" s="37" t="str">
        <f t="shared" si="198"/>
        <v/>
      </c>
      <c r="AE891" s="3" t="str">
        <f t="shared" ca="1" si="196"/>
        <v/>
      </c>
      <c r="AF891" s="38" t="str">
        <f t="shared" si="199"/>
        <v/>
      </c>
    </row>
    <row r="892" spans="1:32" s="7" customFormat="1" ht="36" customHeight="1" x14ac:dyDescent="0.35">
      <c r="A892" s="26">
        <f t="shared" si="194"/>
        <v>830</v>
      </c>
      <c r="B892" s="27" t="s">
        <v>2416</v>
      </c>
      <c r="C892" s="288" t="s">
        <v>2430</v>
      </c>
      <c r="D892" s="289"/>
      <c r="E892" s="24" t="s">
        <v>2431</v>
      </c>
      <c r="F892" s="24" t="s">
        <v>43</v>
      </c>
      <c r="G892" s="70" t="s">
        <v>2432</v>
      </c>
      <c r="H892" s="56" t="s">
        <v>410</v>
      </c>
      <c r="I892" s="25" t="s">
        <v>67</v>
      </c>
      <c r="J892" s="110">
        <v>45993</v>
      </c>
      <c r="K892" s="3" t="str">
        <f t="shared" ca="1" si="195"/>
        <v xml:space="preserve">0 Tahun 8 bulan </v>
      </c>
      <c r="L892" s="39" t="s">
        <v>200</v>
      </c>
      <c r="M892" s="72" t="s">
        <v>2433</v>
      </c>
      <c r="N892" s="3" t="str">
        <f t="shared" ca="1" si="203"/>
        <v xml:space="preserve">6 Tahun 10 bulan </v>
      </c>
      <c r="O892" s="56"/>
      <c r="P892" s="4" t="s">
        <v>35</v>
      </c>
      <c r="Q892" s="4" t="str">
        <f t="shared" si="197"/>
        <v>Laki-Laki</v>
      </c>
      <c r="R892" s="4">
        <f t="shared" si="200"/>
        <v>1</v>
      </c>
      <c r="S892" s="4" t="str">
        <f t="shared" si="204"/>
        <v>1</v>
      </c>
      <c r="T892" s="4">
        <f t="shared" si="201"/>
        <v>0</v>
      </c>
      <c r="U892" s="29"/>
      <c r="V892" s="30" t="s">
        <v>50</v>
      </c>
      <c r="W892" s="30"/>
      <c r="X892" s="30"/>
      <c r="Y892" s="30"/>
      <c r="Z892" s="30"/>
      <c r="AA892" s="30"/>
      <c r="AB892" s="29"/>
      <c r="AC892" s="29"/>
      <c r="AD892" s="37">
        <f t="shared" si="198"/>
        <v>25991</v>
      </c>
      <c r="AE892" s="3" t="str">
        <f t="shared" ca="1" si="196"/>
        <v>55 Tahun 6 bulan 5 Hari</v>
      </c>
      <c r="AF892" s="38">
        <f t="shared" si="199"/>
        <v>47908</v>
      </c>
    </row>
    <row r="893" spans="1:32" s="7" customFormat="1" ht="36" customHeight="1" x14ac:dyDescent="0.35">
      <c r="A893" s="26">
        <f t="shared" si="194"/>
        <v>831</v>
      </c>
      <c r="B893" s="27" t="s">
        <v>2416</v>
      </c>
      <c r="C893" s="26"/>
      <c r="D893" s="137" t="s">
        <v>2434</v>
      </c>
      <c r="E893" s="71" t="s">
        <v>3019</v>
      </c>
      <c r="F893" s="24" t="s">
        <v>43</v>
      </c>
      <c r="G893" s="70" t="s">
        <v>3020</v>
      </c>
      <c r="H893" s="56" t="s">
        <v>3021</v>
      </c>
      <c r="I893" s="25" t="s">
        <v>3022</v>
      </c>
      <c r="J893" s="109">
        <v>46198</v>
      </c>
      <c r="K893" s="3" t="str">
        <f t="shared" ca="1" si="195"/>
        <v xml:space="preserve">0 Tahun 2 bulan </v>
      </c>
      <c r="L893" s="25" t="s">
        <v>1749</v>
      </c>
      <c r="M893" s="109">
        <v>46198</v>
      </c>
      <c r="N893" s="3" t="str">
        <f t="shared" ca="1" si="203"/>
        <v xml:space="preserve">0 Tahun 2 bulan </v>
      </c>
      <c r="O893" s="35"/>
      <c r="P893" s="4" t="s">
        <v>35</v>
      </c>
      <c r="Q893" s="4" t="str">
        <f t="shared" si="197"/>
        <v>Perempuan</v>
      </c>
      <c r="R893" s="4">
        <f t="shared" si="200"/>
        <v>1</v>
      </c>
      <c r="S893" s="4" t="str">
        <f t="shared" si="204"/>
        <v>1</v>
      </c>
      <c r="T893" s="4">
        <f t="shared" si="201"/>
        <v>0</v>
      </c>
      <c r="U893" s="29"/>
      <c r="V893" s="30" t="s">
        <v>50</v>
      </c>
      <c r="W893" s="30"/>
      <c r="X893" s="30"/>
      <c r="Y893" s="30"/>
      <c r="Z893" s="30"/>
      <c r="AA893" s="30"/>
      <c r="AB893" s="29"/>
      <c r="AC893" s="29"/>
      <c r="AD893" s="37">
        <f t="shared" si="198"/>
        <v>31320</v>
      </c>
      <c r="AE893" s="3" t="str">
        <f t="shared" ca="1" si="196"/>
        <v>40 Tahun 11 bulan 2 Hari</v>
      </c>
      <c r="AF893" s="38">
        <f t="shared" si="199"/>
        <v>53236</v>
      </c>
    </row>
    <row r="894" spans="1:32" s="7" customFormat="1" ht="38.25" customHeight="1" x14ac:dyDescent="0.35">
      <c r="A894" s="26">
        <f t="shared" si="194"/>
        <v>832</v>
      </c>
      <c r="B894" s="27" t="s">
        <v>2416</v>
      </c>
      <c r="C894" s="288" t="s">
        <v>2435</v>
      </c>
      <c r="D894" s="289"/>
      <c r="E894" s="71" t="s">
        <v>108</v>
      </c>
      <c r="F894" s="71"/>
      <c r="G894" s="70"/>
      <c r="H894" s="56"/>
      <c r="I894" s="25"/>
      <c r="J894" s="132"/>
      <c r="K894" s="3" t="str">
        <f t="shared" ca="1" si="195"/>
        <v/>
      </c>
      <c r="L894" s="39" t="s">
        <v>200</v>
      </c>
      <c r="M894" s="132"/>
      <c r="N894" s="3" t="str">
        <f t="shared" ca="1" si="203"/>
        <v/>
      </c>
      <c r="O894" s="56"/>
      <c r="P894" s="4"/>
      <c r="Q894" s="4" t="str">
        <f t="shared" si="197"/>
        <v/>
      </c>
      <c r="R894" s="4">
        <f t="shared" si="200"/>
        <v>1</v>
      </c>
      <c r="S894" s="4" t="str">
        <f t="shared" si="204"/>
        <v>0</v>
      </c>
      <c r="T894" s="4">
        <f t="shared" si="201"/>
        <v>1</v>
      </c>
      <c r="U894" s="29"/>
      <c r="V894" s="30"/>
      <c r="W894" s="30"/>
      <c r="X894" s="30"/>
      <c r="Y894" s="30"/>
      <c r="Z894" s="30"/>
      <c r="AA894" s="30"/>
      <c r="AB894" s="29"/>
      <c r="AC894" s="29"/>
      <c r="AD894" s="37" t="str">
        <f t="shared" si="198"/>
        <v/>
      </c>
      <c r="AE894" s="3" t="str">
        <f t="shared" ca="1" si="196"/>
        <v/>
      </c>
      <c r="AF894" s="38" t="str">
        <f t="shared" si="199"/>
        <v/>
      </c>
    </row>
    <row r="895" spans="1:32" s="7" customFormat="1" ht="34.5" customHeight="1" x14ac:dyDescent="0.35">
      <c r="A895" s="26">
        <f t="shared" si="194"/>
        <v>833</v>
      </c>
      <c r="B895" s="27" t="s">
        <v>2416</v>
      </c>
      <c r="C895" s="26"/>
      <c r="D895" s="137" t="s">
        <v>2436</v>
      </c>
      <c r="E895" s="71" t="s">
        <v>108</v>
      </c>
      <c r="F895" s="71"/>
      <c r="G895" s="70"/>
      <c r="H895" s="56"/>
      <c r="I895" s="25"/>
      <c r="J895" s="132"/>
      <c r="K895" s="3" t="str">
        <f t="shared" ca="1" si="195"/>
        <v/>
      </c>
      <c r="L895" s="25" t="s">
        <v>1749</v>
      </c>
      <c r="M895" s="132"/>
      <c r="N895" s="3" t="str">
        <f t="shared" ca="1" si="203"/>
        <v/>
      </c>
      <c r="O895" s="56"/>
      <c r="P895" s="4"/>
      <c r="Q895" s="4" t="str">
        <f t="shared" si="197"/>
        <v/>
      </c>
      <c r="R895" s="4">
        <f t="shared" si="200"/>
        <v>1</v>
      </c>
      <c r="S895" s="4" t="str">
        <f t="shared" si="204"/>
        <v>0</v>
      </c>
      <c r="T895" s="4">
        <f t="shared" si="201"/>
        <v>1</v>
      </c>
      <c r="U895" s="29"/>
      <c r="V895" s="30"/>
      <c r="W895" s="30"/>
      <c r="X895" s="30"/>
      <c r="Y895" s="30"/>
      <c r="Z895" s="30"/>
      <c r="AA895" s="30"/>
      <c r="AB895" s="29"/>
      <c r="AC895" s="29"/>
      <c r="AD895" s="37" t="str">
        <f t="shared" si="198"/>
        <v/>
      </c>
      <c r="AE895" s="3" t="str">
        <f t="shared" ca="1" si="196"/>
        <v/>
      </c>
      <c r="AF895" s="38" t="str">
        <f t="shared" si="199"/>
        <v/>
      </c>
    </row>
    <row r="896" spans="1:32" s="7" customFormat="1" ht="32.15" customHeight="1" x14ac:dyDescent="0.35">
      <c r="A896" s="26"/>
      <c r="B896" s="32" t="s">
        <v>2437</v>
      </c>
      <c r="C896" s="280" t="s">
        <v>2438</v>
      </c>
      <c r="D896" s="281"/>
      <c r="E896" s="24"/>
      <c r="F896" s="24"/>
      <c r="G896" s="4"/>
      <c r="H896" s="4"/>
      <c r="I896" s="33"/>
      <c r="J896" s="5"/>
      <c r="K896" s="3" t="str">
        <f t="shared" ca="1" si="195"/>
        <v/>
      </c>
      <c r="L896" s="30"/>
      <c r="M896" s="5"/>
      <c r="N896" s="3" t="str">
        <f t="shared" ca="1" si="203"/>
        <v/>
      </c>
      <c r="O896" s="4"/>
      <c r="P896" s="4"/>
      <c r="Q896" s="4"/>
      <c r="R896" s="4"/>
      <c r="S896" s="4"/>
      <c r="T896" s="4"/>
      <c r="U896" s="29"/>
      <c r="V896" s="30"/>
      <c r="W896" s="30"/>
      <c r="X896" s="30"/>
      <c r="Y896" s="30"/>
      <c r="Z896" s="29"/>
      <c r="AA896" s="29"/>
      <c r="AB896" s="29"/>
      <c r="AC896" s="29"/>
      <c r="AD896" s="37" t="str">
        <f t="shared" si="198"/>
        <v/>
      </c>
      <c r="AE896" s="3" t="str">
        <f t="shared" ca="1" si="196"/>
        <v/>
      </c>
      <c r="AF896" s="38" t="str">
        <f t="shared" si="199"/>
        <v/>
      </c>
    </row>
    <row r="897" spans="1:32" s="7" customFormat="1" ht="32.15" customHeight="1" x14ac:dyDescent="0.35">
      <c r="A897" s="26">
        <f>A895+1</f>
        <v>834</v>
      </c>
      <c r="B897" s="32" t="s">
        <v>2437</v>
      </c>
      <c r="C897" s="288" t="s">
        <v>2439</v>
      </c>
      <c r="D897" s="289"/>
      <c r="E897" s="51" t="s">
        <v>2440</v>
      </c>
      <c r="F897" s="24" t="s">
        <v>43</v>
      </c>
      <c r="G897" s="52" t="s">
        <v>2441</v>
      </c>
      <c r="H897" s="4" t="s">
        <v>385</v>
      </c>
      <c r="I897" s="33" t="s">
        <v>46</v>
      </c>
      <c r="J897" s="47" t="s">
        <v>338</v>
      </c>
      <c r="K897" s="3" t="str">
        <f t="shared" ca="1" si="195"/>
        <v xml:space="preserve">2 Tahun 11 bulan </v>
      </c>
      <c r="L897" s="71" t="s">
        <v>200</v>
      </c>
      <c r="M897" s="47" t="s">
        <v>338</v>
      </c>
      <c r="N897" s="3" t="str">
        <f t="shared" ca="1" si="203"/>
        <v xml:space="preserve">2 Tahun 11 bulan </v>
      </c>
      <c r="O897" s="56"/>
      <c r="P897" s="4" t="s">
        <v>35</v>
      </c>
      <c r="Q897" s="4" t="str">
        <f t="shared" si="197"/>
        <v>Perempuan</v>
      </c>
      <c r="R897" s="4">
        <f>R895</f>
        <v>1</v>
      </c>
      <c r="S897" s="4" t="str">
        <f>IF(E897="LOWONG","0","1")</f>
        <v>1</v>
      </c>
      <c r="T897" s="4">
        <f t="shared" si="201"/>
        <v>0</v>
      </c>
      <c r="U897" s="29"/>
      <c r="V897" s="30"/>
      <c r="W897" s="30"/>
      <c r="X897" s="30"/>
      <c r="Y897" s="30"/>
      <c r="Z897" s="30"/>
      <c r="AA897" s="30"/>
      <c r="AB897" s="29"/>
      <c r="AC897" s="29"/>
      <c r="AD897" s="37">
        <f t="shared" si="198"/>
        <v>27961</v>
      </c>
      <c r="AE897" s="3" t="str">
        <f t="shared" ca="1" si="196"/>
        <v>50 Tahun 1 bulan 12 Hari</v>
      </c>
      <c r="AF897" s="38">
        <f t="shared" si="199"/>
        <v>49888</v>
      </c>
    </row>
    <row r="898" spans="1:32" s="7" customFormat="1" ht="32.15" customHeight="1" x14ac:dyDescent="0.35">
      <c r="A898" s="26">
        <f t="shared" si="194"/>
        <v>835</v>
      </c>
      <c r="B898" s="4" t="s">
        <v>2437</v>
      </c>
      <c r="C898" s="26"/>
      <c r="D898" s="137" t="s">
        <v>2442</v>
      </c>
      <c r="E898" s="24" t="s">
        <v>108</v>
      </c>
      <c r="F898" s="24"/>
      <c r="G898" s="70"/>
      <c r="H898" s="56"/>
      <c r="I898" s="56"/>
      <c r="J898" s="47"/>
      <c r="K898" s="3" t="str">
        <f t="shared" ca="1" si="195"/>
        <v/>
      </c>
      <c r="L898" s="56" t="s">
        <v>1749</v>
      </c>
      <c r="M898" s="47"/>
      <c r="N898" s="3" t="str">
        <f t="shared" ca="1" si="203"/>
        <v/>
      </c>
      <c r="O898" s="56"/>
      <c r="P898" s="4"/>
      <c r="Q898" s="4" t="str">
        <f t="shared" si="197"/>
        <v/>
      </c>
      <c r="R898" s="4">
        <f t="shared" si="200"/>
        <v>1</v>
      </c>
      <c r="S898" s="4" t="str">
        <f>IF(E898="LOWONG","0","1")</f>
        <v>0</v>
      </c>
      <c r="T898" s="4">
        <f t="shared" si="201"/>
        <v>1</v>
      </c>
      <c r="U898" s="29"/>
      <c r="V898" s="30" t="s">
        <v>50</v>
      </c>
      <c r="W898" s="30"/>
      <c r="X898" s="30"/>
      <c r="Y898" s="30"/>
      <c r="Z898" s="30"/>
      <c r="AA898" s="30"/>
      <c r="AB898" s="29"/>
      <c r="AC898" s="29"/>
      <c r="AD898" s="37" t="str">
        <f t="shared" si="198"/>
        <v/>
      </c>
      <c r="AE898" s="3" t="str">
        <f t="shared" ca="1" si="196"/>
        <v/>
      </c>
      <c r="AF898" s="38" t="str">
        <f t="shared" si="199"/>
        <v/>
      </c>
    </row>
    <row r="899" spans="1:32" s="7" customFormat="1" ht="32.15" customHeight="1" x14ac:dyDescent="0.35">
      <c r="A899" s="26">
        <f t="shared" ref="A899:A962" si="205">A898+1</f>
        <v>836</v>
      </c>
      <c r="B899" s="32" t="s">
        <v>2437</v>
      </c>
      <c r="C899" s="288" t="s">
        <v>2443</v>
      </c>
      <c r="D899" s="289"/>
      <c r="E899" s="24" t="s">
        <v>2444</v>
      </c>
      <c r="F899" s="24" t="s">
        <v>43</v>
      </c>
      <c r="G899" s="4" t="s">
        <v>2445</v>
      </c>
      <c r="H899" s="69" t="s">
        <v>414</v>
      </c>
      <c r="I899" s="69" t="s">
        <v>184</v>
      </c>
      <c r="J899" s="110" t="s">
        <v>206</v>
      </c>
      <c r="K899" s="3" t="str">
        <f t="shared" ca="1" si="195"/>
        <v xml:space="preserve">3 Tahun 10 bulan </v>
      </c>
      <c r="L899" s="71" t="s">
        <v>200</v>
      </c>
      <c r="M899" s="110" t="s">
        <v>206</v>
      </c>
      <c r="N899" s="3" t="str">
        <f t="shared" ca="1" si="203"/>
        <v xml:space="preserve">3 Tahun 10 bulan </v>
      </c>
      <c r="O899" s="35"/>
      <c r="P899" s="4" t="s">
        <v>35</v>
      </c>
      <c r="Q899" s="4" t="str">
        <f t="shared" si="197"/>
        <v>Laki-Laki</v>
      </c>
      <c r="R899" s="4">
        <f t="shared" si="200"/>
        <v>1</v>
      </c>
      <c r="S899" s="4" t="str">
        <f>IF(E899="LOWONG","0","1")</f>
        <v>1</v>
      </c>
      <c r="T899" s="4">
        <f t="shared" si="201"/>
        <v>0</v>
      </c>
      <c r="U899" s="29"/>
      <c r="V899" s="30" t="s">
        <v>50</v>
      </c>
      <c r="W899" s="30"/>
      <c r="X899" s="30"/>
      <c r="Y899" s="30"/>
      <c r="Z899" s="30"/>
      <c r="AA899" s="30"/>
      <c r="AB899" s="29"/>
      <c r="AC899" s="29"/>
      <c r="AD899" s="37">
        <f t="shared" si="198"/>
        <v>30077</v>
      </c>
      <c r="AE899" s="3" t="str">
        <f t="shared" ca="1" si="196"/>
        <v>44 Tahun 3 bulan 26 Hari</v>
      </c>
      <c r="AF899" s="38">
        <f t="shared" si="199"/>
        <v>52018</v>
      </c>
    </row>
    <row r="900" spans="1:32" s="7" customFormat="1" ht="32.15" customHeight="1" x14ac:dyDescent="0.35">
      <c r="A900" s="26">
        <f t="shared" si="205"/>
        <v>837</v>
      </c>
      <c r="B900" s="4" t="s">
        <v>2437</v>
      </c>
      <c r="C900" s="26"/>
      <c r="D900" s="137" t="s">
        <v>2446</v>
      </c>
      <c r="E900" s="24" t="s">
        <v>108</v>
      </c>
      <c r="F900" s="24"/>
      <c r="G900" s="70"/>
      <c r="H900" s="56"/>
      <c r="I900" s="25"/>
      <c r="J900" s="132"/>
      <c r="K900" s="3" t="str">
        <f t="shared" ca="1" si="195"/>
        <v/>
      </c>
      <c r="L900" s="25" t="s">
        <v>1749</v>
      </c>
      <c r="M900" s="132"/>
      <c r="N900" s="3" t="str">
        <f t="shared" ca="1" si="203"/>
        <v/>
      </c>
      <c r="O900" s="56"/>
      <c r="P900" s="4"/>
      <c r="Q900" s="4" t="str">
        <f t="shared" si="197"/>
        <v/>
      </c>
      <c r="R900" s="4">
        <f t="shared" si="200"/>
        <v>1</v>
      </c>
      <c r="S900" s="4" t="str">
        <f>IF(E900="LOWONG","0","1")</f>
        <v>0</v>
      </c>
      <c r="T900" s="4">
        <f t="shared" si="201"/>
        <v>1</v>
      </c>
      <c r="U900" s="29"/>
      <c r="V900" s="30"/>
      <c r="W900" s="30"/>
      <c r="X900" s="30"/>
      <c r="Y900" s="30"/>
      <c r="Z900" s="30"/>
      <c r="AA900" s="30"/>
      <c r="AB900" s="29"/>
      <c r="AC900" s="29"/>
      <c r="AD900" s="37" t="str">
        <f t="shared" si="198"/>
        <v/>
      </c>
      <c r="AE900" s="3" t="str">
        <f t="shared" ca="1" si="196"/>
        <v/>
      </c>
      <c r="AF900" s="38" t="str">
        <f t="shared" si="199"/>
        <v/>
      </c>
    </row>
    <row r="901" spans="1:32" s="7" customFormat="1" ht="32.15" customHeight="1" x14ac:dyDescent="0.35">
      <c r="A901" s="26"/>
      <c r="B901" s="27" t="s">
        <v>2447</v>
      </c>
      <c r="C901" s="280" t="s">
        <v>2448</v>
      </c>
      <c r="D901" s="281"/>
      <c r="E901" s="24"/>
      <c r="F901" s="24"/>
      <c r="G901" s="4"/>
      <c r="H901" s="4"/>
      <c r="I901" s="33"/>
      <c r="J901" s="5"/>
      <c r="K901" s="3" t="str">
        <f t="shared" ca="1" si="195"/>
        <v/>
      </c>
      <c r="L901" s="30"/>
      <c r="M901" s="5"/>
      <c r="N901" s="3" t="str">
        <f t="shared" ca="1" si="203"/>
        <v/>
      </c>
      <c r="O901" s="4"/>
      <c r="P901" s="4"/>
      <c r="Q901" s="4"/>
      <c r="R901" s="4"/>
      <c r="S901" s="4"/>
      <c r="T901" s="4"/>
      <c r="U901" s="29"/>
      <c r="V901" s="30"/>
      <c r="W901" s="30"/>
      <c r="X901" s="30"/>
      <c r="Y901" s="30"/>
      <c r="Z901" s="29"/>
      <c r="AA901" s="29"/>
      <c r="AB901" s="29"/>
      <c r="AC901" s="29"/>
      <c r="AD901" s="37" t="str">
        <f t="shared" si="198"/>
        <v/>
      </c>
      <c r="AE901" s="3" t="str">
        <f t="shared" ca="1" si="196"/>
        <v/>
      </c>
      <c r="AF901" s="38" t="str">
        <f t="shared" si="199"/>
        <v/>
      </c>
    </row>
    <row r="902" spans="1:32" s="7" customFormat="1" ht="32.15" customHeight="1" x14ac:dyDescent="0.35">
      <c r="A902" s="26">
        <f>A900+1</f>
        <v>838</v>
      </c>
      <c r="B902" s="32" t="s">
        <v>2447</v>
      </c>
      <c r="C902" s="288" t="s">
        <v>2449</v>
      </c>
      <c r="D902" s="289"/>
      <c r="E902" s="71" t="s">
        <v>3103</v>
      </c>
      <c r="F902" s="71" t="s">
        <v>43</v>
      </c>
      <c r="G902" s="56" t="s">
        <v>3104</v>
      </c>
      <c r="H902" s="56" t="s">
        <v>3105</v>
      </c>
      <c r="I902" s="69"/>
      <c r="J902" s="109">
        <v>46260</v>
      </c>
      <c r="K902" s="3" t="str">
        <f t="shared" ca="1" si="195"/>
        <v xml:space="preserve">0 Tahun 0 bulan </v>
      </c>
      <c r="L902" s="25" t="s">
        <v>2452</v>
      </c>
      <c r="M902" s="109">
        <v>46260</v>
      </c>
      <c r="N902" s="3" t="str">
        <f t="shared" ca="1" si="203"/>
        <v xml:space="preserve">0 Tahun 0 bulan </v>
      </c>
      <c r="O902" s="35"/>
      <c r="P902" s="4" t="s">
        <v>35</v>
      </c>
      <c r="Q902" s="4" t="str">
        <f t="shared" si="197"/>
        <v>Perempuan</v>
      </c>
      <c r="R902" s="4">
        <f>R900</f>
        <v>1</v>
      </c>
      <c r="S902" s="4" t="str">
        <f t="shared" ref="S902:S953" si="206">IF(E902="LOWONG","0","1")</f>
        <v>1</v>
      </c>
      <c r="T902" s="4">
        <f t="shared" si="201"/>
        <v>0</v>
      </c>
      <c r="U902" s="29"/>
      <c r="V902" s="30"/>
      <c r="W902" s="30"/>
      <c r="X902" s="30"/>
      <c r="Y902" s="30"/>
      <c r="Z902" s="30"/>
      <c r="AA902" s="30"/>
      <c r="AB902" s="29"/>
      <c r="AC902" s="29"/>
      <c r="AD902" s="37">
        <f t="shared" si="198"/>
        <v>25698</v>
      </c>
      <c r="AE902" s="3" t="str">
        <f t="shared" ca="1" si="196"/>
        <v>56 Tahun 3 bulan 22 Hari</v>
      </c>
      <c r="AF902" s="38">
        <f t="shared" si="199"/>
        <v>47635</v>
      </c>
    </row>
    <row r="903" spans="1:32" s="7" customFormat="1" ht="32.15" customHeight="1" x14ac:dyDescent="0.35">
      <c r="A903" s="26">
        <f t="shared" si="205"/>
        <v>839</v>
      </c>
      <c r="B903" s="4" t="s">
        <v>2447</v>
      </c>
      <c r="C903" s="26"/>
      <c r="D903" s="111" t="s">
        <v>2453</v>
      </c>
      <c r="E903" s="24" t="s">
        <v>2454</v>
      </c>
      <c r="F903" s="24" t="s">
        <v>43</v>
      </c>
      <c r="G903" s="4" t="s">
        <v>2455</v>
      </c>
      <c r="H903" s="69" t="s">
        <v>2456</v>
      </c>
      <c r="I903" s="69" t="s">
        <v>2457</v>
      </c>
      <c r="J903" s="138" t="s">
        <v>2458</v>
      </c>
      <c r="K903" s="3" t="str">
        <f t="shared" ref="K903:K966" ca="1" si="207">IF(J903="","",CONCATENATE(DATEDIF(J903,NOW(),"Y")," Tahun ",DATEDIF(J903,NOW(),"YM")," bulan "))</f>
        <v xml:space="preserve">7 Tahun 3 bulan </v>
      </c>
      <c r="L903" s="56" t="s">
        <v>1749</v>
      </c>
      <c r="M903" s="138" t="s">
        <v>2458</v>
      </c>
      <c r="N903" s="3" t="str">
        <f t="shared" ca="1" si="203"/>
        <v xml:space="preserve">7 Tahun 3 bulan </v>
      </c>
      <c r="O903" s="35"/>
      <c r="P903" s="4" t="s">
        <v>35</v>
      </c>
      <c r="Q903" s="4" t="str">
        <f t="shared" si="197"/>
        <v>Perempuan</v>
      </c>
      <c r="R903" s="4">
        <f t="shared" si="200"/>
        <v>1</v>
      </c>
      <c r="S903" s="4" t="str">
        <f t="shared" si="206"/>
        <v>1</v>
      </c>
      <c r="T903" s="4">
        <f t="shared" si="201"/>
        <v>0</v>
      </c>
      <c r="U903" s="29"/>
      <c r="V903" s="30"/>
      <c r="W903" s="30"/>
      <c r="X903" s="30"/>
      <c r="Y903" s="30"/>
      <c r="Z903" s="30"/>
      <c r="AA903" s="30"/>
      <c r="AB903" s="29"/>
      <c r="AC903" s="29"/>
      <c r="AD903" s="37">
        <f t="shared" si="198"/>
        <v>27984</v>
      </c>
      <c r="AE903" s="3" t="str">
        <f t="shared" ref="AE903:AE966" ca="1" si="208">IF(TRIM(AD903)="", "", CONCATENATE(DATEDIF(AD903,NOW(),"Y")," Tahun ",DATEDIF(AD903,NOW(),"YM")," bulan ",DATEDIF(AD903,NOW(),"MD")," Hari"))</f>
        <v>50 Tahun 0 bulan 20 Hari</v>
      </c>
      <c r="AF903" s="38">
        <f t="shared" si="199"/>
        <v>49919</v>
      </c>
    </row>
    <row r="904" spans="1:32" s="7" customFormat="1" ht="32.15" customHeight="1" x14ac:dyDescent="0.35">
      <c r="A904" s="26">
        <f t="shared" si="205"/>
        <v>840</v>
      </c>
      <c r="B904" s="32" t="s">
        <v>2447</v>
      </c>
      <c r="C904" s="288" t="s">
        <v>2459</v>
      </c>
      <c r="D904" s="289"/>
      <c r="E904" s="24" t="s">
        <v>2460</v>
      </c>
      <c r="F904" s="71" t="s">
        <v>43</v>
      </c>
      <c r="G904" s="3" t="s">
        <v>2461</v>
      </c>
      <c r="H904" s="56" t="s">
        <v>2462</v>
      </c>
      <c r="I904" s="4" t="s">
        <v>2463</v>
      </c>
      <c r="J904" s="72" t="s">
        <v>338</v>
      </c>
      <c r="K904" s="3" t="str">
        <f t="shared" ca="1" si="207"/>
        <v xml:space="preserve">2 Tahun 11 bulan </v>
      </c>
      <c r="L904" s="25" t="s">
        <v>2452</v>
      </c>
      <c r="M904" s="72" t="s">
        <v>338</v>
      </c>
      <c r="N904" s="3" t="str">
        <f t="shared" ca="1" si="203"/>
        <v xml:space="preserve">2 Tahun 11 bulan </v>
      </c>
      <c r="O904" s="35"/>
      <c r="P904" s="4" t="s">
        <v>35</v>
      </c>
      <c r="Q904" s="4" t="str">
        <f t="shared" ref="Q904:Q967" si="209">CONCATENATE(IF(MID(G904,17,1)="1","Laki-Laki",IF(MID(G904,17,1)="2","Perempuan",)))</f>
        <v>Laki-Laki</v>
      </c>
      <c r="R904" s="4">
        <f t="shared" si="200"/>
        <v>1</v>
      </c>
      <c r="S904" s="4" t="str">
        <f t="shared" si="206"/>
        <v>1</v>
      </c>
      <c r="T904" s="4">
        <f t="shared" si="201"/>
        <v>0</v>
      </c>
      <c r="U904" s="29"/>
      <c r="V904" s="30" t="s">
        <v>50</v>
      </c>
      <c r="W904" s="30"/>
      <c r="X904" s="30"/>
      <c r="Y904" s="30"/>
      <c r="Z904" s="30"/>
      <c r="AA904" s="30"/>
      <c r="AB904" s="29"/>
      <c r="AC904" s="29"/>
      <c r="AD904" s="37">
        <f t="shared" ref="AD904:AD967" si="210">IF(TRIM(G904)="", "", DATE(LEFT(G904,4),MID(G904,5,2),MID(G904,7,2)))</f>
        <v>32010</v>
      </c>
      <c r="AE904" s="3" t="str">
        <f t="shared" ca="1" si="208"/>
        <v>39 Tahun 0 bulan 11 Hari</v>
      </c>
      <c r="AF904" s="38">
        <f t="shared" ref="AF904:AF967" si="211">IF(TRIM(AD904)="","",DATE(YEAR(AD904)+60,MONTH(AD904)+1,1))</f>
        <v>53936</v>
      </c>
    </row>
    <row r="905" spans="1:32" s="7" customFormat="1" ht="32.15" customHeight="1" x14ac:dyDescent="0.35">
      <c r="A905" s="26">
        <f t="shared" si="205"/>
        <v>841</v>
      </c>
      <c r="B905" s="4" t="s">
        <v>2447</v>
      </c>
      <c r="C905" s="26"/>
      <c r="D905" s="111" t="s">
        <v>2464</v>
      </c>
      <c r="E905" s="24" t="s">
        <v>2465</v>
      </c>
      <c r="F905" s="24" t="s">
        <v>43</v>
      </c>
      <c r="G905" s="3" t="s">
        <v>2466</v>
      </c>
      <c r="H905" s="69" t="s">
        <v>2456</v>
      </c>
      <c r="I905" s="4" t="s">
        <v>1736</v>
      </c>
      <c r="J905" s="72" t="s">
        <v>338</v>
      </c>
      <c r="K905" s="3" t="str">
        <f t="shared" ca="1" si="207"/>
        <v xml:space="preserve">2 Tahun 11 bulan </v>
      </c>
      <c r="L905" s="56" t="s">
        <v>1749</v>
      </c>
      <c r="M905" s="72" t="s">
        <v>338</v>
      </c>
      <c r="N905" s="3" t="str">
        <f t="shared" ca="1" si="203"/>
        <v xml:space="preserve">2 Tahun 11 bulan </v>
      </c>
      <c r="O905" s="35"/>
      <c r="P905" s="4" t="s">
        <v>35</v>
      </c>
      <c r="Q905" s="4" t="str">
        <f t="shared" si="209"/>
        <v>Perempuan</v>
      </c>
      <c r="R905" s="4">
        <f t="shared" ref="R905:R968" si="212">R904</f>
        <v>1</v>
      </c>
      <c r="S905" s="4" t="str">
        <f t="shared" si="206"/>
        <v>1</v>
      </c>
      <c r="T905" s="4">
        <f t="shared" si="201"/>
        <v>0</v>
      </c>
      <c r="U905" s="29"/>
      <c r="V905" s="30"/>
      <c r="W905" s="30"/>
      <c r="X905" s="30"/>
      <c r="Y905" s="30"/>
      <c r="Z905" s="30"/>
      <c r="AA905" s="30"/>
      <c r="AB905" s="29"/>
      <c r="AC905" s="29"/>
      <c r="AD905" s="37">
        <f t="shared" si="210"/>
        <v>29989</v>
      </c>
      <c r="AE905" s="3" t="str">
        <f t="shared" ca="1" si="208"/>
        <v>44 Tahun 6 bulan 25 Hari</v>
      </c>
      <c r="AF905" s="38">
        <f t="shared" si="211"/>
        <v>51926</v>
      </c>
    </row>
    <row r="906" spans="1:32" s="7" customFormat="1" ht="32.15" customHeight="1" x14ac:dyDescent="0.35">
      <c r="A906" s="26">
        <f t="shared" si="205"/>
        <v>842</v>
      </c>
      <c r="B906" s="32" t="s">
        <v>2447</v>
      </c>
      <c r="C906" s="288" t="s">
        <v>2467</v>
      </c>
      <c r="D906" s="289"/>
      <c r="E906" s="71" t="s">
        <v>3123</v>
      </c>
      <c r="F906" s="71" t="s">
        <v>43</v>
      </c>
      <c r="G906" s="43" t="s">
        <v>2497</v>
      </c>
      <c r="H906" s="56" t="s">
        <v>988</v>
      </c>
      <c r="I906" s="56"/>
      <c r="J906" s="213">
        <v>46260</v>
      </c>
      <c r="K906" s="3" t="str">
        <f t="shared" ca="1" si="207"/>
        <v xml:space="preserve">0 Tahun 0 bulan </v>
      </c>
      <c r="L906" s="25" t="s">
        <v>2452</v>
      </c>
      <c r="M906" s="213">
        <v>46260</v>
      </c>
      <c r="N906" s="3" t="str">
        <f t="shared" ca="1" si="203"/>
        <v xml:space="preserve">0 Tahun 0 bulan </v>
      </c>
      <c r="O906" s="35"/>
      <c r="P906" s="4" t="s">
        <v>35</v>
      </c>
      <c r="Q906" s="4" t="str">
        <f t="shared" si="209"/>
        <v>Laki-Laki</v>
      </c>
      <c r="R906" s="4">
        <f t="shared" si="212"/>
        <v>1</v>
      </c>
      <c r="S906" s="4" t="str">
        <f t="shared" si="206"/>
        <v>1</v>
      </c>
      <c r="T906" s="4">
        <f t="shared" si="201"/>
        <v>0</v>
      </c>
      <c r="U906" s="29"/>
      <c r="V906" s="30" t="s">
        <v>50</v>
      </c>
      <c r="W906" s="30"/>
      <c r="X906" s="30"/>
      <c r="Y906" s="30"/>
      <c r="Z906" s="30"/>
      <c r="AA906" s="30"/>
      <c r="AB906" s="29"/>
      <c r="AC906" s="29"/>
      <c r="AD906" s="37">
        <f t="shared" si="210"/>
        <v>26991</v>
      </c>
      <c r="AE906" s="3" t="str">
        <f t="shared" ca="1" si="208"/>
        <v>52 Tahun 9 bulan 9 Hari</v>
      </c>
      <c r="AF906" s="38">
        <f t="shared" si="211"/>
        <v>48914</v>
      </c>
    </row>
    <row r="907" spans="1:32" s="7" customFormat="1" ht="32.15" customHeight="1" x14ac:dyDescent="0.35">
      <c r="A907" s="26">
        <f t="shared" si="205"/>
        <v>843</v>
      </c>
      <c r="B907" s="4" t="s">
        <v>2447</v>
      </c>
      <c r="C907" s="26"/>
      <c r="D907" s="111" t="s">
        <v>2470</v>
      </c>
      <c r="E907" s="71" t="s">
        <v>2471</v>
      </c>
      <c r="F907" s="24" t="s">
        <v>43</v>
      </c>
      <c r="G907" s="43" t="s">
        <v>2472</v>
      </c>
      <c r="H907" s="56" t="s">
        <v>2469</v>
      </c>
      <c r="I907" s="56" t="s">
        <v>2473</v>
      </c>
      <c r="J907" s="72" t="s">
        <v>338</v>
      </c>
      <c r="K907" s="3" t="str">
        <f t="shared" ca="1" si="207"/>
        <v xml:space="preserve">2 Tahun 11 bulan </v>
      </c>
      <c r="L907" s="56" t="s">
        <v>1749</v>
      </c>
      <c r="M907" s="72" t="s">
        <v>338</v>
      </c>
      <c r="N907" s="3" t="str">
        <f t="shared" ca="1" si="203"/>
        <v xml:space="preserve">2 Tahun 11 bulan </v>
      </c>
      <c r="O907" s="35"/>
      <c r="P907" s="4" t="s">
        <v>35</v>
      </c>
      <c r="Q907" s="4" t="str">
        <f t="shared" si="209"/>
        <v>Perempuan</v>
      </c>
      <c r="R907" s="4">
        <f t="shared" si="212"/>
        <v>1</v>
      </c>
      <c r="S907" s="4" t="str">
        <f t="shared" si="206"/>
        <v>1</v>
      </c>
      <c r="T907" s="4">
        <f t="shared" si="201"/>
        <v>0</v>
      </c>
      <c r="U907" s="29"/>
      <c r="V907" s="30"/>
      <c r="W907" s="30"/>
      <c r="X907" s="30"/>
      <c r="Y907" s="30"/>
      <c r="Z907" s="30"/>
      <c r="AA907" s="30"/>
      <c r="AB907" s="29"/>
      <c r="AC907" s="29"/>
      <c r="AD907" s="37">
        <f t="shared" si="210"/>
        <v>26423</v>
      </c>
      <c r="AE907" s="3" t="str">
        <f t="shared" ca="1" si="208"/>
        <v>54 Tahun 3 bulan 28 Hari</v>
      </c>
      <c r="AF907" s="38">
        <f t="shared" si="211"/>
        <v>48366</v>
      </c>
    </row>
    <row r="908" spans="1:32" s="7" customFormat="1" ht="32.15" customHeight="1" x14ac:dyDescent="0.35">
      <c r="A908" s="26">
        <f t="shared" si="205"/>
        <v>844</v>
      </c>
      <c r="B908" s="32" t="s">
        <v>2447</v>
      </c>
      <c r="C908" s="288" t="s">
        <v>2474</v>
      </c>
      <c r="D908" s="289"/>
      <c r="E908" s="71" t="s">
        <v>3106</v>
      </c>
      <c r="F908" s="71" t="s">
        <v>43</v>
      </c>
      <c r="G908" s="43" t="s">
        <v>3107</v>
      </c>
      <c r="H908" s="56" t="s">
        <v>3108</v>
      </c>
      <c r="I908" s="56"/>
      <c r="J908" s="109">
        <v>46260</v>
      </c>
      <c r="K908" s="3" t="str">
        <f t="shared" ca="1" si="207"/>
        <v xml:space="preserve">0 Tahun 0 bulan </v>
      </c>
      <c r="L908" s="25" t="s">
        <v>2452</v>
      </c>
      <c r="M908" s="109">
        <v>46260</v>
      </c>
      <c r="N908" s="3" t="str">
        <f t="shared" ca="1" si="203"/>
        <v xml:space="preserve">0 Tahun 0 bulan </v>
      </c>
      <c r="O908" s="35"/>
      <c r="P908" s="4" t="s">
        <v>35</v>
      </c>
      <c r="Q908" s="4" t="str">
        <f t="shared" si="209"/>
        <v>Perempuan</v>
      </c>
      <c r="R908" s="4">
        <f t="shared" si="212"/>
        <v>1</v>
      </c>
      <c r="S908" s="4" t="str">
        <f t="shared" si="206"/>
        <v>1</v>
      </c>
      <c r="T908" s="4">
        <f t="shared" si="201"/>
        <v>0</v>
      </c>
      <c r="U908" s="29"/>
      <c r="V908" s="30" t="s">
        <v>50</v>
      </c>
      <c r="W908" s="30"/>
      <c r="X908" s="30"/>
      <c r="Y908" s="30"/>
      <c r="Z908" s="30"/>
      <c r="AA908" s="30"/>
      <c r="AB908" s="29"/>
      <c r="AC908" s="29"/>
      <c r="AD908" s="37">
        <f t="shared" si="210"/>
        <v>33210</v>
      </c>
      <c r="AE908" s="3" t="str">
        <f t="shared" ca="1" si="208"/>
        <v>35 Tahun 8 bulan 29 Hari</v>
      </c>
      <c r="AF908" s="38">
        <f t="shared" si="211"/>
        <v>55154</v>
      </c>
    </row>
    <row r="909" spans="1:32" s="7" customFormat="1" ht="32.15" customHeight="1" x14ac:dyDescent="0.35">
      <c r="A909" s="26">
        <f t="shared" si="205"/>
        <v>845</v>
      </c>
      <c r="B909" s="4" t="s">
        <v>2447</v>
      </c>
      <c r="C909" s="26"/>
      <c r="D909" s="111" t="s">
        <v>2476</v>
      </c>
      <c r="E909" s="24" t="s">
        <v>2477</v>
      </c>
      <c r="F909" s="24" t="s">
        <v>43</v>
      </c>
      <c r="G909" s="4" t="s">
        <v>2478</v>
      </c>
      <c r="H909" s="69" t="s">
        <v>2479</v>
      </c>
      <c r="I909" s="69" t="s">
        <v>2480</v>
      </c>
      <c r="J909" s="138" t="s">
        <v>2458</v>
      </c>
      <c r="K909" s="3" t="str">
        <f t="shared" ca="1" si="207"/>
        <v xml:space="preserve">7 Tahun 3 bulan </v>
      </c>
      <c r="L909" s="56" t="s">
        <v>1749</v>
      </c>
      <c r="M909" s="138" t="s">
        <v>2458</v>
      </c>
      <c r="N909" s="3" t="str">
        <f t="shared" ca="1" si="203"/>
        <v xml:space="preserve">7 Tahun 3 bulan </v>
      </c>
      <c r="O909" s="35"/>
      <c r="P909" s="4" t="s">
        <v>35</v>
      </c>
      <c r="Q909" s="4" t="str">
        <f t="shared" si="209"/>
        <v>Perempuan</v>
      </c>
      <c r="R909" s="4">
        <f t="shared" si="212"/>
        <v>1</v>
      </c>
      <c r="S909" s="4" t="str">
        <f t="shared" si="206"/>
        <v>1</v>
      </c>
      <c r="T909" s="4">
        <f t="shared" si="201"/>
        <v>0</v>
      </c>
      <c r="U909" s="29"/>
      <c r="V909" s="30"/>
      <c r="W909" s="30"/>
      <c r="X909" s="30"/>
      <c r="Y909" s="30"/>
      <c r="Z909" s="30"/>
      <c r="AA909" s="30"/>
      <c r="AB909" s="29"/>
      <c r="AC909" s="29"/>
      <c r="AD909" s="37">
        <f t="shared" si="210"/>
        <v>32402</v>
      </c>
      <c r="AE909" s="3" t="str">
        <f t="shared" ca="1" si="208"/>
        <v>37 Tahun 11 bulan 16 Hari</v>
      </c>
      <c r="AF909" s="38">
        <f t="shared" si="211"/>
        <v>54332</v>
      </c>
    </row>
    <row r="910" spans="1:32" s="7" customFormat="1" ht="32.15" customHeight="1" x14ac:dyDescent="0.35">
      <c r="A910" s="26">
        <f t="shared" si="205"/>
        <v>846</v>
      </c>
      <c r="B910" s="32" t="s">
        <v>2447</v>
      </c>
      <c r="C910" s="288" t="s">
        <v>2481</v>
      </c>
      <c r="D910" s="289"/>
      <c r="E910" s="71" t="s">
        <v>3131</v>
      </c>
      <c r="F910" s="71" t="s">
        <v>71</v>
      </c>
      <c r="G910" s="70" t="s">
        <v>3132</v>
      </c>
      <c r="H910" s="56" t="s">
        <v>3133</v>
      </c>
      <c r="I910" s="25"/>
      <c r="J910" s="109">
        <v>46260</v>
      </c>
      <c r="K910" s="3" t="str">
        <f t="shared" ca="1" si="207"/>
        <v xml:space="preserve">0 Tahun 0 bulan </v>
      </c>
      <c r="L910" s="25" t="s">
        <v>2452</v>
      </c>
      <c r="M910" s="109">
        <v>46260</v>
      </c>
      <c r="N910" s="3" t="str">
        <f t="shared" ca="1" si="203"/>
        <v xml:space="preserve">0 Tahun 0 bulan </v>
      </c>
      <c r="O910" s="35"/>
      <c r="P910" s="4" t="s">
        <v>35</v>
      </c>
      <c r="Q910" s="4" t="str">
        <f t="shared" si="209"/>
        <v>Perempuan</v>
      </c>
      <c r="R910" s="4">
        <f t="shared" si="212"/>
        <v>1</v>
      </c>
      <c r="S910" s="4" t="str">
        <f t="shared" si="206"/>
        <v>1</v>
      </c>
      <c r="T910" s="4">
        <f t="shared" si="201"/>
        <v>0</v>
      </c>
      <c r="U910" s="29"/>
      <c r="V910" s="30" t="s">
        <v>50</v>
      </c>
      <c r="W910" s="30"/>
      <c r="X910" s="30"/>
      <c r="Y910" s="30"/>
      <c r="Z910" s="30"/>
      <c r="AA910" s="30"/>
      <c r="AB910" s="29"/>
      <c r="AC910" s="29"/>
      <c r="AD910" s="37">
        <f t="shared" si="210"/>
        <v>32915</v>
      </c>
      <c r="AE910" s="3" t="str">
        <f t="shared" ca="1" si="208"/>
        <v>36 Tahun 6 bulan 21 Hari</v>
      </c>
      <c r="AF910" s="38">
        <f t="shared" si="211"/>
        <v>54848</v>
      </c>
    </row>
    <row r="911" spans="1:32" s="7" customFormat="1" ht="32.15" customHeight="1" x14ac:dyDescent="0.35">
      <c r="A911" s="26">
        <f t="shared" si="205"/>
        <v>847</v>
      </c>
      <c r="B911" s="4" t="s">
        <v>2447</v>
      </c>
      <c r="C911" s="26"/>
      <c r="D911" s="111" t="s">
        <v>2482</v>
      </c>
      <c r="E911" s="24" t="s">
        <v>2483</v>
      </c>
      <c r="F911" s="24" t="s">
        <v>43</v>
      </c>
      <c r="G911" s="4" t="s">
        <v>2484</v>
      </c>
      <c r="H911" s="69" t="s">
        <v>2456</v>
      </c>
      <c r="I911" s="69" t="s">
        <v>2451</v>
      </c>
      <c r="J911" s="138" t="s">
        <v>2458</v>
      </c>
      <c r="K911" s="3" t="str">
        <f t="shared" ca="1" si="207"/>
        <v xml:space="preserve">7 Tahun 3 bulan </v>
      </c>
      <c r="L911" s="56" t="s">
        <v>1749</v>
      </c>
      <c r="M911" s="138" t="s">
        <v>2458</v>
      </c>
      <c r="N911" s="3" t="str">
        <f t="shared" ca="1" si="203"/>
        <v xml:space="preserve">7 Tahun 3 bulan </v>
      </c>
      <c r="O911" s="35"/>
      <c r="P911" s="4" t="s">
        <v>35</v>
      </c>
      <c r="Q911" s="4" t="str">
        <f t="shared" si="209"/>
        <v>Laki-Laki</v>
      </c>
      <c r="R911" s="4">
        <f t="shared" si="212"/>
        <v>1</v>
      </c>
      <c r="S911" s="4" t="str">
        <f t="shared" si="206"/>
        <v>1</v>
      </c>
      <c r="T911" s="4">
        <f t="shared" si="201"/>
        <v>0</v>
      </c>
      <c r="U911" s="29"/>
      <c r="V911" s="30"/>
      <c r="W911" s="30"/>
      <c r="X911" s="30"/>
      <c r="Y911" s="30"/>
      <c r="Z911" s="30"/>
      <c r="AA911" s="30"/>
      <c r="AB911" s="29"/>
      <c r="AC911" s="29"/>
      <c r="AD911" s="37">
        <f t="shared" si="210"/>
        <v>24702</v>
      </c>
      <c r="AE911" s="3" t="str">
        <f t="shared" ca="1" si="208"/>
        <v>59 Tahun 0 bulan 14 Hari</v>
      </c>
      <c r="AF911" s="38">
        <f t="shared" si="211"/>
        <v>46631</v>
      </c>
    </row>
    <row r="912" spans="1:32" s="7" customFormat="1" ht="32.15" customHeight="1" x14ac:dyDescent="0.35">
      <c r="A912" s="26">
        <f t="shared" si="205"/>
        <v>848</v>
      </c>
      <c r="B912" s="32" t="s">
        <v>2447</v>
      </c>
      <c r="C912" s="288" t="s">
        <v>2485</v>
      </c>
      <c r="D912" s="289"/>
      <c r="E912" s="71" t="s">
        <v>2486</v>
      </c>
      <c r="F912" s="71" t="s">
        <v>43</v>
      </c>
      <c r="G912" s="56" t="s">
        <v>2487</v>
      </c>
      <c r="H912" s="56" t="s">
        <v>2488</v>
      </c>
      <c r="I912" s="56" t="s">
        <v>2489</v>
      </c>
      <c r="J912" s="72" t="s">
        <v>2490</v>
      </c>
      <c r="K912" s="3" t="str">
        <f t="shared" ca="1" si="207"/>
        <v xml:space="preserve">8 Tahun 4 bulan </v>
      </c>
      <c r="L912" s="25" t="s">
        <v>2452</v>
      </c>
      <c r="M912" s="72" t="s">
        <v>2490</v>
      </c>
      <c r="N912" s="3" t="str">
        <f t="shared" ca="1" si="203"/>
        <v xml:space="preserve">8 Tahun 4 bulan </v>
      </c>
      <c r="O912" s="35"/>
      <c r="P912" s="4" t="s">
        <v>35</v>
      </c>
      <c r="Q912" s="4" t="str">
        <f t="shared" si="209"/>
        <v>Laki-Laki</v>
      </c>
      <c r="R912" s="4">
        <f t="shared" si="212"/>
        <v>1</v>
      </c>
      <c r="S912" s="4" t="str">
        <f t="shared" si="206"/>
        <v>1</v>
      </c>
      <c r="T912" s="4">
        <f t="shared" si="201"/>
        <v>0</v>
      </c>
      <c r="U912" s="29"/>
      <c r="V912" s="30" t="s">
        <v>50</v>
      </c>
      <c r="W912" s="30"/>
      <c r="X912" s="30"/>
      <c r="Y912" s="30"/>
      <c r="Z912" s="30"/>
      <c r="AA912" s="30"/>
      <c r="AB912" s="29"/>
      <c r="AC912" s="29"/>
      <c r="AD912" s="37">
        <f t="shared" si="210"/>
        <v>30101</v>
      </c>
      <c r="AE912" s="3" t="str">
        <f t="shared" ca="1" si="208"/>
        <v>44 Tahun 3 bulan 2 Hari</v>
      </c>
      <c r="AF912" s="38">
        <f t="shared" si="211"/>
        <v>52018</v>
      </c>
    </row>
    <row r="913" spans="1:32" s="7" customFormat="1" ht="32.15" customHeight="1" x14ac:dyDescent="0.35">
      <c r="A913" s="26">
        <f t="shared" si="205"/>
        <v>849</v>
      </c>
      <c r="B913" s="4" t="s">
        <v>2447</v>
      </c>
      <c r="C913" s="26"/>
      <c r="D913" s="111" t="s">
        <v>2491</v>
      </c>
      <c r="E913" s="24" t="s">
        <v>2492</v>
      </c>
      <c r="F913" s="24" t="s">
        <v>43</v>
      </c>
      <c r="G913" s="4" t="s">
        <v>2493</v>
      </c>
      <c r="H913" s="69" t="s">
        <v>2494</v>
      </c>
      <c r="I913" s="69" t="s">
        <v>2495</v>
      </c>
      <c r="J913" s="138" t="s">
        <v>2458</v>
      </c>
      <c r="K913" s="3" t="str">
        <f t="shared" ca="1" si="207"/>
        <v xml:space="preserve">7 Tahun 3 bulan </v>
      </c>
      <c r="L913" s="56" t="s">
        <v>1749</v>
      </c>
      <c r="M913" s="138" t="s">
        <v>2458</v>
      </c>
      <c r="N913" s="3" t="str">
        <f t="shared" ca="1" si="203"/>
        <v xml:space="preserve">7 Tahun 3 bulan </v>
      </c>
      <c r="O913" s="35"/>
      <c r="P913" s="24" t="s">
        <v>968</v>
      </c>
      <c r="Q913" s="4" t="str">
        <f t="shared" si="209"/>
        <v>Perempuan</v>
      </c>
      <c r="R913" s="4">
        <f t="shared" si="212"/>
        <v>1</v>
      </c>
      <c r="S913" s="4" t="str">
        <f t="shared" si="206"/>
        <v>1</v>
      </c>
      <c r="T913" s="4">
        <f t="shared" si="201"/>
        <v>0</v>
      </c>
      <c r="U913" s="29"/>
      <c r="V913" s="30"/>
      <c r="W913" s="30"/>
      <c r="X913" s="30"/>
      <c r="Y913" s="30"/>
      <c r="Z913" s="30"/>
      <c r="AA913" s="30"/>
      <c r="AB913" s="29"/>
      <c r="AC913" s="29"/>
      <c r="AD913" s="37">
        <f t="shared" si="210"/>
        <v>29872</v>
      </c>
      <c r="AE913" s="3" t="str">
        <f t="shared" ca="1" si="208"/>
        <v>44 Tahun 10 bulan 19 Hari</v>
      </c>
      <c r="AF913" s="38">
        <f t="shared" si="211"/>
        <v>51806</v>
      </c>
    </row>
    <row r="914" spans="1:32" s="7" customFormat="1" ht="32.15" customHeight="1" x14ac:dyDescent="0.35">
      <c r="A914" s="26">
        <f t="shared" si="205"/>
        <v>850</v>
      </c>
      <c r="B914" s="32" t="s">
        <v>2447</v>
      </c>
      <c r="C914" s="288" t="s">
        <v>2496</v>
      </c>
      <c r="D914" s="289"/>
      <c r="E914" s="24" t="s">
        <v>3109</v>
      </c>
      <c r="F914" s="71" t="s">
        <v>43</v>
      </c>
      <c r="G914" s="4" t="s">
        <v>2587</v>
      </c>
      <c r="H914" s="69" t="s">
        <v>385</v>
      </c>
      <c r="I914" s="36" t="s">
        <v>1692</v>
      </c>
      <c r="J914" s="109">
        <v>46260</v>
      </c>
      <c r="K914" s="3" t="str">
        <f t="shared" ca="1" si="207"/>
        <v xml:space="preserve">0 Tahun 0 bulan </v>
      </c>
      <c r="L914" s="25" t="s">
        <v>2452</v>
      </c>
      <c r="M914" s="109">
        <v>46260</v>
      </c>
      <c r="N914" s="3" t="str">
        <f t="shared" ca="1" si="203"/>
        <v xml:space="preserve">0 Tahun 0 bulan </v>
      </c>
      <c r="O914" s="35"/>
      <c r="P914" s="4" t="s">
        <v>35</v>
      </c>
      <c r="Q914" s="4" t="str">
        <f t="shared" si="209"/>
        <v>Perempuan</v>
      </c>
      <c r="R914" s="4">
        <f t="shared" si="212"/>
        <v>1</v>
      </c>
      <c r="S914" s="4" t="str">
        <f t="shared" si="206"/>
        <v>1</v>
      </c>
      <c r="T914" s="4">
        <f t="shared" si="201"/>
        <v>0</v>
      </c>
      <c r="U914" s="29"/>
      <c r="V914" s="30" t="s">
        <v>50</v>
      </c>
      <c r="W914" s="30"/>
      <c r="X914" s="30"/>
      <c r="Y914" s="30"/>
      <c r="Z914" s="30"/>
      <c r="AA914" s="30"/>
      <c r="AB914" s="29"/>
      <c r="AC914" s="29"/>
      <c r="AD914" s="37">
        <f t="shared" si="210"/>
        <v>29621</v>
      </c>
      <c r="AE914" s="3" t="str">
        <f t="shared" ca="1" si="208"/>
        <v>45 Tahun 6 bulan 28 Hari</v>
      </c>
      <c r="AF914" s="38">
        <f t="shared" si="211"/>
        <v>51561</v>
      </c>
    </row>
    <row r="915" spans="1:32" s="7" customFormat="1" ht="32.15" customHeight="1" x14ac:dyDescent="0.35">
      <c r="A915" s="26">
        <f t="shared" si="205"/>
        <v>851</v>
      </c>
      <c r="B915" s="4" t="s">
        <v>2447</v>
      </c>
      <c r="C915" s="26"/>
      <c r="D915" s="111" t="s">
        <v>2499</v>
      </c>
      <c r="E915" s="24" t="s">
        <v>2500</v>
      </c>
      <c r="F915" s="24" t="s">
        <v>43</v>
      </c>
      <c r="G915" s="4" t="s">
        <v>2501</v>
      </c>
      <c r="H915" s="69" t="s">
        <v>1954</v>
      </c>
      <c r="I915" s="69" t="s">
        <v>2502</v>
      </c>
      <c r="J915" s="72" t="s">
        <v>206</v>
      </c>
      <c r="K915" s="3" t="str">
        <f t="shared" ca="1" si="207"/>
        <v xml:space="preserve">3 Tahun 10 bulan </v>
      </c>
      <c r="L915" s="56" t="s">
        <v>1749</v>
      </c>
      <c r="M915" s="72" t="s">
        <v>206</v>
      </c>
      <c r="N915" s="3" t="str">
        <f t="shared" ca="1" si="203"/>
        <v xml:space="preserve">3 Tahun 10 bulan </v>
      </c>
      <c r="O915" s="35"/>
      <c r="P915" s="4" t="s">
        <v>35</v>
      </c>
      <c r="Q915" s="4" t="str">
        <f t="shared" si="209"/>
        <v>Laki-Laki</v>
      </c>
      <c r="R915" s="4">
        <f t="shared" si="212"/>
        <v>1</v>
      </c>
      <c r="S915" s="4" t="str">
        <f t="shared" si="206"/>
        <v>1</v>
      </c>
      <c r="T915" s="4">
        <f t="shared" si="201"/>
        <v>0</v>
      </c>
      <c r="U915" s="29"/>
      <c r="V915" s="30" t="s">
        <v>50</v>
      </c>
      <c r="W915" s="30"/>
      <c r="X915" s="30"/>
      <c r="Y915" s="30"/>
      <c r="Z915" s="30"/>
      <c r="AA915" s="30"/>
      <c r="AB915" s="29"/>
      <c r="AC915" s="29"/>
      <c r="AD915" s="37">
        <f t="shared" si="210"/>
        <v>29525</v>
      </c>
      <c r="AE915" s="3" t="str">
        <f t="shared" ca="1" si="208"/>
        <v>45 Tahun 10 bulan 1 Hari</v>
      </c>
      <c r="AF915" s="38">
        <f t="shared" si="211"/>
        <v>51441</v>
      </c>
    </row>
    <row r="916" spans="1:32" s="7" customFormat="1" ht="40.5" customHeight="1" x14ac:dyDescent="0.35">
      <c r="A916" s="26">
        <f t="shared" si="205"/>
        <v>852</v>
      </c>
      <c r="B916" s="32" t="s">
        <v>2447</v>
      </c>
      <c r="C916" s="288" t="s">
        <v>2503</v>
      </c>
      <c r="D916" s="289"/>
      <c r="E916" s="24" t="s">
        <v>3121</v>
      </c>
      <c r="F916" s="24" t="s">
        <v>43</v>
      </c>
      <c r="G916" s="4" t="s">
        <v>2450</v>
      </c>
      <c r="H916" s="4" t="s">
        <v>3122</v>
      </c>
      <c r="I916" s="4"/>
      <c r="J916" s="214">
        <v>46260</v>
      </c>
      <c r="K916" s="3" t="str">
        <f t="shared" ca="1" si="207"/>
        <v xml:space="preserve">0 Tahun 0 bulan </v>
      </c>
      <c r="L916" s="25" t="s">
        <v>2452</v>
      </c>
      <c r="M916" s="214">
        <v>46260</v>
      </c>
      <c r="N916" s="3" t="str">
        <f t="shared" ca="1" si="203"/>
        <v xml:space="preserve">0 Tahun 0 bulan </v>
      </c>
      <c r="O916" s="35"/>
      <c r="P916" s="4"/>
      <c r="Q916" s="4" t="str">
        <f t="shared" si="209"/>
        <v>Perempuan</v>
      </c>
      <c r="R916" s="4">
        <f t="shared" si="212"/>
        <v>1</v>
      </c>
      <c r="S916" s="4" t="str">
        <f t="shared" si="206"/>
        <v>1</v>
      </c>
      <c r="T916" s="4">
        <f t="shared" si="201"/>
        <v>0</v>
      </c>
      <c r="U916" s="29"/>
      <c r="V916" s="30" t="s">
        <v>50</v>
      </c>
      <c r="W916" s="30"/>
      <c r="X916" s="30"/>
      <c r="Y916" s="30"/>
      <c r="Z916" s="30"/>
      <c r="AA916" s="30"/>
      <c r="AB916" s="29"/>
      <c r="AC916" s="29"/>
      <c r="AD916" s="37">
        <f t="shared" si="210"/>
        <v>28497</v>
      </c>
      <c r="AE916" s="3" t="str">
        <f t="shared" ca="1" si="208"/>
        <v>48 Tahun 7 bulan 25 Hari</v>
      </c>
      <c r="AF916" s="38">
        <f t="shared" si="211"/>
        <v>50437</v>
      </c>
    </row>
    <row r="917" spans="1:32" s="7" customFormat="1" ht="32.15" customHeight="1" x14ac:dyDescent="0.35">
      <c r="A917" s="26">
        <f t="shared" si="205"/>
        <v>853</v>
      </c>
      <c r="B917" s="4" t="s">
        <v>2447</v>
      </c>
      <c r="C917" s="26"/>
      <c r="D917" s="111" t="s">
        <v>2504</v>
      </c>
      <c r="E917" s="24" t="s">
        <v>2505</v>
      </c>
      <c r="F917" s="24" t="s">
        <v>43</v>
      </c>
      <c r="G917" s="4" t="s">
        <v>2506</v>
      </c>
      <c r="H917" s="4" t="s">
        <v>458</v>
      </c>
      <c r="I917" s="69" t="s">
        <v>2507</v>
      </c>
      <c r="J917" s="138" t="s">
        <v>2458</v>
      </c>
      <c r="K917" s="3" t="str">
        <f t="shared" ca="1" si="207"/>
        <v xml:space="preserve">7 Tahun 3 bulan </v>
      </c>
      <c r="L917" s="56" t="s">
        <v>1749</v>
      </c>
      <c r="M917" s="138" t="s">
        <v>2458</v>
      </c>
      <c r="N917" s="3" t="str">
        <f t="shared" ca="1" si="203"/>
        <v xml:space="preserve">7 Tahun 3 bulan </v>
      </c>
      <c r="O917" s="35"/>
      <c r="P917" s="4" t="s">
        <v>35</v>
      </c>
      <c r="Q917" s="4" t="str">
        <f t="shared" si="209"/>
        <v>Laki-Laki</v>
      </c>
      <c r="R917" s="4">
        <f t="shared" si="212"/>
        <v>1</v>
      </c>
      <c r="S917" s="4" t="str">
        <f t="shared" si="206"/>
        <v>1</v>
      </c>
      <c r="T917" s="4">
        <f t="shared" ref="T917:T991" si="213">R917-S917</f>
        <v>0</v>
      </c>
      <c r="U917" s="29"/>
      <c r="V917" s="30" t="s">
        <v>50</v>
      </c>
      <c r="W917" s="30"/>
      <c r="X917" s="30"/>
      <c r="Y917" s="30"/>
      <c r="Z917" s="30"/>
      <c r="AA917" s="30"/>
      <c r="AB917" s="29"/>
      <c r="AC917" s="29"/>
      <c r="AD917" s="37">
        <f t="shared" si="210"/>
        <v>27826</v>
      </c>
      <c r="AE917" s="3" t="str">
        <f t="shared" ca="1" si="208"/>
        <v>50 Tahun 5 bulan 25 Hari</v>
      </c>
      <c r="AF917" s="38">
        <f t="shared" si="211"/>
        <v>49766</v>
      </c>
    </row>
    <row r="918" spans="1:32" s="7" customFormat="1" ht="32.15" customHeight="1" x14ac:dyDescent="0.35">
      <c r="A918" s="26">
        <f t="shared" si="205"/>
        <v>854</v>
      </c>
      <c r="B918" s="32" t="s">
        <v>2447</v>
      </c>
      <c r="C918" s="288" t="s">
        <v>2508</v>
      </c>
      <c r="D918" s="289"/>
      <c r="E918" s="24" t="s">
        <v>2509</v>
      </c>
      <c r="F918" s="24" t="s">
        <v>43</v>
      </c>
      <c r="G918" s="3" t="s">
        <v>2510</v>
      </c>
      <c r="H918" s="4" t="s">
        <v>91</v>
      </c>
      <c r="I918" s="36" t="s">
        <v>2511</v>
      </c>
      <c r="J918" s="81" t="s">
        <v>558</v>
      </c>
      <c r="K918" s="3" t="str">
        <f t="shared" ca="1" si="207"/>
        <v xml:space="preserve">6 Tahun 4 bulan </v>
      </c>
      <c r="L918" s="25" t="s">
        <v>2452</v>
      </c>
      <c r="M918" s="81" t="s">
        <v>558</v>
      </c>
      <c r="N918" s="3" t="str">
        <f t="shared" ca="1" si="203"/>
        <v xml:space="preserve">6 Tahun 4 bulan </v>
      </c>
      <c r="O918" s="35"/>
      <c r="P918" s="4"/>
      <c r="Q918" s="4" t="str">
        <f t="shared" si="209"/>
        <v>Perempuan</v>
      </c>
      <c r="R918" s="4">
        <f t="shared" si="212"/>
        <v>1</v>
      </c>
      <c r="S918" s="4" t="str">
        <f t="shared" si="206"/>
        <v>1</v>
      </c>
      <c r="T918" s="4">
        <f t="shared" si="213"/>
        <v>0</v>
      </c>
      <c r="U918" s="29"/>
      <c r="V918" s="30"/>
      <c r="W918" s="30"/>
      <c r="X918" s="30"/>
      <c r="Y918" s="30"/>
      <c r="Z918" s="30"/>
      <c r="AA918" s="30"/>
      <c r="AB918" s="29"/>
      <c r="AC918" s="29"/>
      <c r="AD918" s="37">
        <f t="shared" si="210"/>
        <v>25997</v>
      </c>
      <c r="AE918" s="3" t="str">
        <f t="shared" ca="1" si="208"/>
        <v>55 Tahun 5 bulan 27 Hari</v>
      </c>
      <c r="AF918" s="38">
        <f t="shared" si="211"/>
        <v>47939</v>
      </c>
    </row>
    <row r="919" spans="1:32" s="7" customFormat="1" ht="32.15" customHeight="1" x14ac:dyDescent="0.35">
      <c r="A919" s="26">
        <f t="shared" si="205"/>
        <v>855</v>
      </c>
      <c r="B919" s="4" t="s">
        <v>2447</v>
      </c>
      <c r="C919" s="26"/>
      <c r="D919" s="111" t="s">
        <v>2512</v>
      </c>
      <c r="E919" s="24" t="s">
        <v>2513</v>
      </c>
      <c r="F919" s="24" t="s">
        <v>43</v>
      </c>
      <c r="G919" s="4" t="s">
        <v>2514</v>
      </c>
      <c r="H919" s="69" t="s">
        <v>2479</v>
      </c>
      <c r="I919" s="69" t="s">
        <v>2515</v>
      </c>
      <c r="J919" s="138" t="s">
        <v>2458</v>
      </c>
      <c r="K919" s="3" t="str">
        <f t="shared" ca="1" si="207"/>
        <v xml:space="preserve">7 Tahun 3 bulan </v>
      </c>
      <c r="L919" s="56" t="s">
        <v>1749</v>
      </c>
      <c r="M919" s="138" t="s">
        <v>2458</v>
      </c>
      <c r="N919" s="3" t="str">
        <f t="shared" ca="1" si="203"/>
        <v xml:space="preserve">7 Tahun 3 bulan </v>
      </c>
      <c r="O919" s="35"/>
      <c r="P919" s="4" t="s">
        <v>35</v>
      </c>
      <c r="Q919" s="4" t="str">
        <f t="shared" si="209"/>
        <v>Perempuan</v>
      </c>
      <c r="R919" s="4">
        <f t="shared" si="212"/>
        <v>1</v>
      </c>
      <c r="S919" s="4" t="str">
        <f t="shared" si="206"/>
        <v>1</v>
      </c>
      <c r="T919" s="4">
        <f t="shared" si="213"/>
        <v>0</v>
      </c>
      <c r="U919" s="29"/>
      <c r="V919" s="30"/>
      <c r="W919" s="30"/>
      <c r="X919" s="30"/>
      <c r="Y919" s="30"/>
      <c r="Z919" s="30"/>
      <c r="AA919" s="30"/>
      <c r="AB919" s="29"/>
      <c r="AC919" s="29"/>
      <c r="AD919" s="37">
        <f t="shared" si="210"/>
        <v>31118</v>
      </c>
      <c r="AE919" s="3" t="str">
        <f t="shared" ca="1" si="208"/>
        <v>41 Tahun 5 bulan 20 Hari</v>
      </c>
      <c r="AF919" s="38">
        <f t="shared" si="211"/>
        <v>53053</v>
      </c>
    </row>
    <row r="920" spans="1:32" s="7" customFormat="1" ht="32.15" customHeight="1" x14ac:dyDescent="0.35">
      <c r="A920" s="26">
        <f t="shared" si="205"/>
        <v>856</v>
      </c>
      <c r="B920" s="32" t="s">
        <v>2447</v>
      </c>
      <c r="C920" s="288" t="s">
        <v>2516</v>
      </c>
      <c r="D920" s="289"/>
      <c r="E920" s="24" t="s">
        <v>2517</v>
      </c>
      <c r="F920" s="24" t="s">
        <v>43</v>
      </c>
      <c r="G920" s="3" t="s">
        <v>2518</v>
      </c>
      <c r="H920" s="4" t="s">
        <v>699</v>
      </c>
      <c r="I920" s="36" t="s">
        <v>1692</v>
      </c>
      <c r="J920" s="81" t="s">
        <v>2519</v>
      </c>
      <c r="K920" s="3" t="str">
        <f t="shared" ca="1" si="207"/>
        <v xml:space="preserve">5 Tahun 11 bulan </v>
      </c>
      <c r="L920" s="25" t="s">
        <v>2452</v>
      </c>
      <c r="M920" s="81" t="s">
        <v>2519</v>
      </c>
      <c r="N920" s="3" t="str">
        <f t="shared" ca="1" si="203"/>
        <v xml:space="preserve">5 Tahun 11 bulan </v>
      </c>
      <c r="O920" s="35"/>
      <c r="P920" s="4" t="s">
        <v>968</v>
      </c>
      <c r="Q920" s="4" t="str">
        <f t="shared" si="209"/>
        <v>Perempuan</v>
      </c>
      <c r="R920" s="4">
        <f t="shared" si="212"/>
        <v>1</v>
      </c>
      <c r="S920" s="4" t="str">
        <f t="shared" si="206"/>
        <v>1</v>
      </c>
      <c r="T920" s="4">
        <f t="shared" si="213"/>
        <v>0</v>
      </c>
      <c r="U920" s="29"/>
      <c r="V920" s="30"/>
      <c r="W920" s="30"/>
      <c r="X920" s="30"/>
      <c r="Y920" s="30"/>
      <c r="Z920" s="30"/>
      <c r="AA920" s="30"/>
      <c r="AB920" s="29"/>
      <c r="AC920" s="29"/>
      <c r="AD920" s="37">
        <f t="shared" si="210"/>
        <v>27529</v>
      </c>
      <c r="AE920" s="3" t="str">
        <f t="shared" ca="1" si="208"/>
        <v>51 Tahun 3 bulan 17 Hari</v>
      </c>
      <c r="AF920" s="38">
        <f t="shared" si="211"/>
        <v>49461</v>
      </c>
    </row>
    <row r="921" spans="1:32" s="7" customFormat="1" ht="32.15" customHeight="1" x14ac:dyDescent="0.35">
      <c r="A921" s="26">
        <f t="shared" si="205"/>
        <v>857</v>
      </c>
      <c r="B921" s="4" t="s">
        <v>2447</v>
      </c>
      <c r="C921" s="26"/>
      <c r="D921" s="111" t="s">
        <v>2520</v>
      </c>
      <c r="E921" s="24" t="s">
        <v>2521</v>
      </c>
      <c r="F921" s="24" t="s">
        <v>43</v>
      </c>
      <c r="G921" s="3" t="s">
        <v>2522</v>
      </c>
      <c r="H921" s="69" t="s">
        <v>687</v>
      </c>
      <c r="I921" s="69" t="s">
        <v>2523</v>
      </c>
      <c r="J921" s="72" t="s">
        <v>338</v>
      </c>
      <c r="K921" s="3" t="str">
        <f t="shared" ca="1" si="207"/>
        <v xml:space="preserve">2 Tahun 11 bulan </v>
      </c>
      <c r="L921" s="56" t="s">
        <v>1749</v>
      </c>
      <c r="M921" s="72" t="s">
        <v>338</v>
      </c>
      <c r="N921" s="3" t="str">
        <f t="shared" ca="1" si="203"/>
        <v xml:space="preserve">2 Tahun 11 bulan </v>
      </c>
      <c r="O921" s="35"/>
      <c r="P921" s="4" t="s">
        <v>35</v>
      </c>
      <c r="Q921" s="4" t="str">
        <f t="shared" si="209"/>
        <v>Perempuan</v>
      </c>
      <c r="R921" s="4">
        <f t="shared" si="212"/>
        <v>1</v>
      </c>
      <c r="S921" s="4" t="str">
        <f t="shared" si="206"/>
        <v>1</v>
      </c>
      <c r="T921" s="4">
        <f t="shared" si="213"/>
        <v>0</v>
      </c>
      <c r="U921" s="29"/>
      <c r="V921" s="30"/>
      <c r="W921" s="30"/>
      <c r="X921" s="30"/>
      <c r="Y921" s="30"/>
      <c r="Z921" s="30"/>
      <c r="AA921" s="30"/>
      <c r="AB921" s="29"/>
      <c r="AC921" s="29"/>
      <c r="AD921" s="37">
        <f t="shared" si="210"/>
        <v>32923</v>
      </c>
      <c r="AE921" s="3" t="str">
        <f t="shared" ca="1" si="208"/>
        <v>36 Tahun 6 bulan 13 Hari</v>
      </c>
      <c r="AF921" s="38">
        <f t="shared" si="211"/>
        <v>54848</v>
      </c>
    </row>
    <row r="922" spans="1:32" s="7" customFormat="1" ht="32.15" customHeight="1" x14ac:dyDescent="0.35">
      <c r="A922" s="26">
        <f t="shared" si="205"/>
        <v>858</v>
      </c>
      <c r="B922" s="32" t="s">
        <v>2447</v>
      </c>
      <c r="C922" s="288" t="s">
        <v>2524</v>
      </c>
      <c r="D922" s="289"/>
      <c r="E922" s="24" t="s">
        <v>3110</v>
      </c>
      <c r="F922" s="24" t="s">
        <v>43</v>
      </c>
      <c r="G922" s="4" t="s">
        <v>3111</v>
      </c>
      <c r="H922" s="69" t="s">
        <v>3112</v>
      </c>
      <c r="I922" s="36"/>
      <c r="J922" s="213">
        <v>46260</v>
      </c>
      <c r="K922" s="3" t="str">
        <f t="shared" ca="1" si="207"/>
        <v xml:space="preserve">0 Tahun 0 bulan </v>
      </c>
      <c r="L922" s="25" t="s">
        <v>2452</v>
      </c>
      <c r="M922" s="213">
        <v>46260</v>
      </c>
      <c r="N922" s="3" t="str">
        <f t="shared" ca="1" si="203"/>
        <v xml:space="preserve">0 Tahun 0 bulan </v>
      </c>
      <c r="O922" s="35"/>
      <c r="P922" s="4"/>
      <c r="Q922" s="4" t="str">
        <f t="shared" si="209"/>
        <v>Perempuan</v>
      </c>
      <c r="R922" s="4">
        <f t="shared" si="212"/>
        <v>1</v>
      </c>
      <c r="S922" s="4" t="str">
        <f t="shared" si="206"/>
        <v>1</v>
      </c>
      <c r="T922" s="4">
        <f t="shared" si="213"/>
        <v>0</v>
      </c>
      <c r="U922" s="29"/>
      <c r="V922" s="30" t="s">
        <v>50</v>
      </c>
      <c r="W922" s="30"/>
      <c r="X922" s="30"/>
      <c r="Y922" s="30"/>
      <c r="Z922" s="30"/>
      <c r="AA922" s="30"/>
      <c r="AB922" s="29"/>
      <c r="AC922" s="29"/>
      <c r="AD922" s="37">
        <f t="shared" si="210"/>
        <v>33111</v>
      </c>
      <c r="AE922" s="3" t="str">
        <f t="shared" ca="1" si="208"/>
        <v>36 Tahun 0 bulan 6 Hari</v>
      </c>
      <c r="AF922" s="38">
        <f t="shared" si="211"/>
        <v>55032</v>
      </c>
    </row>
    <row r="923" spans="1:32" s="7" customFormat="1" ht="32.15" customHeight="1" x14ac:dyDescent="0.35">
      <c r="A923" s="26">
        <f t="shared" si="205"/>
        <v>859</v>
      </c>
      <c r="B923" s="4" t="s">
        <v>2447</v>
      </c>
      <c r="C923" s="26"/>
      <c r="D923" s="111" t="s">
        <v>2525</v>
      </c>
      <c r="E923" s="42" t="s">
        <v>2526</v>
      </c>
      <c r="F923" s="24" t="s">
        <v>43</v>
      </c>
      <c r="G923" s="43" t="s">
        <v>2527</v>
      </c>
      <c r="H923" s="69" t="s">
        <v>1954</v>
      </c>
      <c r="I923" s="69" t="s">
        <v>1736</v>
      </c>
      <c r="J923" s="72" t="s">
        <v>338</v>
      </c>
      <c r="K923" s="3" t="str">
        <f t="shared" ca="1" si="207"/>
        <v xml:space="preserve">2 Tahun 11 bulan </v>
      </c>
      <c r="L923" s="56" t="s">
        <v>1749</v>
      </c>
      <c r="M923" s="72" t="s">
        <v>338</v>
      </c>
      <c r="N923" s="3" t="str">
        <f t="shared" ca="1" si="203"/>
        <v xml:space="preserve">2 Tahun 11 bulan </v>
      </c>
      <c r="O923" s="35"/>
      <c r="P923" s="4" t="s">
        <v>35</v>
      </c>
      <c r="Q923" s="4" t="str">
        <f t="shared" si="209"/>
        <v>Perempuan</v>
      </c>
      <c r="R923" s="4">
        <f t="shared" si="212"/>
        <v>1</v>
      </c>
      <c r="S923" s="4" t="str">
        <f t="shared" si="206"/>
        <v>1</v>
      </c>
      <c r="T923" s="4">
        <f t="shared" si="213"/>
        <v>0</v>
      </c>
      <c r="U923" s="29"/>
      <c r="V923" s="30"/>
      <c r="W923" s="30"/>
      <c r="X923" s="30"/>
      <c r="Y923" s="30"/>
      <c r="Z923" s="30"/>
      <c r="AA923" s="30"/>
      <c r="AB923" s="29"/>
      <c r="AC923" s="29"/>
      <c r="AD923" s="37">
        <f t="shared" si="210"/>
        <v>31721</v>
      </c>
      <c r="AE923" s="3" t="str">
        <f t="shared" ca="1" si="208"/>
        <v>39 Tahun 9 bulan 27 Hari</v>
      </c>
      <c r="AF923" s="38">
        <f t="shared" si="211"/>
        <v>53662</v>
      </c>
    </row>
    <row r="924" spans="1:32" s="7" customFormat="1" ht="36" customHeight="1" x14ac:dyDescent="0.35">
      <c r="A924" s="26">
        <f t="shared" si="205"/>
        <v>860</v>
      </c>
      <c r="B924" s="32" t="s">
        <v>2447</v>
      </c>
      <c r="C924" s="288" t="s">
        <v>2528</v>
      </c>
      <c r="D924" s="289"/>
      <c r="E924" s="71" t="s">
        <v>2529</v>
      </c>
      <c r="F924" s="71" t="s">
        <v>43</v>
      </c>
      <c r="G924" s="70" t="s">
        <v>2530</v>
      </c>
      <c r="H924" s="56" t="s">
        <v>132</v>
      </c>
      <c r="I924" s="56" t="s">
        <v>1924</v>
      </c>
      <c r="J924" s="72" t="s">
        <v>2490</v>
      </c>
      <c r="K924" s="3" t="str">
        <f t="shared" ca="1" si="207"/>
        <v xml:space="preserve">8 Tahun 4 bulan </v>
      </c>
      <c r="L924" s="25" t="s">
        <v>2452</v>
      </c>
      <c r="M924" s="72" t="s">
        <v>2490</v>
      </c>
      <c r="N924" s="3" t="str">
        <f t="shared" ca="1" si="203"/>
        <v xml:space="preserve">8 Tahun 4 bulan </v>
      </c>
      <c r="O924" s="35"/>
      <c r="P924" s="4" t="s">
        <v>35</v>
      </c>
      <c r="Q924" s="4" t="str">
        <f t="shared" si="209"/>
        <v>Perempuan</v>
      </c>
      <c r="R924" s="4">
        <f t="shared" si="212"/>
        <v>1</v>
      </c>
      <c r="S924" s="4" t="str">
        <f t="shared" si="206"/>
        <v>1</v>
      </c>
      <c r="T924" s="4">
        <f t="shared" si="213"/>
        <v>0</v>
      </c>
      <c r="U924" s="29"/>
      <c r="V924" s="30"/>
      <c r="W924" s="30"/>
      <c r="X924" s="30"/>
      <c r="Y924" s="30"/>
      <c r="Z924" s="30"/>
      <c r="AA924" s="30"/>
      <c r="AB924" s="29"/>
      <c r="AC924" s="29"/>
      <c r="AD924" s="37">
        <f t="shared" si="210"/>
        <v>26013</v>
      </c>
      <c r="AE924" s="3" t="str">
        <f t="shared" ca="1" si="208"/>
        <v>55 Tahun 5 bulan 11 Hari</v>
      </c>
      <c r="AF924" s="38">
        <f t="shared" si="211"/>
        <v>47939</v>
      </c>
    </row>
    <row r="925" spans="1:32" s="7" customFormat="1" ht="32.15" customHeight="1" x14ac:dyDescent="0.35">
      <c r="A925" s="26">
        <f t="shared" si="205"/>
        <v>861</v>
      </c>
      <c r="B925" s="4" t="s">
        <v>2447</v>
      </c>
      <c r="C925" s="26"/>
      <c r="D925" s="111" t="s">
        <v>2531</v>
      </c>
      <c r="E925" s="24" t="s">
        <v>2532</v>
      </c>
      <c r="F925" s="24" t="s">
        <v>43</v>
      </c>
      <c r="G925" s="4" t="s">
        <v>2533</v>
      </c>
      <c r="H925" s="69" t="s">
        <v>2479</v>
      </c>
      <c r="I925" s="69" t="s">
        <v>2480</v>
      </c>
      <c r="J925" s="138" t="s">
        <v>2458</v>
      </c>
      <c r="K925" s="3" t="str">
        <f t="shared" ca="1" si="207"/>
        <v xml:space="preserve">7 Tahun 3 bulan </v>
      </c>
      <c r="L925" s="56" t="s">
        <v>1749</v>
      </c>
      <c r="M925" s="138" t="s">
        <v>2458</v>
      </c>
      <c r="N925" s="3" t="str">
        <f t="shared" ca="1" si="203"/>
        <v xml:space="preserve">7 Tahun 3 bulan </v>
      </c>
      <c r="O925" s="35"/>
      <c r="P925" s="4" t="s">
        <v>35</v>
      </c>
      <c r="Q925" s="4" t="str">
        <f t="shared" si="209"/>
        <v>Perempuan</v>
      </c>
      <c r="R925" s="4">
        <f t="shared" si="212"/>
        <v>1</v>
      </c>
      <c r="S925" s="4" t="str">
        <f t="shared" si="206"/>
        <v>1</v>
      </c>
      <c r="T925" s="4">
        <f t="shared" si="213"/>
        <v>0</v>
      </c>
      <c r="U925" s="29"/>
      <c r="V925" s="30"/>
      <c r="W925" s="30"/>
      <c r="X925" s="30"/>
      <c r="Y925" s="30"/>
      <c r="Z925" s="30"/>
      <c r="AA925" s="30"/>
      <c r="AB925" s="29"/>
      <c r="AC925" s="29"/>
      <c r="AD925" s="37">
        <f t="shared" si="210"/>
        <v>27757</v>
      </c>
      <c r="AE925" s="3" t="str">
        <f t="shared" ca="1" si="208"/>
        <v>50 Tahun 8 bulan 3 Hari</v>
      </c>
      <c r="AF925" s="38">
        <f t="shared" si="211"/>
        <v>49675</v>
      </c>
    </row>
    <row r="926" spans="1:32" s="7" customFormat="1" ht="32.15" customHeight="1" x14ac:dyDescent="0.35">
      <c r="A926" s="26">
        <f t="shared" si="205"/>
        <v>862</v>
      </c>
      <c r="B926" s="32" t="s">
        <v>2447</v>
      </c>
      <c r="C926" s="288" t="s">
        <v>2534</v>
      </c>
      <c r="D926" s="289"/>
      <c r="E926" s="71" t="s">
        <v>2535</v>
      </c>
      <c r="F926" s="71" t="s">
        <v>43</v>
      </c>
      <c r="G926" s="70" t="s">
        <v>2536</v>
      </c>
      <c r="H926" s="56" t="s">
        <v>554</v>
      </c>
      <c r="I926" s="56" t="s">
        <v>744</v>
      </c>
      <c r="J926" s="72" t="s">
        <v>338</v>
      </c>
      <c r="K926" s="3" t="str">
        <f t="shared" ca="1" si="207"/>
        <v xml:space="preserve">2 Tahun 11 bulan </v>
      </c>
      <c r="L926" s="25" t="s">
        <v>2452</v>
      </c>
      <c r="M926" s="72" t="s">
        <v>338</v>
      </c>
      <c r="N926" s="3" t="str">
        <f t="shared" ca="1" si="203"/>
        <v xml:space="preserve">2 Tahun 11 bulan </v>
      </c>
      <c r="O926" s="35"/>
      <c r="P926" s="4" t="s">
        <v>35</v>
      </c>
      <c r="Q926" s="4" t="str">
        <f t="shared" si="209"/>
        <v>Perempuan</v>
      </c>
      <c r="R926" s="4">
        <f t="shared" si="212"/>
        <v>1</v>
      </c>
      <c r="S926" s="4" t="str">
        <f t="shared" si="206"/>
        <v>1</v>
      </c>
      <c r="T926" s="4">
        <f t="shared" si="213"/>
        <v>0</v>
      </c>
      <c r="U926" s="29"/>
      <c r="V926" s="30"/>
      <c r="W926" s="30"/>
      <c r="X926" s="30"/>
      <c r="Y926" s="30"/>
      <c r="Z926" s="30"/>
      <c r="AA926" s="30"/>
      <c r="AB926" s="29"/>
      <c r="AC926" s="29"/>
      <c r="AD926" s="37">
        <f t="shared" si="210"/>
        <v>27810</v>
      </c>
      <c r="AE926" s="3" t="str">
        <f t="shared" ca="1" si="208"/>
        <v>50 Tahun 6 bulan 12 Hari</v>
      </c>
      <c r="AF926" s="38">
        <f t="shared" si="211"/>
        <v>49735</v>
      </c>
    </row>
    <row r="927" spans="1:32" s="7" customFormat="1" ht="32.15" customHeight="1" x14ac:dyDescent="0.35">
      <c r="A927" s="26">
        <f t="shared" si="205"/>
        <v>863</v>
      </c>
      <c r="B927" s="4" t="s">
        <v>2447</v>
      </c>
      <c r="C927" s="26"/>
      <c r="D927" s="111" t="s">
        <v>2537</v>
      </c>
      <c r="E927" s="24" t="s">
        <v>2538</v>
      </c>
      <c r="F927" s="24" t="s">
        <v>43</v>
      </c>
      <c r="G927" s="4" t="s">
        <v>2539</v>
      </c>
      <c r="H927" s="69" t="s">
        <v>2456</v>
      </c>
      <c r="I927" s="69" t="s">
        <v>2451</v>
      </c>
      <c r="J927" s="138" t="s">
        <v>2458</v>
      </c>
      <c r="K927" s="3" t="str">
        <f t="shared" ca="1" si="207"/>
        <v xml:space="preserve">7 Tahun 3 bulan </v>
      </c>
      <c r="L927" s="56" t="s">
        <v>1749</v>
      </c>
      <c r="M927" s="138" t="s">
        <v>2458</v>
      </c>
      <c r="N927" s="3" t="str">
        <f t="shared" ca="1" si="203"/>
        <v xml:space="preserve">7 Tahun 3 bulan </v>
      </c>
      <c r="O927" s="35"/>
      <c r="P927" s="4" t="s">
        <v>35</v>
      </c>
      <c r="Q927" s="4" t="str">
        <f t="shared" si="209"/>
        <v>Perempuan</v>
      </c>
      <c r="R927" s="4">
        <f t="shared" si="212"/>
        <v>1</v>
      </c>
      <c r="S927" s="4" t="str">
        <f t="shared" si="206"/>
        <v>1</v>
      </c>
      <c r="T927" s="4">
        <f t="shared" si="213"/>
        <v>0</v>
      </c>
      <c r="U927" s="29"/>
      <c r="V927" s="30"/>
      <c r="W927" s="30"/>
      <c r="X927" s="30"/>
      <c r="Y927" s="30"/>
      <c r="Z927" s="30"/>
      <c r="AA927" s="30"/>
      <c r="AB927" s="29"/>
      <c r="AC927" s="29"/>
      <c r="AD927" s="37">
        <f t="shared" si="210"/>
        <v>28836</v>
      </c>
      <c r="AE927" s="3" t="str">
        <f t="shared" ca="1" si="208"/>
        <v>47 Tahun 8 bulan 20 Hari</v>
      </c>
      <c r="AF927" s="38">
        <f t="shared" si="211"/>
        <v>50771</v>
      </c>
    </row>
    <row r="928" spans="1:32" s="7" customFormat="1" ht="32.15" customHeight="1" x14ac:dyDescent="0.35">
      <c r="A928" s="26">
        <f t="shared" si="205"/>
        <v>864</v>
      </c>
      <c r="B928" s="32" t="s">
        <v>2447</v>
      </c>
      <c r="C928" s="288" t="s">
        <v>2540</v>
      </c>
      <c r="D928" s="289"/>
      <c r="E928" s="42" t="s">
        <v>3113</v>
      </c>
      <c r="F928" s="71" t="s">
        <v>43</v>
      </c>
      <c r="G928" s="43" t="s">
        <v>3114</v>
      </c>
      <c r="H928" s="69" t="s">
        <v>3115</v>
      </c>
      <c r="I928" s="69"/>
      <c r="J928" s="109">
        <v>46260</v>
      </c>
      <c r="K928" s="3" t="str">
        <f t="shared" ca="1" si="207"/>
        <v xml:space="preserve">0 Tahun 0 bulan </v>
      </c>
      <c r="L928" s="25" t="s">
        <v>2452</v>
      </c>
      <c r="M928" s="109">
        <v>46260</v>
      </c>
      <c r="N928" s="3" t="str">
        <f t="shared" ca="1" si="203"/>
        <v xml:space="preserve">0 Tahun 0 bulan </v>
      </c>
      <c r="O928" s="35"/>
      <c r="P928" s="4" t="s">
        <v>35</v>
      </c>
      <c r="Q928" s="4" t="str">
        <f t="shared" si="209"/>
        <v>Perempuan</v>
      </c>
      <c r="R928" s="4">
        <f t="shared" si="212"/>
        <v>1</v>
      </c>
      <c r="S928" s="4" t="str">
        <f t="shared" si="206"/>
        <v>1</v>
      </c>
      <c r="T928" s="4">
        <f t="shared" si="213"/>
        <v>0</v>
      </c>
      <c r="U928" s="29"/>
      <c r="V928" s="30"/>
      <c r="W928" s="30"/>
      <c r="X928" s="30"/>
      <c r="Y928" s="30"/>
      <c r="Z928" s="30"/>
      <c r="AA928" s="30"/>
      <c r="AB928" s="29"/>
      <c r="AC928" s="29"/>
      <c r="AD928" s="37">
        <f t="shared" si="210"/>
        <v>34044</v>
      </c>
      <c r="AE928" s="3" t="str">
        <f t="shared" ca="1" si="208"/>
        <v>33 Tahun 5 bulan 16 Hari</v>
      </c>
      <c r="AF928" s="38">
        <f t="shared" si="211"/>
        <v>55975</v>
      </c>
    </row>
    <row r="929" spans="1:32" s="7" customFormat="1" ht="32.15" customHeight="1" x14ac:dyDescent="0.35">
      <c r="A929" s="26">
        <f t="shared" si="205"/>
        <v>865</v>
      </c>
      <c r="B929" s="4" t="s">
        <v>2447</v>
      </c>
      <c r="C929" s="26"/>
      <c r="D929" s="111" t="s">
        <v>2542</v>
      </c>
      <c r="E929" s="24" t="s">
        <v>2543</v>
      </c>
      <c r="F929" s="24" t="s">
        <v>43</v>
      </c>
      <c r="G929" s="4" t="s">
        <v>2544</v>
      </c>
      <c r="H929" s="69" t="s">
        <v>2479</v>
      </c>
      <c r="I929" s="69" t="s">
        <v>2545</v>
      </c>
      <c r="J929" s="138" t="s">
        <v>2458</v>
      </c>
      <c r="K929" s="3" t="str">
        <f t="shared" ca="1" si="207"/>
        <v xml:space="preserve">7 Tahun 3 bulan </v>
      </c>
      <c r="L929" s="56" t="s">
        <v>1749</v>
      </c>
      <c r="M929" s="138" t="s">
        <v>2458</v>
      </c>
      <c r="N929" s="3" t="str">
        <f t="shared" ca="1" si="203"/>
        <v xml:space="preserve">7 Tahun 3 bulan </v>
      </c>
      <c r="O929" s="35"/>
      <c r="P929" s="4" t="s">
        <v>35</v>
      </c>
      <c r="Q929" s="4" t="str">
        <f t="shared" si="209"/>
        <v>Laki-Laki</v>
      </c>
      <c r="R929" s="4">
        <f t="shared" si="212"/>
        <v>1</v>
      </c>
      <c r="S929" s="4" t="str">
        <f t="shared" si="206"/>
        <v>1</v>
      </c>
      <c r="T929" s="4">
        <f t="shared" si="213"/>
        <v>0</v>
      </c>
      <c r="U929" s="29"/>
      <c r="V929" s="30" t="s">
        <v>50</v>
      </c>
      <c r="W929" s="30"/>
      <c r="X929" s="30"/>
      <c r="Y929" s="30"/>
      <c r="Z929" s="30"/>
      <c r="AA929" s="30"/>
      <c r="AB929" s="29"/>
      <c r="AC929" s="29"/>
      <c r="AD929" s="37">
        <f t="shared" si="210"/>
        <v>30388</v>
      </c>
      <c r="AE929" s="3" t="str">
        <f t="shared" ca="1" si="208"/>
        <v>43 Tahun 5 bulan 19 Hari</v>
      </c>
      <c r="AF929" s="38">
        <f t="shared" si="211"/>
        <v>52322</v>
      </c>
    </row>
    <row r="930" spans="1:32" s="7" customFormat="1" ht="32.15" customHeight="1" x14ac:dyDescent="0.35">
      <c r="A930" s="26">
        <f t="shared" si="205"/>
        <v>866</v>
      </c>
      <c r="B930" s="32" t="s">
        <v>2447</v>
      </c>
      <c r="C930" s="288" t="s">
        <v>2546</v>
      </c>
      <c r="D930" s="289"/>
      <c r="E930" s="71" t="s">
        <v>2547</v>
      </c>
      <c r="F930" s="71" t="s">
        <v>43</v>
      </c>
      <c r="G930" s="3" t="s">
        <v>2548</v>
      </c>
      <c r="H930" s="56" t="s">
        <v>241</v>
      </c>
      <c r="I930" s="25" t="s">
        <v>2549</v>
      </c>
      <c r="J930" s="72" t="s">
        <v>338</v>
      </c>
      <c r="K930" s="3" t="str">
        <f t="shared" ca="1" si="207"/>
        <v xml:space="preserve">2 Tahun 11 bulan </v>
      </c>
      <c r="L930" s="25" t="s">
        <v>2452</v>
      </c>
      <c r="M930" s="72" t="s">
        <v>338</v>
      </c>
      <c r="N930" s="3" t="str">
        <f t="shared" ca="1" si="203"/>
        <v xml:space="preserve">2 Tahun 11 bulan </v>
      </c>
      <c r="O930" s="35"/>
      <c r="P930" s="4" t="s">
        <v>35</v>
      </c>
      <c r="Q930" s="4" t="str">
        <f t="shared" si="209"/>
        <v>Perempuan</v>
      </c>
      <c r="R930" s="4">
        <f t="shared" si="212"/>
        <v>1</v>
      </c>
      <c r="S930" s="4" t="str">
        <f t="shared" si="206"/>
        <v>1</v>
      </c>
      <c r="T930" s="4">
        <f t="shared" si="213"/>
        <v>0</v>
      </c>
      <c r="U930" s="29"/>
      <c r="V930" s="30"/>
      <c r="W930" s="30"/>
      <c r="X930" s="30"/>
      <c r="Y930" s="30"/>
      <c r="Z930" s="30"/>
      <c r="AA930" s="30"/>
      <c r="AB930" s="29"/>
      <c r="AC930" s="29"/>
      <c r="AD930" s="37">
        <f t="shared" si="210"/>
        <v>31450</v>
      </c>
      <c r="AE930" s="3" t="str">
        <f t="shared" ca="1" si="208"/>
        <v>40 Tahun 6 bulan 25 Hari</v>
      </c>
      <c r="AF930" s="38">
        <f t="shared" si="211"/>
        <v>53387</v>
      </c>
    </row>
    <row r="931" spans="1:32" s="7" customFormat="1" ht="32.15" customHeight="1" x14ac:dyDescent="0.35">
      <c r="A931" s="26">
        <f t="shared" si="205"/>
        <v>867</v>
      </c>
      <c r="B931" s="4" t="s">
        <v>2447</v>
      </c>
      <c r="C931" s="26"/>
      <c r="D931" s="111" t="s">
        <v>2550</v>
      </c>
      <c r="E931" s="71" t="s">
        <v>2551</v>
      </c>
      <c r="F931" s="24" t="s">
        <v>43</v>
      </c>
      <c r="G931" s="70" t="s">
        <v>2552</v>
      </c>
      <c r="H931" s="4" t="s">
        <v>1845</v>
      </c>
      <c r="I931" s="4" t="s">
        <v>2489</v>
      </c>
      <c r="J931" s="72" t="s">
        <v>558</v>
      </c>
      <c r="K931" s="3" t="str">
        <f t="shared" ca="1" si="207"/>
        <v xml:space="preserve">6 Tahun 4 bulan </v>
      </c>
      <c r="L931" s="56" t="s">
        <v>1749</v>
      </c>
      <c r="M931" s="72" t="s">
        <v>558</v>
      </c>
      <c r="N931" s="3" t="str">
        <f t="shared" ca="1" si="203"/>
        <v xml:space="preserve">6 Tahun 4 bulan </v>
      </c>
      <c r="O931" s="35"/>
      <c r="P931" s="4" t="s">
        <v>35</v>
      </c>
      <c r="Q931" s="4" t="str">
        <f t="shared" si="209"/>
        <v>Laki-Laki</v>
      </c>
      <c r="R931" s="4">
        <f t="shared" si="212"/>
        <v>1</v>
      </c>
      <c r="S931" s="4" t="str">
        <f t="shared" si="206"/>
        <v>1</v>
      </c>
      <c r="T931" s="4">
        <f t="shared" si="213"/>
        <v>0</v>
      </c>
      <c r="U931" s="29"/>
      <c r="V931" s="30" t="s">
        <v>50</v>
      </c>
      <c r="W931" s="30"/>
      <c r="X931" s="30"/>
      <c r="Y931" s="30"/>
      <c r="Z931" s="30"/>
      <c r="AA931" s="30"/>
      <c r="AB931" s="29"/>
      <c r="AC931" s="29"/>
      <c r="AD931" s="37">
        <f t="shared" si="210"/>
        <v>27377</v>
      </c>
      <c r="AE931" s="3" t="str">
        <f t="shared" ca="1" si="208"/>
        <v>51 Tahun 8 bulan 18 Hari</v>
      </c>
      <c r="AF931" s="38">
        <f t="shared" si="211"/>
        <v>49310</v>
      </c>
    </row>
    <row r="932" spans="1:32" s="7" customFormat="1" ht="32.15" customHeight="1" x14ac:dyDescent="0.35">
      <c r="A932" s="26">
        <f t="shared" si="205"/>
        <v>868</v>
      </c>
      <c r="B932" s="32" t="s">
        <v>2447</v>
      </c>
      <c r="C932" s="288" t="s">
        <v>2553</v>
      </c>
      <c r="D932" s="289"/>
      <c r="E932" s="71" t="s">
        <v>3124</v>
      </c>
      <c r="F932" s="71" t="s">
        <v>43</v>
      </c>
      <c r="G932" s="70" t="s">
        <v>2468</v>
      </c>
      <c r="H932" s="56" t="s">
        <v>3125</v>
      </c>
      <c r="I932" s="25"/>
      <c r="J932" s="213">
        <v>46260</v>
      </c>
      <c r="K932" s="3" t="str">
        <f t="shared" ca="1" si="207"/>
        <v xml:space="preserve">0 Tahun 0 bulan </v>
      </c>
      <c r="L932" s="25" t="s">
        <v>2452</v>
      </c>
      <c r="M932" s="213">
        <v>46260</v>
      </c>
      <c r="N932" s="3" t="str">
        <f t="shared" ca="1" si="203"/>
        <v xml:space="preserve">0 Tahun 0 bulan </v>
      </c>
      <c r="O932" s="35"/>
      <c r="P932" s="4" t="s">
        <v>35</v>
      </c>
      <c r="Q932" s="4" t="str">
        <f t="shared" si="209"/>
        <v>Laki-Laki</v>
      </c>
      <c r="R932" s="4">
        <f t="shared" si="212"/>
        <v>1</v>
      </c>
      <c r="S932" s="4" t="str">
        <f t="shared" si="206"/>
        <v>1</v>
      </c>
      <c r="T932" s="4">
        <f t="shared" si="213"/>
        <v>0</v>
      </c>
      <c r="U932" s="29"/>
      <c r="V932" s="30"/>
      <c r="W932" s="30"/>
      <c r="X932" s="30"/>
      <c r="Y932" s="30"/>
      <c r="Z932" s="30"/>
      <c r="AA932" s="30"/>
      <c r="AB932" s="29"/>
      <c r="AC932" s="29"/>
      <c r="AD932" s="37">
        <f t="shared" si="210"/>
        <v>28980</v>
      </c>
      <c r="AE932" s="3" t="str">
        <f t="shared" ca="1" si="208"/>
        <v>47 Tahun 3 bulan 27 Hari</v>
      </c>
      <c r="AF932" s="38">
        <f t="shared" si="211"/>
        <v>50922</v>
      </c>
    </row>
    <row r="933" spans="1:32" s="7" customFormat="1" ht="32.15" customHeight="1" x14ac:dyDescent="0.35">
      <c r="A933" s="26">
        <f t="shared" si="205"/>
        <v>869</v>
      </c>
      <c r="B933" s="4" t="s">
        <v>2447</v>
      </c>
      <c r="C933" s="26"/>
      <c r="D933" s="111" t="s">
        <v>2556</v>
      </c>
      <c r="E933" s="24" t="s">
        <v>2557</v>
      </c>
      <c r="F933" s="24" t="s">
        <v>43</v>
      </c>
      <c r="G933" s="4" t="s">
        <v>2558</v>
      </c>
      <c r="H933" s="69" t="s">
        <v>2456</v>
      </c>
      <c r="I933" s="69" t="s">
        <v>2498</v>
      </c>
      <c r="J933" s="138" t="s">
        <v>2458</v>
      </c>
      <c r="K933" s="3" t="str">
        <f t="shared" ca="1" si="207"/>
        <v xml:space="preserve">7 Tahun 3 bulan </v>
      </c>
      <c r="L933" s="56" t="s">
        <v>1749</v>
      </c>
      <c r="M933" s="138" t="s">
        <v>2458</v>
      </c>
      <c r="N933" s="3" t="str">
        <f t="shared" ca="1" si="203"/>
        <v xml:space="preserve">7 Tahun 3 bulan </v>
      </c>
      <c r="O933" s="35"/>
      <c r="P933" s="4" t="s">
        <v>35</v>
      </c>
      <c r="Q933" s="4" t="str">
        <f t="shared" si="209"/>
        <v>Laki-Laki</v>
      </c>
      <c r="R933" s="4">
        <f t="shared" si="212"/>
        <v>1</v>
      </c>
      <c r="S933" s="4" t="str">
        <f t="shared" si="206"/>
        <v>1</v>
      </c>
      <c r="T933" s="4">
        <f t="shared" si="213"/>
        <v>0</v>
      </c>
      <c r="U933" s="29"/>
      <c r="V933" s="30" t="s">
        <v>50</v>
      </c>
      <c r="W933" s="30"/>
      <c r="X933" s="30"/>
      <c r="Y933" s="30"/>
      <c r="Z933" s="30"/>
      <c r="AA933" s="30"/>
      <c r="AB933" s="29"/>
      <c r="AC933" s="29"/>
      <c r="AD933" s="37">
        <f t="shared" si="210"/>
        <v>27491</v>
      </c>
      <c r="AE933" s="3" t="str">
        <f t="shared" ca="1" si="208"/>
        <v>51 Tahun 4 bulan 25 Hari</v>
      </c>
      <c r="AF933" s="38">
        <f t="shared" si="211"/>
        <v>49430</v>
      </c>
    </row>
    <row r="934" spans="1:32" s="7" customFormat="1" ht="32.15" customHeight="1" x14ac:dyDescent="0.35">
      <c r="A934" s="26">
        <f t="shared" si="205"/>
        <v>870</v>
      </c>
      <c r="B934" s="32" t="s">
        <v>2447</v>
      </c>
      <c r="C934" s="288" t="s">
        <v>2559</v>
      </c>
      <c r="D934" s="289"/>
      <c r="E934" s="24" t="s">
        <v>3134</v>
      </c>
      <c r="F934" s="71" t="s">
        <v>71</v>
      </c>
      <c r="G934" s="3" t="s">
        <v>3135</v>
      </c>
      <c r="H934" s="4" t="s">
        <v>3136</v>
      </c>
      <c r="I934" s="4"/>
      <c r="J934" s="212">
        <v>46260</v>
      </c>
      <c r="K934" s="3" t="str">
        <f t="shared" ca="1" si="207"/>
        <v xml:space="preserve">0 Tahun 0 bulan </v>
      </c>
      <c r="L934" s="25" t="s">
        <v>2452</v>
      </c>
      <c r="M934" s="212">
        <v>46260</v>
      </c>
      <c r="N934" s="3" t="str">
        <f t="shared" ca="1" si="203"/>
        <v xml:space="preserve">0 Tahun 0 bulan </v>
      </c>
      <c r="O934" s="35"/>
      <c r="P934" s="4" t="s">
        <v>35</v>
      </c>
      <c r="Q934" s="4" t="str">
        <f t="shared" si="209"/>
        <v>Perempuan</v>
      </c>
      <c r="R934" s="4">
        <f t="shared" si="212"/>
        <v>1</v>
      </c>
      <c r="S934" s="4" t="str">
        <f t="shared" si="206"/>
        <v>1</v>
      </c>
      <c r="T934" s="4">
        <f t="shared" si="213"/>
        <v>0</v>
      </c>
      <c r="U934" s="29"/>
      <c r="V934" s="30" t="s">
        <v>50</v>
      </c>
      <c r="W934" s="30"/>
      <c r="X934" s="30"/>
      <c r="Y934" s="30"/>
      <c r="Z934" s="30"/>
      <c r="AA934" s="30"/>
      <c r="AB934" s="29"/>
      <c r="AC934" s="29"/>
      <c r="AD934" s="37">
        <f t="shared" si="210"/>
        <v>32754</v>
      </c>
      <c r="AE934" s="3" t="str">
        <f t="shared" ca="1" si="208"/>
        <v>36 Tahun 11 bulan 29 Hari</v>
      </c>
      <c r="AF934" s="38">
        <f t="shared" si="211"/>
        <v>54697</v>
      </c>
    </row>
    <row r="935" spans="1:32" s="7" customFormat="1" ht="32.15" customHeight="1" x14ac:dyDescent="0.35">
      <c r="A935" s="26">
        <f t="shared" si="205"/>
        <v>871</v>
      </c>
      <c r="B935" s="4" t="s">
        <v>2447</v>
      </c>
      <c r="C935" s="26"/>
      <c r="D935" s="111" t="s">
        <v>2560</v>
      </c>
      <c r="E935" s="24" t="s">
        <v>2561</v>
      </c>
      <c r="F935" s="24" t="s">
        <v>43</v>
      </c>
      <c r="G935" s="4" t="s">
        <v>2562</v>
      </c>
      <c r="H935" s="69" t="s">
        <v>2563</v>
      </c>
      <c r="I935" s="69" t="s">
        <v>2515</v>
      </c>
      <c r="J935" s="138" t="s">
        <v>2458</v>
      </c>
      <c r="K935" s="3" t="str">
        <f t="shared" ca="1" si="207"/>
        <v xml:space="preserve">7 Tahun 3 bulan </v>
      </c>
      <c r="L935" s="56" t="s">
        <v>1749</v>
      </c>
      <c r="M935" s="138" t="s">
        <v>2458</v>
      </c>
      <c r="N935" s="3" t="str">
        <f t="shared" ca="1" si="203"/>
        <v xml:space="preserve">7 Tahun 3 bulan </v>
      </c>
      <c r="O935" s="35"/>
      <c r="P935" s="4" t="s">
        <v>35</v>
      </c>
      <c r="Q935" s="4" t="str">
        <f t="shared" si="209"/>
        <v>Laki-Laki</v>
      </c>
      <c r="R935" s="4">
        <f t="shared" si="212"/>
        <v>1</v>
      </c>
      <c r="S935" s="4" t="str">
        <f t="shared" si="206"/>
        <v>1</v>
      </c>
      <c r="T935" s="4">
        <f t="shared" si="213"/>
        <v>0</v>
      </c>
      <c r="U935" s="29"/>
      <c r="V935" s="30" t="s">
        <v>50</v>
      </c>
      <c r="W935" s="30"/>
      <c r="X935" s="30"/>
      <c r="Y935" s="30"/>
      <c r="Z935" s="30"/>
      <c r="AA935" s="30"/>
      <c r="AB935" s="29"/>
      <c r="AC935" s="29"/>
      <c r="AD935" s="37">
        <f t="shared" si="210"/>
        <v>30598</v>
      </c>
      <c r="AE935" s="3" t="str">
        <f t="shared" ca="1" si="208"/>
        <v>42 Tahun 10 bulan 23 Hari</v>
      </c>
      <c r="AF935" s="38">
        <f t="shared" si="211"/>
        <v>52536</v>
      </c>
    </row>
    <row r="936" spans="1:32" s="7" customFormat="1" ht="32.15" customHeight="1" x14ac:dyDescent="0.35">
      <c r="A936" s="26">
        <f t="shared" si="205"/>
        <v>872</v>
      </c>
      <c r="B936" s="32" t="s">
        <v>2447</v>
      </c>
      <c r="C936" s="288" t="s">
        <v>2564</v>
      </c>
      <c r="D936" s="289"/>
      <c r="E936" s="24" t="s">
        <v>2565</v>
      </c>
      <c r="F936" s="71" t="s">
        <v>43</v>
      </c>
      <c r="G936" s="4" t="s">
        <v>2566</v>
      </c>
      <c r="H936" s="4" t="s">
        <v>259</v>
      </c>
      <c r="I936" s="69" t="s">
        <v>2489</v>
      </c>
      <c r="J936" s="110" t="s">
        <v>711</v>
      </c>
      <c r="K936" s="3" t="str">
        <f t="shared" ca="1" si="207"/>
        <v xml:space="preserve">4 Tahun 11 bulan </v>
      </c>
      <c r="L936" s="25" t="s">
        <v>2452</v>
      </c>
      <c r="M936" s="110" t="s">
        <v>711</v>
      </c>
      <c r="N936" s="3" t="str">
        <f t="shared" ca="1" si="203"/>
        <v xml:space="preserve">4 Tahun 11 bulan </v>
      </c>
      <c r="O936" s="35"/>
      <c r="P936" s="4" t="s">
        <v>35</v>
      </c>
      <c r="Q936" s="4" t="str">
        <f t="shared" si="209"/>
        <v>Perempuan</v>
      </c>
      <c r="R936" s="4">
        <f t="shared" si="212"/>
        <v>1</v>
      </c>
      <c r="S936" s="4" t="str">
        <f t="shared" si="206"/>
        <v>1</v>
      </c>
      <c r="T936" s="4">
        <f t="shared" si="213"/>
        <v>0</v>
      </c>
      <c r="U936" s="29"/>
      <c r="V936" s="30"/>
      <c r="W936" s="30"/>
      <c r="X936" s="30"/>
      <c r="Y936" s="30"/>
      <c r="Z936" s="30"/>
      <c r="AA936" s="30"/>
      <c r="AB936" s="29"/>
      <c r="AC936" s="29"/>
      <c r="AD936" s="37">
        <f t="shared" si="210"/>
        <v>28470</v>
      </c>
      <c r="AE936" s="3" t="str">
        <f t="shared" ca="1" si="208"/>
        <v>48 Tahun 8 bulan 21 Hari</v>
      </c>
      <c r="AF936" s="38">
        <f t="shared" si="211"/>
        <v>50406</v>
      </c>
    </row>
    <row r="937" spans="1:32" s="7" customFormat="1" ht="32.15" customHeight="1" x14ac:dyDescent="0.35">
      <c r="A937" s="26">
        <f t="shared" si="205"/>
        <v>873</v>
      </c>
      <c r="B937" s="4" t="s">
        <v>2447</v>
      </c>
      <c r="C937" s="26"/>
      <c r="D937" s="111" t="s">
        <v>2567</v>
      </c>
      <c r="E937" s="24" t="s">
        <v>108</v>
      </c>
      <c r="F937" s="24"/>
      <c r="G937" s="4"/>
      <c r="H937" s="69"/>
      <c r="I937" s="69"/>
      <c r="J937" s="110"/>
      <c r="K937" s="3" t="str">
        <f t="shared" ca="1" si="207"/>
        <v/>
      </c>
      <c r="L937" s="56" t="s">
        <v>1749</v>
      </c>
      <c r="M937" s="136"/>
      <c r="N937" s="3" t="str">
        <f t="shared" ca="1" si="203"/>
        <v/>
      </c>
      <c r="O937" s="35"/>
      <c r="P937" s="4"/>
      <c r="Q937" s="4" t="str">
        <f t="shared" si="209"/>
        <v/>
      </c>
      <c r="R937" s="4">
        <f t="shared" si="212"/>
        <v>1</v>
      </c>
      <c r="S937" s="4" t="str">
        <f t="shared" si="206"/>
        <v>0</v>
      </c>
      <c r="T937" s="4">
        <f t="shared" si="213"/>
        <v>1</v>
      </c>
      <c r="U937" s="29"/>
      <c r="V937" s="30" t="s">
        <v>50</v>
      </c>
      <c r="W937" s="30"/>
      <c r="X937" s="30"/>
      <c r="Y937" s="30"/>
      <c r="Z937" s="30"/>
      <c r="AA937" s="30"/>
      <c r="AB937" s="29"/>
      <c r="AC937" s="29"/>
      <c r="AD937" s="37" t="str">
        <f t="shared" si="210"/>
        <v/>
      </c>
      <c r="AE937" s="3" t="str">
        <f t="shared" ca="1" si="208"/>
        <v/>
      </c>
      <c r="AF937" s="38" t="str">
        <f t="shared" si="211"/>
        <v/>
      </c>
    </row>
    <row r="938" spans="1:32" s="7" customFormat="1" ht="32.15" customHeight="1" x14ac:dyDescent="0.35">
      <c r="A938" s="26">
        <f t="shared" si="205"/>
        <v>874</v>
      </c>
      <c r="B938" s="32" t="s">
        <v>2447</v>
      </c>
      <c r="C938" s="288" t="s">
        <v>2568</v>
      </c>
      <c r="D938" s="289"/>
      <c r="E938" s="24" t="s">
        <v>3118</v>
      </c>
      <c r="F938" s="24" t="s">
        <v>43</v>
      </c>
      <c r="G938" s="3" t="s">
        <v>3119</v>
      </c>
      <c r="H938" s="56" t="s">
        <v>3120</v>
      </c>
      <c r="I938" s="4"/>
      <c r="J938" s="213">
        <v>46260</v>
      </c>
      <c r="K938" s="3" t="str">
        <f t="shared" ca="1" si="207"/>
        <v xml:space="preserve">0 Tahun 0 bulan </v>
      </c>
      <c r="L938" s="25" t="s">
        <v>2452</v>
      </c>
      <c r="M938" s="213">
        <v>46260</v>
      </c>
      <c r="N938" s="3" t="str">
        <f t="shared" ca="1" si="203"/>
        <v xml:space="preserve">0 Tahun 0 bulan </v>
      </c>
      <c r="O938" s="35"/>
      <c r="P938" s="4" t="s">
        <v>35</v>
      </c>
      <c r="Q938" s="4" t="str">
        <f t="shared" si="209"/>
        <v>Perempuan</v>
      </c>
      <c r="R938" s="4">
        <f t="shared" si="212"/>
        <v>1</v>
      </c>
      <c r="S938" s="4" t="str">
        <f t="shared" si="206"/>
        <v>1</v>
      </c>
      <c r="T938" s="4">
        <f t="shared" si="213"/>
        <v>0</v>
      </c>
      <c r="U938" s="29"/>
      <c r="V938" s="30"/>
      <c r="W938" s="30"/>
      <c r="X938" s="30"/>
      <c r="Y938" s="30"/>
      <c r="Z938" s="30"/>
      <c r="AA938" s="30"/>
      <c r="AB938" s="29"/>
      <c r="AC938" s="29"/>
      <c r="AD938" s="37">
        <f t="shared" si="210"/>
        <v>27159</v>
      </c>
      <c r="AE938" s="3" t="str">
        <f t="shared" ca="1" si="208"/>
        <v>52 Tahun 3 bulan 22 Hari</v>
      </c>
      <c r="AF938" s="38">
        <f t="shared" si="211"/>
        <v>49096</v>
      </c>
    </row>
    <row r="939" spans="1:32" s="7" customFormat="1" ht="32.15" customHeight="1" x14ac:dyDescent="0.35">
      <c r="A939" s="26">
        <f t="shared" si="205"/>
        <v>875</v>
      </c>
      <c r="B939" s="4" t="s">
        <v>2447</v>
      </c>
      <c r="C939" s="26"/>
      <c r="D939" s="111" t="s">
        <v>2569</v>
      </c>
      <c r="E939" s="24" t="s">
        <v>2570</v>
      </c>
      <c r="F939" s="24" t="s">
        <v>43</v>
      </c>
      <c r="G939" s="4" t="s">
        <v>2571</v>
      </c>
      <c r="H939" s="56" t="s">
        <v>687</v>
      </c>
      <c r="I939" s="69" t="s">
        <v>2451</v>
      </c>
      <c r="J939" s="138" t="s">
        <v>2458</v>
      </c>
      <c r="K939" s="3" t="str">
        <f t="shared" ca="1" si="207"/>
        <v xml:space="preserve">7 Tahun 3 bulan </v>
      </c>
      <c r="L939" s="56" t="s">
        <v>1749</v>
      </c>
      <c r="M939" s="138" t="s">
        <v>2458</v>
      </c>
      <c r="N939" s="3" t="str">
        <f t="shared" ca="1" si="203"/>
        <v xml:space="preserve">7 Tahun 3 bulan </v>
      </c>
      <c r="O939" s="35"/>
      <c r="P939" s="4" t="s">
        <v>35</v>
      </c>
      <c r="Q939" s="4" t="str">
        <f t="shared" si="209"/>
        <v>Perempuan</v>
      </c>
      <c r="R939" s="4">
        <f t="shared" si="212"/>
        <v>1</v>
      </c>
      <c r="S939" s="4" t="str">
        <f t="shared" si="206"/>
        <v>1</v>
      </c>
      <c r="T939" s="4">
        <f t="shared" si="213"/>
        <v>0</v>
      </c>
      <c r="U939" s="29"/>
      <c r="V939" s="30"/>
      <c r="W939" s="30"/>
      <c r="X939" s="30"/>
      <c r="Y939" s="30"/>
      <c r="Z939" s="30"/>
      <c r="AA939" s="30"/>
      <c r="AB939" s="29"/>
      <c r="AC939" s="29"/>
      <c r="AD939" s="37">
        <f t="shared" si="210"/>
        <v>31297</v>
      </c>
      <c r="AE939" s="3" t="str">
        <f t="shared" ca="1" si="208"/>
        <v>40 Tahun 11 bulan 25 Hari</v>
      </c>
      <c r="AF939" s="38">
        <f t="shared" si="211"/>
        <v>53236</v>
      </c>
    </row>
    <row r="940" spans="1:32" s="7" customFormat="1" ht="32.15" customHeight="1" x14ac:dyDescent="0.35">
      <c r="A940" s="26">
        <f t="shared" si="205"/>
        <v>876</v>
      </c>
      <c r="B940" s="32" t="s">
        <v>2447</v>
      </c>
      <c r="C940" s="288" t="s">
        <v>2572</v>
      </c>
      <c r="D940" s="289"/>
      <c r="E940" s="71" t="s">
        <v>3116</v>
      </c>
      <c r="F940" s="24" t="s">
        <v>43</v>
      </c>
      <c r="G940" s="70" t="s">
        <v>3117</v>
      </c>
      <c r="H940" s="4" t="s">
        <v>112</v>
      </c>
      <c r="I940" s="25"/>
      <c r="J940" s="216">
        <v>46260</v>
      </c>
      <c r="K940" s="3" t="str">
        <f t="shared" ca="1" si="207"/>
        <v xml:space="preserve">0 Tahun 0 bulan </v>
      </c>
      <c r="L940" s="25" t="s">
        <v>2452</v>
      </c>
      <c r="M940" s="213">
        <v>46260</v>
      </c>
      <c r="N940" s="3" t="str">
        <f t="shared" ca="1" si="203"/>
        <v xml:space="preserve">0 Tahun 0 bulan </v>
      </c>
      <c r="O940" s="35"/>
      <c r="P940" s="4" t="s">
        <v>35</v>
      </c>
      <c r="Q940" s="4" t="str">
        <f t="shared" si="209"/>
        <v>Perempuan</v>
      </c>
      <c r="R940" s="4">
        <f t="shared" si="212"/>
        <v>1</v>
      </c>
      <c r="S940" s="4" t="str">
        <f t="shared" si="206"/>
        <v>1</v>
      </c>
      <c r="T940" s="4">
        <f t="shared" si="213"/>
        <v>0</v>
      </c>
      <c r="U940" s="29"/>
      <c r="V940" s="30"/>
      <c r="W940" s="30"/>
      <c r="X940" s="30"/>
      <c r="Y940" s="30"/>
      <c r="Z940" s="30"/>
      <c r="AA940" s="30"/>
      <c r="AB940" s="29"/>
      <c r="AC940" s="29"/>
      <c r="AD940" s="37">
        <f t="shared" si="210"/>
        <v>29961</v>
      </c>
      <c r="AE940" s="3" t="str">
        <f t="shared" ca="1" si="208"/>
        <v>44 Tahun 7 bulan 22 Hari</v>
      </c>
      <c r="AF940" s="38">
        <f t="shared" si="211"/>
        <v>51898</v>
      </c>
    </row>
    <row r="941" spans="1:32" s="7" customFormat="1" ht="32.15" customHeight="1" x14ac:dyDescent="0.35">
      <c r="A941" s="26">
        <f t="shared" si="205"/>
        <v>877</v>
      </c>
      <c r="B941" s="4" t="s">
        <v>2447</v>
      </c>
      <c r="C941" s="26"/>
      <c r="D941" s="111" t="s">
        <v>2573</v>
      </c>
      <c r="E941" s="24" t="s">
        <v>2574</v>
      </c>
      <c r="F941" s="24" t="s">
        <v>43</v>
      </c>
      <c r="G941" s="4" t="s">
        <v>2575</v>
      </c>
      <c r="H941" s="69" t="s">
        <v>2576</v>
      </c>
      <c r="I941" s="69" t="s">
        <v>744</v>
      </c>
      <c r="J941" s="72" t="s">
        <v>1032</v>
      </c>
      <c r="K941" s="3" t="str">
        <f t="shared" ca="1" si="207"/>
        <v xml:space="preserve">4 Tahun 5 bulan </v>
      </c>
      <c r="L941" s="56" t="s">
        <v>1749</v>
      </c>
      <c r="M941" s="72" t="s">
        <v>1032</v>
      </c>
      <c r="N941" s="3" t="str">
        <f t="shared" ca="1" si="203"/>
        <v xml:space="preserve">4 Tahun 5 bulan </v>
      </c>
      <c r="O941" s="35"/>
      <c r="P941" s="4" t="s">
        <v>35</v>
      </c>
      <c r="Q941" s="4" t="str">
        <f t="shared" si="209"/>
        <v>Laki-Laki</v>
      </c>
      <c r="R941" s="4">
        <f t="shared" si="212"/>
        <v>1</v>
      </c>
      <c r="S941" s="4" t="str">
        <f t="shared" si="206"/>
        <v>1</v>
      </c>
      <c r="T941" s="4">
        <f t="shared" si="213"/>
        <v>0</v>
      </c>
      <c r="U941" s="29"/>
      <c r="V941" s="30" t="s">
        <v>50</v>
      </c>
      <c r="W941" s="30"/>
      <c r="X941" s="30"/>
      <c r="Y941" s="30"/>
      <c r="Z941" s="30"/>
      <c r="AA941" s="30"/>
      <c r="AB941" s="29"/>
      <c r="AC941" s="29"/>
      <c r="AD941" s="37">
        <f t="shared" si="210"/>
        <v>25513</v>
      </c>
      <c r="AE941" s="3" t="str">
        <f t="shared" ca="1" si="208"/>
        <v>56 Tahun 9 bulan 26 Hari</v>
      </c>
      <c r="AF941" s="38">
        <f t="shared" si="211"/>
        <v>47453</v>
      </c>
    </row>
    <row r="942" spans="1:32" s="7" customFormat="1" ht="32.15" customHeight="1" x14ac:dyDescent="0.35">
      <c r="A942" s="26">
        <f t="shared" si="205"/>
        <v>878</v>
      </c>
      <c r="B942" s="32" t="s">
        <v>2447</v>
      </c>
      <c r="C942" s="288" t="s">
        <v>2577</v>
      </c>
      <c r="D942" s="289"/>
      <c r="E942" s="71" t="s">
        <v>2578</v>
      </c>
      <c r="F942" s="24" t="s">
        <v>71</v>
      </c>
      <c r="G942" s="70" t="s">
        <v>2579</v>
      </c>
      <c r="H942" s="56" t="s">
        <v>2580</v>
      </c>
      <c r="I942" s="69" t="s">
        <v>2480</v>
      </c>
      <c r="J942" s="213">
        <v>46260</v>
      </c>
      <c r="K942" s="3" t="str">
        <f t="shared" ca="1" si="207"/>
        <v xml:space="preserve">0 Tahun 0 bulan </v>
      </c>
      <c r="L942" s="25" t="s">
        <v>2452</v>
      </c>
      <c r="M942" s="213">
        <v>46260</v>
      </c>
      <c r="N942" s="3" t="str">
        <f t="shared" ca="1" si="203"/>
        <v xml:space="preserve">0 Tahun 0 bulan </v>
      </c>
      <c r="O942" s="35"/>
      <c r="P942" s="4" t="s">
        <v>35</v>
      </c>
      <c r="Q942" s="4" t="str">
        <f t="shared" si="209"/>
        <v>Perempuan</v>
      </c>
      <c r="R942" s="4">
        <f t="shared" si="212"/>
        <v>1</v>
      </c>
      <c r="S942" s="4" t="str">
        <f t="shared" si="206"/>
        <v>1</v>
      </c>
      <c r="T942" s="4">
        <f t="shared" si="213"/>
        <v>0</v>
      </c>
      <c r="U942" s="29"/>
      <c r="V942" s="30" t="s">
        <v>50</v>
      </c>
      <c r="W942" s="30"/>
      <c r="X942" s="30"/>
      <c r="Y942" s="30"/>
      <c r="Z942" s="30"/>
      <c r="AA942" s="30"/>
      <c r="AB942" s="29"/>
      <c r="AC942" s="29"/>
      <c r="AD942" s="37">
        <f t="shared" si="210"/>
        <v>27703</v>
      </c>
      <c r="AE942" s="3" t="str">
        <f t="shared" ca="1" si="208"/>
        <v>50 Tahun 9 bulan 27 Hari</v>
      </c>
      <c r="AF942" s="38">
        <f t="shared" si="211"/>
        <v>49644</v>
      </c>
    </row>
    <row r="943" spans="1:32" s="7" customFormat="1" ht="32.15" customHeight="1" x14ac:dyDescent="0.35">
      <c r="A943" s="26">
        <f t="shared" si="205"/>
        <v>879</v>
      </c>
      <c r="B943" s="4" t="s">
        <v>2447</v>
      </c>
      <c r="C943" s="26"/>
      <c r="D943" s="111" t="s">
        <v>2581</v>
      </c>
      <c r="E943" s="24" t="s">
        <v>2582</v>
      </c>
      <c r="F943" s="24" t="s">
        <v>43</v>
      </c>
      <c r="G943" s="4" t="s">
        <v>2583</v>
      </c>
      <c r="H943" s="69" t="s">
        <v>584</v>
      </c>
      <c r="I943" s="69" t="s">
        <v>2515</v>
      </c>
      <c r="J943" s="138" t="s">
        <v>2458</v>
      </c>
      <c r="K943" s="3" t="str">
        <f t="shared" ca="1" si="207"/>
        <v xml:space="preserve">7 Tahun 3 bulan </v>
      </c>
      <c r="L943" s="56" t="s">
        <v>1749</v>
      </c>
      <c r="M943" s="138" t="s">
        <v>2458</v>
      </c>
      <c r="N943" s="3" t="str">
        <f t="shared" ref="N943:N1008" ca="1" si="214">IF(M943="","",CONCATENATE(DATEDIF(M943,NOW(),"Y")," Tahun ",DATEDIF(M943,NOW(),"YM")," bulan "))</f>
        <v xml:space="preserve">7 Tahun 3 bulan </v>
      </c>
      <c r="O943" s="35"/>
      <c r="P943" s="4" t="s">
        <v>35</v>
      </c>
      <c r="Q943" s="4" t="str">
        <f t="shared" si="209"/>
        <v>Laki-Laki</v>
      </c>
      <c r="R943" s="4">
        <f t="shared" si="212"/>
        <v>1</v>
      </c>
      <c r="S943" s="4" t="str">
        <f t="shared" si="206"/>
        <v>1</v>
      </c>
      <c r="T943" s="4">
        <f t="shared" si="213"/>
        <v>0</v>
      </c>
      <c r="U943" s="29"/>
      <c r="V943" s="30" t="s">
        <v>50</v>
      </c>
      <c r="W943" s="30"/>
      <c r="X943" s="30"/>
      <c r="Y943" s="30"/>
      <c r="Z943" s="30"/>
      <c r="AA943" s="30"/>
      <c r="AB943" s="29"/>
      <c r="AC943" s="29"/>
      <c r="AD943" s="37">
        <f t="shared" si="210"/>
        <v>30598</v>
      </c>
      <c r="AE943" s="3" t="str">
        <f t="shared" ca="1" si="208"/>
        <v>42 Tahun 10 bulan 23 Hari</v>
      </c>
      <c r="AF943" s="38">
        <f t="shared" si="211"/>
        <v>52536</v>
      </c>
    </row>
    <row r="944" spans="1:32" s="7" customFormat="1" ht="32.15" customHeight="1" x14ac:dyDescent="0.35">
      <c r="A944" s="26">
        <f t="shared" si="205"/>
        <v>880</v>
      </c>
      <c r="B944" s="32" t="s">
        <v>2447</v>
      </c>
      <c r="C944" s="288" t="s">
        <v>2584</v>
      </c>
      <c r="D944" s="289"/>
      <c r="E944" s="24" t="s">
        <v>3130</v>
      </c>
      <c r="F944" s="24" t="s">
        <v>71</v>
      </c>
      <c r="G944" s="4" t="s">
        <v>2506</v>
      </c>
      <c r="H944" s="69" t="s">
        <v>458</v>
      </c>
      <c r="I944" s="69"/>
      <c r="J944" s="109">
        <v>46260</v>
      </c>
      <c r="K944" s="215">
        <v>46260</v>
      </c>
      <c r="L944" s="25" t="s">
        <v>2452</v>
      </c>
      <c r="M944" s="213">
        <v>46260</v>
      </c>
      <c r="N944" s="3" t="str">
        <f t="shared" ca="1" si="214"/>
        <v xml:space="preserve">0 Tahun 0 bulan </v>
      </c>
      <c r="O944" s="35"/>
      <c r="P944" s="4" t="s">
        <v>35</v>
      </c>
      <c r="Q944" s="4" t="str">
        <f t="shared" si="209"/>
        <v>Laki-Laki</v>
      </c>
      <c r="R944" s="4">
        <f t="shared" si="212"/>
        <v>1</v>
      </c>
      <c r="S944" s="4" t="str">
        <f t="shared" si="206"/>
        <v>1</v>
      </c>
      <c r="T944" s="4">
        <f t="shared" si="213"/>
        <v>0</v>
      </c>
      <c r="U944" s="29"/>
      <c r="V944" s="30"/>
      <c r="W944" s="30"/>
      <c r="X944" s="30"/>
      <c r="Y944" s="30"/>
      <c r="Z944" s="30"/>
      <c r="AA944" s="30"/>
      <c r="AB944" s="29"/>
      <c r="AC944" s="29"/>
      <c r="AD944" s="37">
        <f t="shared" si="210"/>
        <v>27826</v>
      </c>
      <c r="AE944" s="3" t="str">
        <f t="shared" ca="1" si="208"/>
        <v>50 Tahun 5 bulan 25 Hari</v>
      </c>
      <c r="AF944" s="38">
        <f t="shared" si="211"/>
        <v>49766</v>
      </c>
    </row>
    <row r="945" spans="1:33" ht="24.75" customHeight="1" x14ac:dyDescent="0.35">
      <c r="A945" s="26">
        <f t="shared" si="205"/>
        <v>881</v>
      </c>
      <c r="B945" s="4" t="s">
        <v>2447</v>
      </c>
      <c r="C945" s="26"/>
      <c r="D945" s="111" t="s">
        <v>2585</v>
      </c>
      <c r="E945" s="71" t="s">
        <v>108</v>
      </c>
      <c r="F945" s="24"/>
      <c r="G945" s="56"/>
      <c r="H945" s="56"/>
      <c r="I945" s="4"/>
      <c r="J945" s="138"/>
      <c r="K945" s="3" t="str">
        <f t="shared" ca="1" si="207"/>
        <v/>
      </c>
      <c r="L945" s="56" t="s">
        <v>1749</v>
      </c>
      <c r="M945" s="138"/>
      <c r="N945" s="3" t="str">
        <f t="shared" ca="1" si="214"/>
        <v/>
      </c>
      <c r="O945" s="35"/>
      <c r="P945" s="4"/>
      <c r="Q945" s="4" t="str">
        <f t="shared" si="209"/>
        <v/>
      </c>
      <c r="R945" s="4">
        <f t="shared" si="212"/>
        <v>1</v>
      </c>
      <c r="S945" s="4" t="str">
        <f t="shared" si="206"/>
        <v>0</v>
      </c>
      <c r="T945" s="4">
        <f t="shared" si="213"/>
        <v>1</v>
      </c>
      <c r="U945" s="29"/>
      <c r="V945" s="30" t="s">
        <v>50</v>
      </c>
      <c r="W945" s="30"/>
      <c r="X945" s="30"/>
      <c r="Y945" s="30"/>
      <c r="Z945" s="30"/>
      <c r="AA945" s="30"/>
      <c r="AB945" s="29"/>
      <c r="AC945" s="29"/>
      <c r="AD945" s="37" t="str">
        <f t="shared" si="210"/>
        <v/>
      </c>
      <c r="AE945" s="3" t="str">
        <f t="shared" ca="1" si="208"/>
        <v/>
      </c>
      <c r="AF945" s="38" t="str">
        <f t="shared" si="211"/>
        <v/>
      </c>
    </row>
    <row r="946" spans="1:33" ht="24.75" customHeight="1" x14ac:dyDescent="0.35">
      <c r="A946" s="26">
        <f t="shared" si="205"/>
        <v>882</v>
      </c>
      <c r="B946" s="32" t="s">
        <v>2447</v>
      </c>
      <c r="C946" s="288" t="s">
        <v>2586</v>
      </c>
      <c r="D946" s="289"/>
      <c r="E946" s="24" t="s">
        <v>3126</v>
      </c>
      <c r="F946" s="45" t="s">
        <v>43</v>
      </c>
      <c r="G946" s="4" t="s">
        <v>2603</v>
      </c>
      <c r="H946" s="4" t="s">
        <v>3127</v>
      </c>
      <c r="I946" s="4"/>
      <c r="J946" s="110">
        <v>46260</v>
      </c>
      <c r="K946" s="3" t="str">
        <f t="shared" ca="1" si="207"/>
        <v xml:space="preserve">0 Tahun 0 bulan </v>
      </c>
      <c r="L946" s="25" t="s">
        <v>2452</v>
      </c>
      <c r="M946" s="110">
        <v>46260</v>
      </c>
      <c r="N946" s="3" t="str">
        <f t="shared" ca="1" si="214"/>
        <v xml:space="preserve">0 Tahun 0 bulan </v>
      </c>
      <c r="O946" s="35"/>
      <c r="P946" s="4" t="s">
        <v>35</v>
      </c>
      <c r="Q946" s="4" t="str">
        <f t="shared" si="209"/>
        <v>Perempuan</v>
      </c>
      <c r="R946" s="4">
        <f t="shared" si="212"/>
        <v>1</v>
      </c>
      <c r="S946" s="4" t="str">
        <f t="shared" si="206"/>
        <v>1</v>
      </c>
      <c r="T946" s="4">
        <f t="shared" si="213"/>
        <v>0</v>
      </c>
      <c r="U946" s="29"/>
      <c r="V946" s="30" t="s">
        <v>50</v>
      </c>
      <c r="W946" s="30"/>
      <c r="X946" s="30"/>
      <c r="Y946" s="30"/>
      <c r="Z946" s="30"/>
      <c r="AA946" s="30"/>
      <c r="AB946" s="29"/>
      <c r="AC946" s="29"/>
      <c r="AD946" s="37">
        <f t="shared" si="210"/>
        <v>27447</v>
      </c>
      <c r="AE946" s="3" t="str">
        <f t="shared" ca="1" si="208"/>
        <v>51 Tahun 6 bulan 10 Hari</v>
      </c>
      <c r="AF946" s="38">
        <f t="shared" si="211"/>
        <v>49369</v>
      </c>
      <c r="AG946" s="7"/>
    </row>
    <row r="947" spans="1:33" ht="27" customHeight="1" x14ac:dyDescent="0.35">
      <c r="A947" s="26">
        <f t="shared" si="205"/>
        <v>883</v>
      </c>
      <c r="B947" s="4" t="s">
        <v>2447</v>
      </c>
      <c r="C947" s="26"/>
      <c r="D947" s="111" t="s">
        <v>2588</v>
      </c>
      <c r="E947" s="71" t="s">
        <v>2589</v>
      </c>
      <c r="F947" s="24" t="s">
        <v>43</v>
      </c>
      <c r="G947" s="56" t="s">
        <v>2590</v>
      </c>
      <c r="H947" s="69" t="s">
        <v>687</v>
      </c>
      <c r="I947" s="25" t="s">
        <v>1736</v>
      </c>
      <c r="J947" s="72" t="s">
        <v>206</v>
      </c>
      <c r="K947" s="3" t="str">
        <f t="shared" ca="1" si="207"/>
        <v xml:space="preserve">3 Tahun 10 bulan </v>
      </c>
      <c r="L947" s="56" t="s">
        <v>1749</v>
      </c>
      <c r="M947" s="72" t="s">
        <v>206</v>
      </c>
      <c r="N947" s="3" t="str">
        <f t="shared" ca="1" si="214"/>
        <v xml:space="preserve">3 Tahun 10 bulan </v>
      </c>
      <c r="O947" s="35"/>
      <c r="P947" s="4" t="s">
        <v>35</v>
      </c>
      <c r="Q947" s="4" t="str">
        <f t="shared" si="209"/>
        <v>Perempuan</v>
      </c>
      <c r="R947" s="4">
        <f t="shared" si="212"/>
        <v>1</v>
      </c>
      <c r="S947" s="4" t="str">
        <f t="shared" si="206"/>
        <v>1</v>
      </c>
      <c r="T947" s="4">
        <f t="shared" si="213"/>
        <v>0</v>
      </c>
      <c r="U947" s="29"/>
      <c r="V947" s="30"/>
      <c r="W947" s="30"/>
      <c r="X947" s="30"/>
      <c r="Y947" s="30"/>
      <c r="Z947" s="30"/>
      <c r="AA947" s="30"/>
      <c r="AB947" s="29"/>
      <c r="AC947" s="29"/>
      <c r="AD947" s="37">
        <f t="shared" si="210"/>
        <v>32707</v>
      </c>
      <c r="AE947" s="3" t="str">
        <f t="shared" ca="1" si="208"/>
        <v>37 Tahun 1 bulan 14 Hari</v>
      </c>
      <c r="AF947" s="38">
        <f t="shared" si="211"/>
        <v>54636</v>
      </c>
      <c r="AG947" s="7"/>
    </row>
    <row r="948" spans="1:33" ht="24.75" customHeight="1" x14ac:dyDescent="0.35">
      <c r="A948" s="26">
        <f t="shared" si="205"/>
        <v>884</v>
      </c>
      <c r="B948" s="32" t="s">
        <v>2447</v>
      </c>
      <c r="C948" s="288" t="s">
        <v>2591</v>
      </c>
      <c r="D948" s="289"/>
      <c r="E948" s="71" t="s">
        <v>2592</v>
      </c>
      <c r="F948" s="24" t="s">
        <v>43</v>
      </c>
      <c r="G948" s="3" t="s">
        <v>2593</v>
      </c>
      <c r="H948" s="56" t="s">
        <v>703</v>
      </c>
      <c r="I948" s="25" t="s">
        <v>2549</v>
      </c>
      <c r="J948" s="72" t="s">
        <v>206</v>
      </c>
      <c r="K948" s="3" t="str">
        <f t="shared" ca="1" si="207"/>
        <v xml:space="preserve">3 Tahun 10 bulan </v>
      </c>
      <c r="L948" s="25" t="s">
        <v>2452</v>
      </c>
      <c r="M948" s="72" t="s">
        <v>206</v>
      </c>
      <c r="N948" s="3" t="str">
        <f t="shared" ca="1" si="214"/>
        <v xml:space="preserve">3 Tahun 10 bulan </v>
      </c>
      <c r="O948" s="35"/>
      <c r="P948" s="4" t="s">
        <v>35</v>
      </c>
      <c r="Q948" s="4" t="str">
        <f t="shared" si="209"/>
        <v>Perempuan</v>
      </c>
      <c r="R948" s="4">
        <f t="shared" si="212"/>
        <v>1</v>
      </c>
      <c r="S948" s="4" t="str">
        <f t="shared" si="206"/>
        <v>1</v>
      </c>
      <c r="T948" s="4">
        <f t="shared" si="213"/>
        <v>0</v>
      </c>
      <c r="U948" s="29"/>
      <c r="V948" s="30"/>
      <c r="W948" s="30"/>
      <c r="X948" s="30"/>
      <c r="Y948" s="30"/>
      <c r="Z948" s="30"/>
      <c r="AA948" s="30"/>
      <c r="AB948" s="29"/>
      <c r="AC948" s="29"/>
      <c r="AD948" s="37">
        <f t="shared" si="210"/>
        <v>27315</v>
      </c>
      <c r="AE948" s="3" t="str">
        <f t="shared" ca="1" si="208"/>
        <v>51 Tahun 10 bulan 19 Hari</v>
      </c>
      <c r="AF948" s="38">
        <f t="shared" si="211"/>
        <v>49249</v>
      </c>
      <c r="AG948" s="7"/>
    </row>
    <row r="949" spans="1:33" ht="32.15" customHeight="1" x14ac:dyDescent="0.35">
      <c r="A949" s="26">
        <f t="shared" si="205"/>
        <v>885</v>
      </c>
      <c r="B949" s="4" t="s">
        <v>2447</v>
      </c>
      <c r="C949" s="26"/>
      <c r="D949" s="111" t="s">
        <v>2594</v>
      </c>
      <c r="E949" s="24" t="s">
        <v>2595</v>
      </c>
      <c r="F949" s="24" t="s">
        <v>43</v>
      </c>
      <c r="G949" s="4" t="s">
        <v>2596</v>
      </c>
      <c r="H949" s="56" t="s">
        <v>687</v>
      </c>
      <c r="I949" s="25" t="s">
        <v>2489</v>
      </c>
      <c r="J949" s="136">
        <v>44413</v>
      </c>
      <c r="K949" s="3" t="str">
        <f t="shared" ca="1" si="207"/>
        <v xml:space="preserve">5 Tahun 0 bulan </v>
      </c>
      <c r="L949" s="56" t="s">
        <v>1749</v>
      </c>
      <c r="M949" s="136">
        <v>44413</v>
      </c>
      <c r="N949" s="3" t="str">
        <f t="shared" ca="1" si="214"/>
        <v xml:space="preserve">5 Tahun 0 bulan </v>
      </c>
      <c r="O949" s="35"/>
      <c r="P949" s="4" t="s">
        <v>35</v>
      </c>
      <c r="Q949" s="4" t="str">
        <f t="shared" si="209"/>
        <v>Perempuan</v>
      </c>
      <c r="R949" s="4">
        <f t="shared" si="212"/>
        <v>1</v>
      </c>
      <c r="S949" s="4" t="str">
        <f t="shared" si="206"/>
        <v>1</v>
      </c>
      <c r="T949" s="4">
        <f t="shared" si="213"/>
        <v>0</v>
      </c>
      <c r="U949" s="29"/>
      <c r="V949" s="30"/>
      <c r="W949" s="30"/>
      <c r="X949" s="30"/>
      <c r="Y949" s="30"/>
      <c r="Z949" s="30"/>
      <c r="AA949" s="30"/>
      <c r="AB949" s="29"/>
      <c r="AC949" s="29"/>
      <c r="AD949" s="37">
        <f t="shared" si="210"/>
        <v>30233</v>
      </c>
      <c r="AE949" s="3" t="str">
        <f t="shared" ca="1" si="208"/>
        <v>43 Tahun 10 bulan 23 Hari</v>
      </c>
      <c r="AF949" s="38">
        <f t="shared" si="211"/>
        <v>52171</v>
      </c>
      <c r="AG949" s="7"/>
    </row>
    <row r="950" spans="1:33" ht="32.15" customHeight="1" x14ac:dyDescent="0.35">
      <c r="A950" s="26">
        <f t="shared" si="205"/>
        <v>886</v>
      </c>
      <c r="B950" s="32" t="s">
        <v>2447</v>
      </c>
      <c r="C950" s="288" t="s">
        <v>2597</v>
      </c>
      <c r="D950" s="289"/>
      <c r="E950" s="71" t="s">
        <v>3128</v>
      </c>
      <c r="F950" s="24" t="s">
        <v>43</v>
      </c>
      <c r="G950" s="70" t="s">
        <v>2541</v>
      </c>
      <c r="H950" s="56" t="s">
        <v>3122</v>
      </c>
      <c r="I950" s="56"/>
      <c r="J950" s="109">
        <v>46260</v>
      </c>
      <c r="K950" s="3" t="str">
        <f t="shared" ca="1" si="207"/>
        <v xml:space="preserve">0 Tahun 0 bulan </v>
      </c>
      <c r="L950" s="25" t="s">
        <v>2452</v>
      </c>
      <c r="M950" s="109">
        <v>46260</v>
      </c>
      <c r="N950" s="3" t="str">
        <f t="shared" ca="1" si="214"/>
        <v xml:space="preserve">0 Tahun 0 bulan </v>
      </c>
      <c r="O950" s="35"/>
      <c r="P950" s="4" t="s">
        <v>35</v>
      </c>
      <c r="Q950" s="4" t="str">
        <f t="shared" si="209"/>
        <v>Perempuan</v>
      </c>
      <c r="R950" s="4">
        <f t="shared" si="212"/>
        <v>1</v>
      </c>
      <c r="S950" s="4" t="str">
        <f t="shared" si="206"/>
        <v>1</v>
      </c>
      <c r="T950" s="4">
        <f t="shared" si="213"/>
        <v>0</v>
      </c>
      <c r="U950" s="29"/>
      <c r="V950" s="30"/>
      <c r="W950" s="30"/>
      <c r="X950" s="30"/>
      <c r="Y950" s="30"/>
      <c r="Z950" s="30"/>
      <c r="AA950" s="30"/>
      <c r="AB950" s="29"/>
      <c r="AC950" s="29"/>
      <c r="AD950" s="37">
        <f t="shared" si="210"/>
        <v>27516</v>
      </c>
      <c r="AE950" s="3" t="str">
        <f t="shared" ca="1" si="208"/>
        <v>51 Tahun 3 bulan 30 Hari</v>
      </c>
      <c r="AF950" s="38">
        <f t="shared" si="211"/>
        <v>49461</v>
      </c>
      <c r="AG950" s="7"/>
    </row>
    <row r="951" spans="1:33" ht="32.15" customHeight="1" x14ac:dyDescent="0.35">
      <c r="A951" s="26">
        <f t="shared" si="205"/>
        <v>887</v>
      </c>
      <c r="B951" s="4" t="s">
        <v>2447</v>
      </c>
      <c r="C951" s="26"/>
      <c r="D951" s="111" t="s">
        <v>2598</v>
      </c>
      <c r="E951" s="71" t="s">
        <v>2599</v>
      </c>
      <c r="F951" s="24" t="s">
        <v>43</v>
      </c>
      <c r="G951" s="70" t="s">
        <v>2600</v>
      </c>
      <c r="H951" s="69" t="s">
        <v>1954</v>
      </c>
      <c r="I951" s="25" t="s">
        <v>2601</v>
      </c>
      <c r="J951" s="72" t="s">
        <v>338</v>
      </c>
      <c r="K951" s="3" t="str">
        <f t="shared" ca="1" si="207"/>
        <v xml:space="preserve">2 Tahun 11 bulan </v>
      </c>
      <c r="L951" s="56" t="s">
        <v>1749</v>
      </c>
      <c r="M951" s="72" t="s">
        <v>338</v>
      </c>
      <c r="N951" s="3" t="str">
        <f t="shared" ca="1" si="214"/>
        <v xml:space="preserve">2 Tahun 11 bulan </v>
      </c>
      <c r="O951" s="35"/>
      <c r="P951" s="4" t="s">
        <v>35</v>
      </c>
      <c r="Q951" s="4" t="str">
        <f t="shared" si="209"/>
        <v>Laki-Laki</v>
      </c>
      <c r="R951" s="4">
        <f t="shared" si="212"/>
        <v>1</v>
      </c>
      <c r="S951" s="4" t="str">
        <f t="shared" si="206"/>
        <v>1</v>
      </c>
      <c r="T951" s="4">
        <f t="shared" si="213"/>
        <v>0</v>
      </c>
      <c r="U951" s="29"/>
      <c r="V951" s="30" t="s">
        <v>50</v>
      </c>
      <c r="W951" s="30"/>
      <c r="X951" s="30"/>
      <c r="Y951" s="30"/>
      <c r="Z951" s="30"/>
      <c r="AA951" s="30"/>
      <c r="AB951" s="29"/>
      <c r="AC951" s="29"/>
      <c r="AD951" s="37">
        <f t="shared" si="210"/>
        <v>27829</v>
      </c>
      <c r="AE951" s="3" t="str">
        <f t="shared" ca="1" si="208"/>
        <v>50 Tahun 5 bulan 22 Hari</v>
      </c>
      <c r="AF951" s="38">
        <f t="shared" si="211"/>
        <v>49766</v>
      </c>
      <c r="AG951" s="7"/>
    </row>
    <row r="952" spans="1:33" ht="32.15" customHeight="1" x14ac:dyDescent="0.35">
      <c r="A952" s="26">
        <f t="shared" si="205"/>
        <v>888</v>
      </c>
      <c r="B952" s="32" t="s">
        <v>2447</v>
      </c>
      <c r="C952" s="288" t="s">
        <v>2602</v>
      </c>
      <c r="D952" s="289"/>
      <c r="E952" s="71" t="s">
        <v>2554</v>
      </c>
      <c r="F952" s="24" t="s">
        <v>43</v>
      </c>
      <c r="G952" s="3" t="s">
        <v>2555</v>
      </c>
      <c r="H952" s="56" t="s">
        <v>703</v>
      </c>
      <c r="I952" s="25" t="s">
        <v>46</v>
      </c>
      <c r="J952" s="109">
        <v>46260</v>
      </c>
      <c r="K952" s="3" t="str">
        <f t="shared" ca="1" si="207"/>
        <v xml:space="preserve">0 Tahun 0 bulan </v>
      </c>
      <c r="L952" s="25" t="s">
        <v>2452</v>
      </c>
      <c r="M952" s="109">
        <v>46260</v>
      </c>
      <c r="N952" s="3" t="str">
        <f t="shared" ca="1" si="214"/>
        <v xml:space="preserve">0 Tahun 0 bulan </v>
      </c>
      <c r="O952" s="35"/>
      <c r="P952" s="4" t="s">
        <v>35</v>
      </c>
      <c r="Q952" s="4" t="str">
        <f t="shared" si="209"/>
        <v>Perempuan</v>
      </c>
      <c r="R952" s="4">
        <f t="shared" si="212"/>
        <v>1</v>
      </c>
      <c r="S952" s="4" t="str">
        <f t="shared" si="206"/>
        <v>1</v>
      </c>
      <c r="T952" s="4">
        <f t="shared" si="213"/>
        <v>0</v>
      </c>
      <c r="U952" s="29"/>
      <c r="V952" s="30"/>
      <c r="W952" s="30"/>
      <c r="X952" s="30"/>
      <c r="Y952" s="30"/>
      <c r="Z952" s="30"/>
      <c r="AA952" s="30"/>
      <c r="AB952" s="29"/>
      <c r="AC952" s="29"/>
      <c r="AD952" s="37">
        <f t="shared" si="210"/>
        <v>30083</v>
      </c>
      <c r="AE952" s="3" t="str">
        <f t="shared" ca="1" si="208"/>
        <v>44 Tahun 3 bulan 20 Hari</v>
      </c>
      <c r="AF952" s="38">
        <f t="shared" si="211"/>
        <v>52018</v>
      </c>
      <c r="AG952" s="7"/>
    </row>
    <row r="953" spans="1:33" ht="32.15" customHeight="1" x14ac:dyDescent="0.35">
      <c r="A953" s="26">
        <f t="shared" si="205"/>
        <v>889</v>
      </c>
      <c r="B953" s="4" t="s">
        <v>2447</v>
      </c>
      <c r="C953" s="26"/>
      <c r="D953" s="111" t="s">
        <v>2604</v>
      </c>
      <c r="E953" s="24" t="s">
        <v>108</v>
      </c>
      <c r="F953" s="24"/>
      <c r="G953" s="4"/>
      <c r="H953" s="56"/>
      <c r="I953" s="25"/>
      <c r="J953" s="125"/>
      <c r="K953" s="3" t="str">
        <f t="shared" ca="1" si="207"/>
        <v/>
      </c>
      <c r="L953" s="25" t="s">
        <v>1749</v>
      </c>
      <c r="M953" s="125"/>
      <c r="N953" s="3" t="str">
        <f t="shared" ca="1" si="214"/>
        <v/>
      </c>
      <c r="O953" s="35"/>
      <c r="P953" s="4"/>
      <c r="Q953" s="4" t="str">
        <f t="shared" si="209"/>
        <v/>
      </c>
      <c r="R953" s="4">
        <f t="shared" si="212"/>
        <v>1</v>
      </c>
      <c r="S953" s="4" t="str">
        <f t="shared" si="206"/>
        <v>0</v>
      </c>
      <c r="T953" s="4">
        <f t="shared" si="213"/>
        <v>1</v>
      </c>
      <c r="U953" s="29"/>
      <c r="V953" s="30"/>
      <c r="W953" s="30"/>
      <c r="X953" s="30"/>
      <c r="Y953" s="30"/>
      <c r="Z953" s="30"/>
      <c r="AA953" s="30"/>
      <c r="AB953" s="29"/>
      <c r="AC953" s="29"/>
      <c r="AD953" s="37" t="str">
        <f t="shared" si="210"/>
        <v/>
      </c>
      <c r="AE953" s="3" t="str">
        <f t="shared" ca="1" si="208"/>
        <v/>
      </c>
      <c r="AF953" s="38" t="str">
        <f t="shared" si="211"/>
        <v/>
      </c>
      <c r="AG953" s="7"/>
    </row>
    <row r="954" spans="1:33" ht="25.5" customHeight="1" x14ac:dyDescent="0.35">
      <c r="A954" s="26"/>
      <c r="B954" s="32" t="s">
        <v>2605</v>
      </c>
      <c r="C954" s="280" t="s">
        <v>2606</v>
      </c>
      <c r="D954" s="281"/>
      <c r="E954" s="24"/>
      <c r="F954" s="24"/>
      <c r="G954" s="4"/>
      <c r="H954" s="4"/>
      <c r="I954" s="33"/>
      <c r="J954" s="5"/>
      <c r="K954" s="3" t="str">
        <f t="shared" ca="1" si="207"/>
        <v/>
      </c>
      <c r="L954" s="30"/>
      <c r="M954" s="5"/>
      <c r="N954" s="3" t="str">
        <f t="shared" ca="1" si="214"/>
        <v/>
      </c>
      <c r="O954" s="4"/>
      <c r="P954" s="4"/>
      <c r="Q954" s="4"/>
      <c r="R954" s="4"/>
      <c r="S954" s="4"/>
      <c r="T954" s="4"/>
      <c r="U954" s="29"/>
      <c r="V954" s="30"/>
      <c r="W954" s="30"/>
      <c r="X954" s="30"/>
      <c r="Y954" s="30"/>
      <c r="Z954" s="29"/>
      <c r="AA954" s="29"/>
      <c r="AB954" s="29"/>
      <c r="AC954" s="29"/>
      <c r="AD954" s="37" t="str">
        <f t="shared" si="210"/>
        <v/>
      </c>
      <c r="AE954" s="3" t="str">
        <f t="shared" ca="1" si="208"/>
        <v/>
      </c>
      <c r="AF954" s="38" t="str">
        <f t="shared" si="211"/>
        <v/>
      </c>
      <c r="AG954" s="7"/>
    </row>
    <row r="955" spans="1:33" ht="28.5" customHeight="1" x14ac:dyDescent="0.35">
      <c r="A955" s="26">
        <f>A953+1</f>
        <v>890</v>
      </c>
      <c r="B955" s="139" t="s">
        <v>2605</v>
      </c>
      <c r="C955" s="290" t="s">
        <v>2607</v>
      </c>
      <c r="D955" s="291"/>
      <c r="E955" s="24" t="s">
        <v>2608</v>
      </c>
      <c r="F955" s="24" t="s">
        <v>43</v>
      </c>
      <c r="G955" s="3" t="s">
        <v>2609</v>
      </c>
      <c r="H955" s="36" t="s">
        <v>427</v>
      </c>
      <c r="I955" s="36" t="s">
        <v>86</v>
      </c>
      <c r="J955" s="72" t="s">
        <v>2490</v>
      </c>
      <c r="K955" s="3" t="str">
        <f t="shared" ca="1" si="207"/>
        <v xml:space="preserve">8 Tahun 4 bulan </v>
      </c>
      <c r="L955" s="56" t="s">
        <v>1749</v>
      </c>
      <c r="M955" s="72" t="s">
        <v>2490</v>
      </c>
      <c r="N955" s="3" t="str">
        <f t="shared" ca="1" si="214"/>
        <v xml:space="preserve">8 Tahun 4 bulan </v>
      </c>
      <c r="O955" s="56"/>
      <c r="P955" s="4" t="s">
        <v>35</v>
      </c>
      <c r="Q955" s="4" t="str">
        <f t="shared" si="209"/>
        <v>Perempuan</v>
      </c>
      <c r="R955" s="4">
        <f>R949</f>
        <v>1</v>
      </c>
      <c r="S955" s="4" t="str">
        <f t="shared" ref="S955:S974" si="215">IF(E955="LOWONG","0","1")</f>
        <v>1</v>
      </c>
      <c r="T955" s="4">
        <f t="shared" si="213"/>
        <v>0</v>
      </c>
      <c r="U955" s="29"/>
      <c r="V955" s="30"/>
      <c r="W955" s="30"/>
      <c r="X955" s="30"/>
      <c r="Y955" s="30"/>
      <c r="Z955" s="30"/>
      <c r="AA955" s="30"/>
      <c r="AB955" s="29"/>
      <c r="AC955" s="29"/>
      <c r="AD955" s="37">
        <f t="shared" si="210"/>
        <v>27651</v>
      </c>
      <c r="AE955" s="3" t="str">
        <f t="shared" ca="1" si="208"/>
        <v>50 Tahun 11 bulan 18 Hari</v>
      </c>
      <c r="AF955" s="38">
        <f t="shared" si="211"/>
        <v>49583</v>
      </c>
      <c r="AG955" s="7"/>
    </row>
    <row r="956" spans="1:33" ht="28.5" customHeight="1" x14ac:dyDescent="0.35">
      <c r="A956" s="26">
        <f t="shared" si="205"/>
        <v>891</v>
      </c>
      <c r="B956" s="139" t="s">
        <v>2605</v>
      </c>
      <c r="C956" s="290" t="s">
        <v>2610</v>
      </c>
      <c r="D956" s="291"/>
      <c r="E956" s="45" t="s">
        <v>2611</v>
      </c>
      <c r="F956" s="24" t="s">
        <v>43</v>
      </c>
      <c r="G956" s="44" t="s">
        <v>2612</v>
      </c>
      <c r="H956" s="4" t="s">
        <v>2613</v>
      </c>
      <c r="I956" s="36" t="s">
        <v>86</v>
      </c>
      <c r="J956" s="72" t="s">
        <v>2490</v>
      </c>
      <c r="K956" s="3" t="str">
        <f t="shared" ca="1" si="207"/>
        <v xml:space="preserve">8 Tahun 4 bulan </v>
      </c>
      <c r="L956" s="56" t="s">
        <v>1749</v>
      </c>
      <c r="M956" s="72" t="s">
        <v>2490</v>
      </c>
      <c r="N956" s="3" t="str">
        <f t="shared" ca="1" si="214"/>
        <v xml:space="preserve">8 Tahun 4 bulan </v>
      </c>
      <c r="O956" s="56"/>
      <c r="P956" s="4" t="s">
        <v>35</v>
      </c>
      <c r="Q956" s="4" t="str">
        <f t="shared" si="209"/>
        <v>Laki-Laki</v>
      </c>
      <c r="R956" s="4">
        <f t="shared" si="212"/>
        <v>1</v>
      </c>
      <c r="S956" s="4" t="str">
        <f t="shared" si="215"/>
        <v>1</v>
      </c>
      <c r="T956" s="4">
        <f t="shared" si="213"/>
        <v>0</v>
      </c>
      <c r="U956" s="29"/>
      <c r="V956" s="30" t="s">
        <v>50</v>
      </c>
      <c r="W956" s="30"/>
      <c r="X956" s="30"/>
      <c r="Y956" s="30"/>
      <c r="Z956" s="30"/>
      <c r="AA956" s="30"/>
      <c r="AB956" s="29"/>
      <c r="AC956" s="29"/>
      <c r="AD956" s="37">
        <f t="shared" si="210"/>
        <v>28983</v>
      </c>
      <c r="AE956" s="3" t="str">
        <f t="shared" ca="1" si="208"/>
        <v>47 Tahun 3 bulan 24 Hari</v>
      </c>
      <c r="AF956" s="38">
        <f t="shared" si="211"/>
        <v>50922</v>
      </c>
      <c r="AG956" s="7"/>
    </row>
    <row r="957" spans="1:33" ht="28.5" customHeight="1" x14ac:dyDescent="0.35">
      <c r="A957" s="26">
        <f t="shared" si="205"/>
        <v>892</v>
      </c>
      <c r="B957" s="139" t="s">
        <v>2605</v>
      </c>
      <c r="C957" s="290" t="s">
        <v>2614</v>
      </c>
      <c r="D957" s="291"/>
      <c r="E957" s="45" t="s">
        <v>2615</v>
      </c>
      <c r="F957" s="24" t="s">
        <v>43</v>
      </c>
      <c r="G957" s="44" t="s">
        <v>2616</v>
      </c>
      <c r="H957" s="4" t="s">
        <v>2617</v>
      </c>
      <c r="I957" s="36" t="s">
        <v>86</v>
      </c>
      <c r="J957" s="72" t="s">
        <v>473</v>
      </c>
      <c r="K957" s="3" t="str">
        <f t="shared" ca="1" si="207"/>
        <v xml:space="preserve">5 Tahun 8 bulan </v>
      </c>
      <c r="L957" s="25" t="s">
        <v>1749</v>
      </c>
      <c r="M957" s="72" t="s">
        <v>473</v>
      </c>
      <c r="N957" s="3" t="str">
        <f t="shared" ca="1" si="214"/>
        <v xml:space="preserve">5 Tahun 8 bulan </v>
      </c>
      <c r="O957" s="44"/>
      <c r="P957" s="4" t="s">
        <v>35</v>
      </c>
      <c r="Q957" s="4" t="str">
        <f t="shared" si="209"/>
        <v>Laki-Laki</v>
      </c>
      <c r="R957" s="4">
        <f t="shared" si="212"/>
        <v>1</v>
      </c>
      <c r="S957" s="4" t="str">
        <f t="shared" si="215"/>
        <v>1</v>
      </c>
      <c r="T957" s="4">
        <f t="shared" si="213"/>
        <v>0</v>
      </c>
      <c r="U957" s="29"/>
      <c r="V957" s="30" t="s">
        <v>50</v>
      </c>
      <c r="W957" s="30"/>
      <c r="X957" s="30"/>
      <c r="Y957" s="30"/>
      <c r="Z957" s="30"/>
      <c r="AA957" s="30"/>
      <c r="AB957" s="29"/>
      <c r="AC957" s="29"/>
      <c r="AD957" s="37">
        <f t="shared" si="210"/>
        <v>25237</v>
      </c>
      <c r="AE957" s="3" t="str">
        <f t="shared" ca="1" si="208"/>
        <v>57 Tahun 6 bulan 29 Hari</v>
      </c>
      <c r="AF957" s="38">
        <f t="shared" si="211"/>
        <v>47178</v>
      </c>
      <c r="AG957" s="7"/>
    </row>
    <row r="958" spans="1:33" ht="33" customHeight="1" x14ac:dyDescent="0.35">
      <c r="A958" s="26">
        <f t="shared" si="205"/>
        <v>893</v>
      </c>
      <c r="B958" s="139" t="s">
        <v>2605</v>
      </c>
      <c r="C958" s="290" t="s">
        <v>2618</v>
      </c>
      <c r="D958" s="291"/>
      <c r="E958" s="45" t="s">
        <v>2959</v>
      </c>
      <c r="F958" s="45" t="s">
        <v>71</v>
      </c>
      <c r="G958" s="44" t="s">
        <v>2638</v>
      </c>
      <c r="H958" s="4" t="s">
        <v>1214</v>
      </c>
      <c r="I958" s="36" t="s">
        <v>2960</v>
      </c>
      <c r="J958" s="72" t="s">
        <v>2961</v>
      </c>
      <c r="K958" s="3" t="str">
        <f t="shared" ca="1" si="207"/>
        <v xml:space="preserve">0 Tahun 3 bulan </v>
      </c>
      <c r="L958" s="25" t="s">
        <v>1749</v>
      </c>
      <c r="M958" s="65" t="s">
        <v>2961</v>
      </c>
      <c r="N958" s="3" t="str">
        <f t="shared" ca="1" si="214"/>
        <v xml:space="preserve">0 Tahun 3 bulan </v>
      </c>
      <c r="O958" s="56"/>
      <c r="P958" s="4"/>
      <c r="Q958" s="4" t="str">
        <f t="shared" si="209"/>
        <v>Laki-Laki</v>
      </c>
      <c r="R958" s="4">
        <f t="shared" si="212"/>
        <v>1</v>
      </c>
      <c r="S958" s="4" t="str">
        <f t="shared" si="215"/>
        <v>1</v>
      </c>
      <c r="T958" s="4">
        <f t="shared" si="213"/>
        <v>0</v>
      </c>
      <c r="U958" s="29"/>
      <c r="V958" s="30" t="s">
        <v>50</v>
      </c>
      <c r="W958" s="30"/>
      <c r="X958" s="30"/>
      <c r="Y958" s="30"/>
      <c r="Z958" s="30"/>
      <c r="AA958" s="30"/>
      <c r="AB958" s="29"/>
      <c r="AC958" s="29"/>
      <c r="AD958" s="37">
        <f t="shared" si="210"/>
        <v>26233</v>
      </c>
      <c r="AE958" s="3" t="str">
        <f t="shared" ca="1" si="208"/>
        <v>54 Tahun 10 bulan 5 Hari</v>
      </c>
      <c r="AF958" s="38">
        <f t="shared" si="211"/>
        <v>48153</v>
      </c>
      <c r="AG958" s="7"/>
    </row>
    <row r="959" spans="1:33" ht="33" customHeight="1" x14ac:dyDescent="0.35">
      <c r="A959" s="26">
        <f t="shared" si="205"/>
        <v>894</v>
      </c>
      <c r="B959" s="139" t="s">
        <v>2605</v>
      </c>
      <c r="C959" s="290" t="s">
        <v>2619</v>
      </c>
      <c r="D959" s="291"/>
      <c r="E959" s="24" t="s">
        <v>2637</v>
      </c>
      <c r="F959" s="24" t="s">
        <v>43</v>
      </c>
      <c r="G959" s="44" t="s">
        <v>2638</v>
      </c>
      <c r="H959" s="4" t="s">
        <v>2639</v>
      </c>
      <c r="I959" s="36" t="s">
        <v>1814</v>
      </c>
      <c r="J959" s="72" t="s">
        <v>2620</v>
      </c>
      <c r="K959" s="3" t="str">
        <f t="shared" ca="1" si="207"/>
        <v xml:space="preserve">3 Tahun 0 bulan </v>
      </c>
      <c r="L959" s="25" t="s">
        <v>1749</v>
      </c>
      <c r="M959" s="47" t="s">
        <v>2620</v>
      </c>
      <c r="N959" s="3" t="str">
        <f t="shared" ca="1" si="214"/>
        <v xml:space="preserve">3 Tahun 0 bulan </v>
      </c>
      <c r="O959" s="56"/>
      <c r="P959" s="4" t="s">
        <v>35</v>
      </c>
      <c r="Q959" s="4" t="str">
        <f t="shared" si="209"/>
        <v>Laki-Laki</v>
      </c>
      <c r="R959" s="4">
        <f t="shared" si="212"/>
        <v>1</v>
      </c>
      <c r="S959" s="4" t="str">
        <f t="shared" si="215"/>
        <v>1</v>
      </c>
      <c r="T959" s="4">
        <f t="shared" si="213"/>
        <v>0</v>
      </c>
      <c r="U959" s="29"/>
      <c r="V959" s="30" t="s">
        <v>50</v>
      </c>
      <c r="W959" s="30"/>
      <c r="X959" s="30"/>
      <c r="Y959" s="30"/>
      <c r="Z959" s="30"/>
      <c r="AA959" s="30"/>
      <c r="AB959" s="29"/>
      <c r="AC959" s="29"/>
      <c r="AD959" s="37">
        <f t="shared" si="210"/>
        <v>26233</v>
      </c>
      <c r="AE959" s="3" t="str">
        <f t="shared" ca="1" si="208"/>
        <v>54 Tahun 10 bulan 5 Hari</v>
      </c>
      <c r="AF959" s="38">
        <f t="shared" si="211"/>
        <v>48153</v>
      </c>
      <c r="AG959" s="7"/>
    </row>
    <row r="960" spans="1:33" ht="33" customHeight="1" x14ac:dyDescent="0.35">
      <c r="A960" s="26">
        <f t="shared" si="205"/>
        <v>895</v>
      </c>
      <c r="B960" s="139" t="s">
        <v>2605</v>
      </c>
      <c r="C960" s="290" t="s">
        <v>2621</v>
      </c>
      <c r="D960" s="291"/>
      <c r="E960" s="24" t="s">
        <v>2622</v>
      </c>
      <c r="F960" s="24" t="s">
        <v>43</v>
      </c>
      <c r="G960" s="4" t="s">
        <v>2623</v>
      </c>
      <c r="H960" s="4" t="s">
        <v>574</v>
      </c>
      <c r="I960" s="36" t="s">
        <v>368</v>
      </c>
      <c r="J960" s="5" t="s">
        <v>2624</v>
      </c>
      <c r="K960" s="3" t="str">
        <f t="shared" ca="1" si="207"/>
        <v xml:space="preserve">2 Tahun 2 bulan </v>
      </c>
      <c r="L960" s="25" t="s">
        <v>1749</v>
      </c>
      <c r="M960" s="72"/>
      <c r="N960" s="3" t="str">
        <f t="shared" ca="1" si="214"/>
        <v/>
      </c>
      <c r="O960" s="4"/>
      <c r="P960" s="4" t="s">
        <v>35</v>
      </c>
      <c r="Q960" s="4" t="str">
        <f t="shared" si="209"/>
        <v>Perempuan</v>
      </c>
      <c r="R960" s="4">
        <f t="shared" si="212"/>
        <v>1</v>
      </c>
      <c r="S960" s="4" t="str">
        <f t="shared" si="215"/>
        <v>1</v>
      </c>
      <c r="T960" s="4">
        <f t="shared" si="213"/>
        <v>0</v>
      </c>
      <c r="U960" s="29"/>
      <c r="V960" s="30"/>
      <c r="W960" s="30"/>
      <c r="X960" s="30"/>
      <c r="Y960" s="30"/>
      <c r="Z960" s="30"/>
      <c r="AA960" s="30"/>
      <c r="AB960" s="29"/>
      <c r="AC960" s="29"/>
      <c r="AD960" s="37">
        <f t="shared" si="210"/>
        <v>28334</v>
      </c>
      <c r="AE960" s="3" t="str">
        <f t="shared" ca="1" si="208"/>
        <v>49 Tahun 1 bulan 4 Hari</v>
      </c>
      <c r="AF960" s="38">
        <f t="shared" si="211"/>
        <v>50253</v>
      </c>
      <c r="AG960" s="7"/>
    </row>
    <row r="961" spans="1:32" s="7" customFormat="1" ht="27.75" customHeight="1" x14ac:dyDescent="0.35">
      <c r="A961" s="26">
        <f t="shared" si="205"/>
        <v>896</v>
      </c>
      <c r="B961" s="139" t="s">
        <v>2605</v>
      </c>
      <c r="C961" s="290" t="s">
        <v>2625</v>
      </c>
      <c r="D961" s="291"/>
      <c r="E961" s="51" t="s">
        <v>2626</v>
      </c>
      <c r="F961" s="24" t="s">
        <v>43</v>
      </c>
      <c r="G961" s="59" t="s">
        <v>2627</v>
      </c>
      <c r="H961" s="4" t="s">
        <v>574</v>
      </c>
      <c r="I961" s="33" t="s">
        <v>107</v>
      </c>
      <c r="J961" s="47" t="s">
        <v>2620</v>
      </c>
      <c r="K961" s="3" t="str">
        <f t="shared" ca="1" si="207"/>
        <v xml:space="preserve">3 Tahun 0 bulan </v>
      </c>
      <c r="L961" s="25" t="s">
        <v>1749</v>
      </c>
      <c r="M961" s="47" t="s">
        <v>2620</v>
      </c>
      <c r="N961" s="3" t="str">
        <f t="shared" ca="1" si="214"/>
        <v xml:space="preserve">3 Tahun 0 bulan </v>
      </c>
      <c r="O961" s="4"/>
      <c r="P961" s="4" t="s">
        <v>35</v>
      </c>
      <c r="Q961" s="4" t="str">
        <f t="shared" si="209"/>
        <v>Laki-Laki</v>
      </c>
      <c r="R961" s="4">
        <f t="shared" si="212"/>
        <v>1</v>
      </c>
      <c r="S961" s="4" t="str">
        <f t="shared" si="215"/>
        <v>1</v>
      </c>
      <c r="T961" s="4">
        <f t="shared" si="213"/>
        <v>0</v>
      </c>
      <c r="U961" s="29"/>
      <c r="V961" s="30" t="s">
        <v>50</v>
      </c>
      <c r="W961" s="30"/>
      <c r="X961" s="30"/>
      <c r="Y961" s="30"/>
      <c r="Z961" s="30"/>
      <c r="AA961" s="30"/>
      <c r="AB961" s="29"/>
      <c r="AC961" s="29"/>
      <c r="AD961" s="37">
        <f t="shared" si="210"/>
        <v>27405</v>
      </c>
      <c r="AE961" s="3" t="str">
        <f t="shared" ca="1" si="208"/>
        <v>51 Tahun 7 bulan 21 Hari</v>
      </c>
      <c r="AF961" s="38">
        <f t="shared" si="211"/>
        <v>49341</v>
      </c>
    </row>
    <row r="962" spans="1:32" s="7" customFormat="1" ht="27.75" customHeight="1" x14ac:dyDescent="0.35">
      <c r="A962" s="26">
        <f t="shared" si="205"/>
        <v>897</v>
      </c>
      <c r="B962" s="139" t="s">
        <v>2605</v>
      </c>
      <c r="C962" s="290" t="s">
        <v>2628</v>
      </c>
      <c r="D962" s="291"/>
      <c r="E962" s="24" t="s">
        <v>2629</v>
      </c>
      <c r="F962" s="24" t="s">
        <v>43</v>
      </c>
      <c r="G962" s="4" t="s">
        <v>2630</v>
      </c>
      <c r="H962" s="56" t="s">
        <v>303</v>
      </c>
      <c r="I962" s="41" t="s">
        <v>2631</v>
      </c>
      <c r="J962" s="72" t="s">
        <v>206</v>
      </c>
      <c r="K962" s="3" t="str">
        <f t="shared" ca="1" si="207"/>
        <v xml:space="preserve">3 Tahun 10 bulan </v>
      </c>
      <c r="L962" s="25" t="s">
        <v>1749</v>
      </c>
      <c r="M962" s="72" t="s">
        <v>206</v>
      </c>
      <c r="N962" s="3" t="str">
        <f t="shared" ca="1" si="214"/>
        <v xml:space="preserve">3 Tahun 10 bulan </v>
      </c>
      <c r="O962" s="4"/>
      <c r="P962" s="4" t="s">
        <v>35</v>
      </c>
      <c r="Q962" s="4" t="str">
        <f t="shared" si="209"/>
        <v>Laki-Laki</v>
      </c>
      <c r="R962" s="4">
        <f t="shared" si="212"/>
        <v>1</v>
      </c>
      <c r="S962" s="4" t="str">
        <f t="shared" si="215"/>
        <v>1</v>
      </c>
      <c r="T962" s="4">
        <f t="shared" si="213"/>
        <v>0</v>
      </c>
      <c r="U962" s="29"/>
      <c r="V962" s="30" t="s">
        <v>50</v>
      </c>
      <c r="W962" s="30"/>
      <c r="X962" s="30"/>
      <c r="Y962" s="30"/>
      <c r="Z962" s="30"/>
      <c r="AA962" s="30"/>
      <c r="AB962" s="29"/>
      <c r="AC962" s="29"/>
      <c r="AD962" s="37">
        <f t="shared" si="210"/>
        <v>26458</v>
      </c>
      <c r="AE962" s="3" t="str">
        <f t="shared" ca="1" si="208"/>
        <v>54 Tahun 2 bulan 24 Hari</v>
      </c>
      <c r="AF962" s="38">
        <f t="shared" si="211"/>
        <v>48396</v>
      </c>
    </row>
    <row r="963" spans="1:32" s="7" customFormat="1" ht="27.75" customHeight="1" x14ac:dyDescent="0.35">
      <c r="A963" s="26">
        <f t="shared" ref="A963:A1005" si="216">A962+1</f>
        <v>898</v>
      </c>
      <c r="B963" s="139" t="s">
        <v>2605</v>
      </c>
      <c r="C963" s="290" t="s">
        <v>2632</v>
      </c>
      <c r="D963" s="291"/>
      <c r="E963" s="24" t="s">
        <v>2633</v>
      </c>
      <c r="F963" s="24" t="s">
        <v>43</v>
      </c>
      <c r="G963" s="4" t="s">
        <v>2634</v>
      </c>
      <c r="H963" s="4" t="s">
        <v>2635</v>
      </c>
      <c r="I963" s="41" t="s">
        <v>61</v>
      </c>
      <c r="J963" s="72" t="s">
        <v>473</v>
      </c>
      <c r="K963" s="3" t="str">
        <f t="shared" ca="1" si="207"/>
        <v xml:space="preserve">5 Tahun 8 bulan </v>
      </c>
      <c r="L963" s="25" t="s">
        <v>1749</v>
      </c>
      <c r="M963" s="72" t="s">
        <v>473</v>
      </c>
      <c r="N963" s="3" t="str">
        <f t="shared" ca="1" si="214"/>
        <v xml:space="preserve">5 Tahun 8 bulan </v>
      </c>
      <c r="O963" s="4"/>
      <c r="P963" s="4" t="s">
        <v>35</v>
      </c>
      <c r="Q963" s="4" t="str">
        <f t="shared" si="209"/>
        <v>Perempuan</v>
      </c>
      <c r="R963" s="4">
        <f t="shared" si="212"/>
        <v>1</v>
      </c>
      <c r="S963" s="4" t="str">
        <f t="shared" si="215"/>
        <v>1</v>
      </c>
      <c r="T963" s="4">
        <f t="shared" si="213"/>
        <v>0</v>
      </c>
      <c r="U963" s="29"/>
      <c r="V963" s="30" t="s">
        <v>50</v>
      </c>
      <c r="W963" s="30"/>
      <c r="X963" s="30"/>
      <c r="Y963" s="30"/>
      <c r="Z963" s="30"/>
      <c r="AA963" s="30"/>
      <c r="AB963" s="29"/>
      <c r="AC963" s="29"/>
      <c r="AD963" s="37">
        <f t="shared" si="210"/>
        <v>30202</v>
      </c>
      <c r="AE963" s="3" t="str">
        <f t="shared" ca="1" si="208"/>
        <v>43 Tahun 11 bulan 24 Hari</v>
      </c>
      <c r="AF963" s="38">
        <f t="shared" si="211"/>
        <v>52140</v>
      </c>
    </row>
    <row r="964" spans="1:32" s="7" customFormat="1" ht="27.75" customHeight="1" x14ac:dyDescent="0.35">
      <c r="A964" s="26">
        <f t="shared" si="216"/>
        <v>899</v>
      </c>
      <c r="B964" s="139" t="s">
        <v>2605</v>
      </c>
      <c r="C964" s="290" t="s">
        <v>2636</v>
      </c>
      <c r="D964" s="291"/>
      <c r="E964" s="45" t="s">
        <v>108</v>
      </c>
      <c r="F964" s="24"/>
      <c r="G964" s="44"/>
      <c r="H964" s="4"/>
      <c r="I964" s="36"/>
      <c r="J964" s="47"/>
      <c r="K964" s="3" t="str">
        <f t="shared" ca="1" si="207"/>
        <v/>
      </c>
      <c r="L964" s="25" t="s">
        <v>1749</v>
      </c>
      <c r="M964" s="47"/>
      <c r="N964" s="3" t="str">
        <f t="shared" ca="1" si="214"/>
        <v/>
      </c>
      <c r="O964" s="36"/>
      <c r="P964" s="4"/>
      <c r="Q964" s="4" t="str">
        <f t="shared" si="209"/>
        <v/>
      </c>
      <c r="R964" s="4">
        <f t="shared" si="212"/>
        <v>1</v>
      </c>
      <c r="S964" s="4" t="str">
        <f t="shared" si="215"/>
        <v>0</v>
      </c>
      <c r="T964" s="4">
        <f t="shared" si="213"/>
        <v>1</v>
      </c>
      <c r="U964" s="29"/>
      <c r="V964" s="30" t="s">
        <v>50</v>
      </c>
      <c r="W964" s="30"/>
      <c r="X964" s="30"/>
      <c r="Y964" s="30"/>
      <c r="Z964" s="30"/>
      <c r="AA964" s="30"/>
      <c r="AB964" s="29"/>
      <c r="AC964" s="29"/>
      <c r="AD964" s="37" t="str">
        <f t="shared" si="210"/>
        <v/>
      </c>
      <c r="AE964" s="3" t="str">
        <f t="shared" ca="1" si="208"/>
        <v/>
      </c>
      <c r="AF964" s="38" t="str">
        <f t="shared" si="211"/>
        <v/>
      </c>
    </row>
    <row r="965" spans="1:32" s="7" customFormat="1" ht="27.75" customHeight="1" x14ac:dyDescent="0.35">
      <c r="A965" s="26">
        <f t="shared" si="216"/>
        <v>900</v>
      </c>
      <c r="B965" s="139" t="s">
        <v>2605</v>
      </c>
      <c r="C965" s="290" t="s">
        <v>2640</v>
      </c>
      <c r="D965" s="291"/>
      <c r="E965" s="45" t="s">
        <v>2641</v>
      </c>
      <c r="F965" s="24" t="s">
        <v>43</v>
      </c>
      <c r="G965" s="44" t="s">
        <v>2642</v>
      </c>
      <c r="H965" s="4" t="s">
        <v>2643</v>
      </c>
      <c r="I965" s="36" t="s">
        <v>61</v>
      </c>
      <c r="J965" s="72" t="s">
        <v>473</v>
      </c>
      <c r="K965" s="3" t="str">
        <f t="shared" ca="1" si="207"/>
        <v xml:space="preserve">5 Tahun 8 bulan </v>
      </c>
      <c r="L965" s="25" t="s">
        <v>1749</v>
      </c>
      <c r="M965" s="72" t="s">
        <v>473</v>
      </c>
      <c r="N965" s="3" t="str">
        <f t="shared" ca="1" si="214"/>
        <v xml:space="preserve">5 Tahun 8 bulan </v>
      </c>
      <c r="O965" s="36"/>
      <c r="P965" s="4" t="s">
        <v>35</v>
      </c>
      <c r="Q965" s="4" t="str">
        <f t="shared" si="209"/>
        <v>Laki-Laki</v>
      </c>
      <c r="R965" s="4">
        <f t="shared" si="212"/>
        <v>1</v>
      </c>
      <c r="S965" s="4" t="str">
        <f t="shared" si="215"/>
        <v>1</v>
      </c>
      <c r="T965" s="4">
        <f t="shared" si="213"/>
        <v>0</v>
      </c>
      <c r="U965" s="29"/>
      <c r="V965" s="30" t="s">
        <v>50</v>
      </c>
      <c r="W965" s="30"/>
      <c r="X965" s="30"/>
      <c r="Y965" s="30"/>
      <c r="Z965" s="30"/>
      <c r="AA965" s="30"/>
      <c r="AB965" s="29"/>
      <c r="AC965" s="29"/>
      <c r="AD965" s="37">
        <f t="shared" si="210"/>
        <v>28491</v>
      </c>
      <c r="AE965" s="3" t="str">
        <f t="shared" ca="1" si="208"/>
        <v>48 Tahun 8 bulan 0 Hari</v>
      </c>
      <c r="AF965" s="38">
        <f t="shared" si="211"/>
        <v>50437</v>
      </c>
    </row>
    <row r="966" spans="1:32" s="7" customFormat="1" ht="27.75" customHeight="1" x14ac:dyDescent="0.35">
      <c r="A966" s="26">
        <f t="shared" si="216"/>
        <v>901</v>
      </c>
      <c r="B966" s="139" t="s">
        <v>2605</v>
      </c>
      <c r="C966" s="290" t="s">
        <v>2644</v>
      </c>
      <c r="D966" s="291"/>
      <c r="E966" s="45" t="s">
        <v>2645</v>
      </c>
      <c r="F966" s="24" t="s">
        <v>43</v>
      </c>
      <c r="G966" s="4" t="s">
        <v>2646</v>
      </c>
      <c r="H966" s="4" t="s">
        <v>379</v>
      </c>
      <c r="I966" s="48" t="s">
        <v>86</v>
      </c>
      <c r="J966" s="72" t="s">
        <v>2490</v>
      </c>
      <c r="K966" s="3" t="str">
        <f t="shared" ca="1" si="207"/>
        <v xml:space="preserve">8 Tahun 4 bulan </v>
      </c>
      <c r="L966" s="25" t="s">
        <v>1749</v>
      </c>
      <c r="M966" s="72" t="s">
        <v>2490</v>
      </c>
      <c r="N966" s="3" t="str">
        <f t="shared" ca="1" si="214"/>
        <v xml:space="preserve">8 Tahun 4 bulan </v>
      </c>
      <c r="O966" s="56"/>
      <c r="P966" s="4" t="s">
        <v>35</v>
      </c>
      <c r="Q966" s="4" t="str">
        <f t="shared" si="209"/>
        <v>Perempuan</v>
      </c>
      <c r="R966" s="4">
        <f t="shared" si="212"/>
        <v>1</v>
      </c>
      <c r="S966" s="4" t="str">
        <f t="shared" si="215"/>
        <v>1</v>
      </c>
      <c r="T966" s="4">
        <f t="shared" si="213"/>
        <v>0</v>
      </c>
      <c r="U966" s="29"/>
      <c r="V966" s="30"/>
      <c r="W966" s="30"/>
      <c r="X966" s="30"/>
      <c r="Y966" s="30"/>
      <c r="Z966" s="30"/>
      <c r="AA966" s="30"/>
      <c r="AB966" s="29"/>
      <c r="AC966" s="29"/>
      <c r="AD966" s="37">
        <f t="shared" si="210"/>
        <v>26513</v>
      </c>
      <c r="AE966" s="3" t="str">
        <f t="shared" ca="1" si="208"/>
        <v>54 Tahun 0 bulan 30 Hari</v>
      </c>
      <c r="AF966" s="38">
        <f t="shared" si="211"/>
        <v>48458</v>
      </c>
    </row>
    <row r="967" spans="1:32" s="7" customFormat="1" ht="29.25" customHeight="1" x14ac:dyDescent="0.35">
      <c r="A967" s="26">
        <f t="shared" si="216"/>
        <v>902</v>
      </c>
      <c r="B967" s="139" t="s">
        <v>2605</v>
      </c>
      <c r="C967" s="290" t="s">
        <v>2647</v>
      </c>
      <c r="D967" s="291"/>
      <c r="E967" s="24" t="s">
        <v>2615</v>
      </c>
      <c r="F967" s="24" t="s">
        <v>71</v>
      </c>
      <c r="G967" s="44" t="s">
        <v>2616</v>
      </c>
      <c r="H967" s="4" t="s">
        <v>2962</v>
      </c>
      <c r="I967" s="48" t="s">
        <v>2965</v>
      </c>
      <c r="J967" s="65" t="s">
        <v>2961</v>
      </c>
      <c r="K967" s="3" t="str">
        <f t="shared" ref="K967:K1026" ca="1" si="217">IF(J967="","",CONCATENATE(DATEDIF(J967,NOW(),"Y")," Tahun ",DATEDIF(J967,NOW(),"YM")," bulan "))</f>
        <v xml:space="preserve">0 Tahun 3 bulan </v>
      </c>
      <c r="L967" s="25" t="s">
        <v>1749</v>
      </c>
      <c r="M967" s="65" t="s">
        <v>2961</v>
      </c>
      <c r="N967" s="3" t="str">
        <f t="shared" ca="1" si="214"/>
        <v xml:space="preserve">0 Tahun 3 bulan </v>
      </c>
      <c r="O967" s="56"/>
      <c r="P967" s="4" t="s">
        <v>35</v>
      </c>
      <c r="Q967" s="4" t="str">
        <f t="shared" si="209"/>
        <v>Laki-Laki</v>
      </c>
      <c r="R967" s="4">
        <f t="shared" si="212"/>
        <v>1</v>
      </c>
      <c r="S967" s="4" t="str">
        <f t="shared" si="215"/>
        <v>1</v>
      </c>
      <c r="T967" s="4">
        <f t="shared" si="213"/>
        <v>0</v>
      </c>
      <c r="U967" s="29"/>
      <c r="V967" s="30"/>
      <c r="W967" s="30"/>
      <c r="X967" s="30"/>
      <c r="Y967" s="30"/>
      <c r="Z967" s="30"/>
      <c r="AA967" s="30"/>
      <c r="AB967" s="29"/>
      <c r="AC967" s="29"/>
      <c r="AD967" s="37">
        <f t="shared" si="210"/>
        <v>25237</v>
      </c>
      <c r="AE967" s="3" t="str">
        <f t="shared" ref="AE967:AE1026" ca="1" si="218">IF(TRIM(AD967)="", "", CONCATENATE(DATEDIF(AD967,NOW(),"Y")," Tahun ",DATEDIF(AD967,NOW(),"YM")," bulan ",DATEDIF(AD967,NOW(),"MD")," Hari"))</f>
        <v>57 Tahun 6 bulan 29 Hari</v>
      </c>
      <c r="AF967" s="38">
        <f t="shared" si="211"/>
        <v>47178</v>
      </c>
    </row>
    <row r="968" spans="1:32" s="7" customFormat="1" ht="29.25" customHeight="1" x14ac:dyDescent="0.35">
      <c r="A968" s="26">
        <f t="shared" si="216"/>
        <v>903</v>
      </c>
      <c r="B968" s="4" t="s">
        <v>2605</v>
      </c>
      <c r="C968" s="292" t="s">
        <v>2648</v>
      </c>
      <c r="D968" s="292"/>
      <c r="E968" s="24" t="s">
        <v>2656</v>
      </c>
      <c r="F968" s="24" t="s">
        <v>71</v>
      </c>
      <c r="G968" s="36" t="s">
        <v>2657</v>
      </c>
      <c r="H968" s="36" t="s">
        <v>159</v>
      </c>
      <c r="I968" s="36" t="s">
        <v>1556</v>
      </c>
      <c r="J968" s="65" t="s">
        <v>2961</v>
      </c>
      <c r="K968" s="3" t="str">
        <f t="shared" ca="1" si="217"/>
        <v xml:space="preserve">0 Tahun 3 bulan </v>
      </c>
      <c r="L968" s="25" t="s">
        <v>1749</v>
      </c>
      <c r="M968" s="65" t="s">
        <v>2961</v>
      </c>
      <c r="N968" s="3" t="str">
        <f t="shared" ca="1" si="214"/>
        <v xml:space="preserve">0 Tahun 3 bulan </v>
      </c>
      <c r="O968" s="36"/>
      <c r="P968" s="4" t="s">
        <v>35</v>
      </c>
      <c r="Q968" s="4" t="str">
        <f t="shared" ref="Q968:Q1026" si="219">CONCATENATE(IF(MID(G968,17,1)="1","Laki-Laki",IF(MID(G968,17,1)="2","Perempuan",)))</f>
        <v>Laki-Laki</v>
      </c>
      <c r="R968" s="4">
        <f t="shared" si="212"/>
        <v>1</v>
      </c>
      <c r="S968" s="4" t="str">
        <f t="shared" si="215"/>
        <v>1</v>
      </c>
      <c r="T968" s="4">
        <f t="shared" si="213"/>
        <v>0</v>
      </c>
      <c r="U968" s="29"/>
      <c r="V968" s="30"/>
      <c r="W968" s="30"/>
      <c r="X968" s="30"/>
      <c r="Y968" s="30"/>
      <c r="Z968" s="30"/>
      <c r="AA968" s="30"/>
      <c r="AB968" s="29"/>
      <c r="AC968" s="29"/>
      <c r="AD968" s="37">
        <f t="shared" ref="AD968:AD1026" si="220">IF(TRIM(G968)="", "", DATE(LEFT(G968,4),MID(G968,5,2),MID(G968,7,2)))</f>
        <v>26998</v>
      </c>
      <c r="AE968" s="3" t="str">
        <f t="shared" ca="1" si="218"/>
        <v>52 Tahun 9 bulan 2 Hari</v>
      </c>
      <c r="AF968" s="38">
        <f t="shared" ref="AF968:AF1026" si="221">IF(TRIM(AD968)="","",DATE(YEAR(AD968)+60,MONTH(AD968)+1,1))</f>
        <v>48914</v>
      </c>
    </row>
    <row r="969" spans="1:32" s="7" customFormat="1" ht="29.25" customHeight="1" x14ac:dyDescent="0.35">
      <c r="A969" s="26">
        <f t="shared" si="216"/>
        <v>904</v>
      </c>
      <c r="B969" s="139" t="s">
        <v>2605</v>
      </c>
      <c r="C969" s="290" t="s">
        <v>2649</v>
      </c>
      <c r="D969" s="291"/>
      <c r="E969" s="24" t="s">
        <v>2641</v>
      </c>
      <c r="F969" s="24" t="s">
        <v>71</v>
      </c>
      <c r="G969" s="25" t="s">
        <v>2642</v>
      </c>
      <c r="H969" s="4" t="s">
        <v>2643</v>
      </c>
      <c r="I969" s="33" t="s">
        <v>86</v>
      </c>
      <c r="J969" s="61" t="s">
        <v>2961</v>
      </c>
      <c r="K969" s="3" t="str">
        <f t="shared" ca="1" si="217"/>
        <v xml:space="preserve">0 Tahun 3 bulan </v>
      </c>
      <c r="L969" s="25" t="s">
        <v>1749</v>
      </c>
      <c r="M969" s="61" t="s">
        <v>2961</v>
      </c>
      <c r="N969" s="3" t="str">
        <f t="shared" ca="1" si="214"/>
        <v xml:space="preserve">0 Tahun 3 bulan </v>
      </c>
      <c r="O969" s="36"/>
      <c r="P969" s="4" t="s">
        <v>35</v>
      </c>
      <c r="Q969" s="4" t="str">
        <f t="shared" si="219"/>
        <v>Laki-Laki</v>
      </c>
      <c r="R969" s="4">
        <f t="shared" ref="R969:R1005" si="222">R968</f>
        <v>1</v>
      </c>
      <c r="S969" s="4" t="str">
        <f t="shared" si="215"/>
        <v>1</v>
      </c>
      <c r="T969" s="4">
        <f t="shared" si="213"/>
        <v>0</v>
      </c>
      <c r="U969" s="29"/>
      <c r="V969" s="30" t="s">
        <v>50</v>
      </c>
      <c r="W969" s="30"/>
      <c r="X969" s="30"/>
      <c r="Y969" s="30"/>
      <c r="Z969" s="30"/>
      <c r="AA969" s="30"/>
      <c r="AB969" s="29"/>
      <c r="AC969" s="29"/>
      <c r="AD969" s="37">
        <f t="shared" si="220"/>
        <v>28491</v>
      </c>
      <c r="AE969" s="3" t="str">
        <f t="shared" ca="1" si="218"/>
        <v>48 Tahun 8 bulan 0 Hari</v>
      </c>
      <c r="AF969" s="38">
        <f t="shared" si="221"/>
        <v>50437</v>
      </c>
    </row>
    <row r="970" spans="1:32" s="7" customFormat="1" ht="29.25" customHeight="1" x14ac:dyDescent="0.35">
      <c r="A970" s="26">
        <f t="shared" si="216"/>
        <v>905</v>
      </c>
      <c r="B970" s="139" t="s">
        <v>2605</v>
      </c>
      <c r="C970" s="290" t="s">
        <v>2650</v>
      </c>
      <c r="D970" s="291"/>
      <c r="E970" s="58" t="s">
        <v>2964</v>
      </c>
      <c r="F970" s="24" t="s">
        <v>71</v>
      </c>
      <c r="G970" s="25" t="s">
        <v>2630</v>
      </c>
      <c r="H970" s="4" t="s">
        <v>750</v>
      </c>
      <c r="I970" s="33" t="s">
        <v>46</v>
      </c>
      <c r="J970" s="47" t="s">
        <v>2961</v>
      </c>
      <c r="K970" s="3" t="str">
        <f t="shared" ca="1" si="217"/>
        <v xml:space="preserve">0 Tahun 3 bulan </v>
      </c>
      <c r="L970" s="25" t="s">
        <v>1749</v>
      </c>
      <c r="M970" s="47" t="s">
        <v>2961</v>
      </c>
      <c r="N970" s="3" t="str">
        <f t="shared" ca="1" si="214"/>
        <v xml:space="preserve">0 Tahun 3 bulan </v>
      </c>
      <c r="O970" s="36"/>
      <c r="P970" s="4" t="s">
        <v>35</v>
      </c>
      <c r="Q970" s="4" t="str">
        <f t="shared" si="219"/>
        <v>Laki-Laki</v>
      </c>
      <c r="R970" s="4">
        <f t="shared" si="222"/>
        <v>1</v>
      </c>
      <c r="S970" s="4" t="str">
        <f t="shared" si="215"/>
        <v>1</v>
      </c>
      <c r="T970" s="4">
        <f t="shared" si="213"/>
        <v>0</v>
      </c>
      <c r="U970" s="29"/>
      <c r="V970" s="30" t="s">
        <v>50</v>
      </c>
      <c r="W970" s="30"/>
      <c r="X970" s="30"/>
      <c r="Y970" s="30"/>
      <c r="Z970" s="30"/>
      <c r="AA970" s="30"/>
      <c r="AB970" s="29"/>
      <c r="AC970" s="29"/>
      <c r="AD970" s="37">
        <f t="shared" si="220"/>
        <v>26458</v>
      </c>
      <c r="AE970" s="3" t="str">
        <f t="shared" ca="1" si="218"/>
        <v>54 Tahun 2 bulan 24 Hari</v>
      </c>
      <c r="AF970" s="38">
        <f t="shared" si="221"/>
        <v>48396</v>
      </c>
    </row>
    <row r="971" spans="1:32" s="7" customFormat="1" ht="29.25" customHeight="1" x14ac:dyDescent="0.35">
      <c r="A971" s="26">
        <f t="shared" si="216"/>
        <v>906</v>
      </c>
      <c r="B971" s="139" t="s">
        <v>2605</v>
      </c>
      <c r="C971" s="290" t="s">
        <v>2651</v>
      </c>
      <c r="D971" s="291"/>
      <c r="E971" s="58" t="s">
        <v>2652</v>
      </c>
      <c r="F971" s="24" t="s">
        <v>43</v>
      </c>
      <c r="G971" s="25" t="s">
        <v>2653</v>
      </c>
      <c r="H971" s="4" t="s">
        <v>135</v>
      </c>
      <c r="I971" s="33" t="s">
        <v>86</v>
      </c>
      <c r="J971" s="47" t="s">
        <v>206</v>
      </c>
      <c r="K971" s="3" t="str">
        <f t="shared" ca="1" si="217"/>
        <v xml:space="preserve">3 Tahun 10 bulan </v>
      </c>
      <c r="L971" s="25" t="s">
        <v>1749</v>
      </c>
      <c r="M971" s="47" t="s">
        <v>206</v>
      </c>
      <c r="N971" s="3" t="str">
        <f t="shared" ca="1" si="214"/>
        <v xml:space="preserve">3 Tahun 10 bulan </v>
      </c>
      <c r="O971" s="36"/>
      <c r="P971" s="4" t="s">
        <v>35</v>
      </c>
      <c r="Q971" s="4" t="str">
        <f t="shared" si="219"/>
        <v>Laki-Laki</v>
      </c>
      <c r="R971" s="4">
        <f t="shared" si="222"/>
        <v>1</v>
      </c>
      <c r="S971" s="4" t="str">
        <f t="shared" si="215"/>
        <v>1</v>
      </c>
      <c r="T971" s="4">
        <f t="shared" si="213"/>
        <v>0</v>
      </c>
      <c r="U971" s="29"/>
      <c r="V971" s="30" t="s">
        <v>50</v>
      </c>
      <c r="W971" s="30"/>
      <c r="X971" s="30"/>
      <c r="Y971" s="30"/>
      <c r="Z971" s="30"/>
      <c r="AA971" s="30"/>
      <c r="AB971" s="29"/>
      <c r="AC971" s="29"/>
      <c r="AD971" s="37">
        <f t="shared" si="220"/>
        <v>28612</v>
      </c>
      <c r="AE971" s="3" t="str">
        <f t="shared" ca="1" si="218"/>
        <v>48 Tahun 3 bulan 30 Hari</v>
      </c>
      <c r="AF971" s="38">
        <f t="shared" si="221"/>
        <v>50557</v>
      </c>
    </row>
    <row r="972" spans="1:32" s="7" customFormat="1" ht="29.25" customHeight="1" x14ac:dyDescent="0.35">
      <c r="A972" s="26">
        <f t="shared" si="216"/>
        <v>907</v>
      </c>
      <c r="B972" s="139" t="s">
        <v>2605</v>
      </c>
      <c r="C972" s="290" t="s">
        <v>2654</v>
      </c>
      <c r="D972" s="291"/>
      <c r="E972" s="24" t="s">
        <v>2633</v>
      </c>
      <c r="F972" s="24" t="s">
        <v>71</v>
      </c>
      <c r="G972" s="4" t="s">
        <v>2634</v>
      </c>
      <c r="H972" s="4" t="s">
        <v>2962</v>
      </c>
      <c r="I972" s="33" t="s">
        <v>2963</v>
      </c>
      <c r="J972" s="65" t="s">
        <v>2961</v>
      </c>
      <c r="K972" s="3" t="str">
        <f t="shared" ca="1" si="217"/>
        <v xml:space="preserve">0 Tahun 3 bulan </v>
      </c>
      <c r="L972" s="25" t="s">
        <v>1749</v>
      </c>
      <c r="M972" s="65" t="s">
        <v>2961</v>
      </c>
      <c r="N972" s="3" t="str">
        <f t="shared" ca="1" si="214"/>
        <v xml:space="preserve">0 Tahun 3 bulan </v>
      </c>
      <c r="O972" s="4"/>
      <c r="P972" s="4" t="s">
        <v>35</v>
      </c>
      <c r="Q972" s="4" t="str">
        <f t="shared" si="219"/>
        <v>Perempuan</v>
      </c>
      <c r="R972" s="4">
        <f t="shared" si="222"/>
        <v>1</v>
      </c>
      <c r="S972" s="4" t="str">
        <f t="shared" si="215"/>
        <v>1</v>
      </c>
      <c r="T972" s="4">
        <f t="shared" si="213"/>
        <v>0</v>
      </c>
      <c r="U972" s="29"/>
      <c r="V972" s="30"/>
      <c r="W972" s="30"/>
      <c r="X972" s="30"/>
      <c r="Y972" s="30"/>
      <c r="Z972" s="30"/>
      <c r="AA972" s="30"/>
      <c r="AB972" s="29"/>
      <c r="AC972" s="29"/>
      <c r="AD972" s="37">
        <f t="shared" si="220"/>
        <v>30202</v>
      </c>
      <c r="AE972" s="3" t="str">
        <f t="shared" ca="1" si="218"/>
        <v>43 Tahun 11 bulan 24 Hari</v>
      </c>
      <c r="AF972" s="38">
        <f t="shared" si="221"/>
        <v>52140</v>
      </c>
    </row>
    <row r="973" spans="1:32" s="7" customFormat="1" ht="34.5" customHeight="1" x14ac:dyDescent="0.35">
      <c r="A973" s="26">
        <f t="shared" si="216"/>
        <v>908</v>
      </c>
      <c r="B973" s="139" t="s">
        <v>2605</v>
      </c>
      <c r="C973" s="290" t="s">
        <v>2655</v>
      </c>
      <c r="D973" s="291"/>
      <c r="E973" s="24" t="s">
        <v>2656</v>
      </c>
      <c r="F973" s="24" t="s">
        <v>43</v>
      </c>
      <c r="G973" s="3" t="s">
        <v>2657</v>
      </c>
      <c r="H973" s="4" t="s">
        <v>159</v>
      </c>
      <c r="I973" s="48" t="s">
        <v>86</v>
      </c>
      <c r="J973" s="72" t="s">
        <v>2490</v>
      </c>
      <c r="K973" s="3" t="str">
        <f t="shared" ca="1" si="217"/>
        <v xml:space="preserve">8 Tahun 4 bulan </v>
      </c>
      <c r="L973" s="25" t="s">
        <v>1749</v>
      </c>
      <c r="M973" s="72" t="s">
        <v>2490</v>
      </c>
      <c r="N973" s="3" t="str">
        <f t="shared" ca="1" si="214"/>
        <v xml:space="preserve">8 Tahun 4 bulan </v>
      </c>
      <c r="O973" s="56"/>
      <c r="P973" s="4" t="s">
        <v>35</v>
      </c>
      <c r="Q973" s="4" t="str">
        <f t="shared" si="219"/>
        <v>Laki-Laki</v>
      </c>
      <c r="R973" s="4">
        <f t="shared" si="222"/>
        <v>1</v>
      </c>
      <c r="S973" s="4" t="str">
        <f t="shared" si="215"/>
        <v>1</v>
      </c>
      <c r="T973" s="4">
        <f t="shared" si="213"/>
        <v>0</v>
      </c>
      <c r="U973" s="29"/>
      <c r="V973" s="30" t="s">
        <v>50</v>
      </c>
      <c r="W973" s="30"/>
      <c r="X973" s="30"/>
      <c r="Y973" s="30"/>
      <c r="Z973" s="30"/>
      <c r="AA973" s="30"/>
      <c r="AB973" s="29"/>
      <c r="AC973" s="29"/>
      <c r="AD973" s="37">
        <f t="shared" si="220"/>
        <v>26998</v>
      </c>
      <c r="AE973" s="3" t="str">
        <f t="shared" ca="1" si="218"/>
        <v>52 Tahun 9 bulan 2 Hari</v>
      </c>
      <c r="AF973" s="38">
        <f t="shared" si="221"/>
        <v>48914</v>
      </c>
    </row>
    <row r="974" spans="1:32" s="7" customFormat="1" ht="29.25" customHeight="1" x14ac:dyDescent="0.35">
      <c r="A974" s="26">
        <f t="shared" si="216"/>
        <v>909</v>
      </c>
      <c r="B974" s="139" t="s">
        <v>2605</v>
      </c>
      <c r="C974" s="290" t="s">
        <v>2658</v>
      </c>
      <c r="D974" s="291"/>
      <c r="E974" s="24" t="s">
        <v>2645</v>
      </c>
      <c r="F974" s="24" t="s">
        <v>71</v>
      </c>
      <c r="G974" s="3" t="s">
        <v>2646</v>
      </c>
      <c r="H974" s="4" t="s">
        <v>379</v>
      </c>
      <c r="I974" s="48" t="s">
        <v>1556</v>
      </c>
      <c r="J974" s="72" t="s">
        <v>2961</v>
      </c>
      <c r="K974" s="3" t="str">
        <f t="shared" ca="1" si="217"/>
        <v xml:space="preserve">0 Tahun 3 bulan </v>
      </c>
      <c r="L974" s="25" t="s">
        <v>1749</v>
      </c>
      <c r="M974" s="72" t="s">
        <v>2961</v>
      </c>
      <c r="N974" s="3" t="str">
        <f t="shared" ca="1" si="214"/>
        <v xml:space="preserve">0 Tahun 3 bulan </v>
      </c>
      <c r="O974" s="56"/>
      <c r="P974" s="4" t="s">
        <v>35</v>
      </c>
      <c r="Q974" s="4" t="str">
        <f t="shared" si="219"/>
        <v>Perempuan</v>
      </c>
      <c r="R974" s="4">
        <f t="shared" si="222"/>
        <v>1</v>
      </c>
      <c r="S974" s="4" t="str">
        <f t="shared" si="215"/>
        <v>1</v>
      </c>
      <c r="T974" s="4">
        <f t="shared" si="213"/>
        <v>0</v>
      </c>
      <c r="U974" s="29"/>
      <c r="V974" s="30" t="s">
        <v>50</v>
      </c>
      <c r="W974" s="30"/>
      <c r="X974" s="30"/>
      <c r="Y974" s="30"/>
      <c r="Z974" s="30"/>
      <c r="AA974" s="30"/>
      <c r="AB974" s="29"/>
      <c r="AC974" s="29"/>
      <c r="AD974" s="37">
        <f t="shared" si="220"/>
        <v>26513</v>
      </c>
      <c r="AE974" s="3" t="str">
        <f t="shared" ca="1" si="218"/>
        <v>54 Tahun 0 bulan 30 Hari</v>
      </c>
      <c r="AF974" s="38">
        <f t="shared" si="221"/>
        <v>48458</v>
      </c>
    </row>
    <row r="975" spans="1:32" s="7" customFormat="1" ht="24.75" customHeight="1" x14ac:dyDescent="0.35">
      <c r="A975" s="26"/>
      <c r="B975" s="27" t="s">
        <v>2659</v>
      </c>
      <c r="C975" s="280" t="s">
        <v>2660</v>
      </c>
      <c r="D975" s="281"/>
      <c r="E975" s="24"/>
      <c r="F975" s="24"/>
      <c r="G975" s="4"/>
      <c r="H975" s="4"/>
      <c r="I975" s="33"/>
      <c r="J975" s="5"/>
      <c r="K975" s="3" t="str">
        <f t="shared" ca="1" si="217"/>
        <v/>
      </c>
      <c r="L975" s="30"/>
      <c r="M975" s="5"/>
      <c r="N975" s="3" t="str">
        <f t="shared" ca="1" si="214"/>
        <v/>
      </c>
      <c r="O975" s="4"/>
      <c r="P975" s="4"/>
      <c r="Q975" s="4"/>
      <c r="R975" s="4"/>
      <c r="S975" s="4"/>
      <c r="T975" s="4"/>
      <c r="U975" s="29"/>
      <c r="V975" s="30"/>
      <c r="W975" s="30"/>
      <c r="X975" s="30"/>
      <c r="Y975" s="30"/>
      <c r="Z975" s="29"/>
      <c r="AA975" s="29"/>
      <c r="AB975" s="29"/>
      <c r="AC975" s="29"/>
      <c r="AD975" s="37" t="str">
        <f t="shared" si="220"/>
        <v/>
      </c>
      <c r="AE975" s="3" t="str">
        <f t="shared" ca="1" si="218"/>
        <v/>
      </c>
      <c r="AF975" s="38" t="str">
        <f t="shared" si="221"/>
        <v/>
      </c>
    </row>
    <row r="976" spans="1:32" s="7" customFormat="1" ht="44.25" customHeight="1" x14ac:dyDescent="0.35">
      <c r="A976" s="26">
        <f>A974+1</f>
        <v>910</v>
      </c>
      <c r="B976" s="27" t="s">
        <v>2659</v>
      </c>
      <c r="C976" s="288" t="s">
        <v>2661</v>
      </c>
      <c r="D976" s="289"/>
      <c r="E976" s="71" t="s">
        <v>2917</v>
      </c>
      <c r="F976" s="71" t="s">
        <v>43</v>
      </c>
      <c r="G976" s="3" t="s">
        <v>2918</v>
      </c>
      <c r="H976" s="4" t="s">
        <v>197</v>
      </c>
      <c r="I976" s="33" t="s">
        <v>2919</v>
      </c>
      <c r="J976" s="110">
        <v>46087</v>
      </c>
      <c r="K976" s="3" t="str">
        <f t="shared" ca="1" si="217"/>
        <v xml:space="preserve">0 Tahun 5 bulan </v>
      </c>
      <c r="L976" s="4" t="s">
        <v>200</v>
      </c>
      <c r="M976" s="82">
        <v>46087</v>
      </c>
      <c r="N976" s="3" t="str">
        <f t="shared" ca="1" si="214"/>
        <v xml:space="preserve">0 Tahun 5 bulan </v>
      </c>
      <c r="O976" s="4"/>
      <c r="P976" s="4" t="s">
        <v>35</v>
      </c>
      <c r="Q976" s="4" t="str">
        <f t="shared" si="219"/>
        <v>Perempuan</v>
      </c>
      <c r="R976" s="4">
        <f>R1005</f>
        <v>1</v>
      </c>
      <c r="S976" s="4" t="str">
        <f>IF(E976="LOWONG","0","1")</f>
        <v>1</v>
      </c>
      <c r="T976" s="4">
        <f>R976-S976</f>
        <v>0</v>
      </c>
      <c r="U976" s="29"/>
      <c r="V976" s="30" t="s">
        <v>50</v>
      </c>
      <c r="W976" s="30"/>
      <c r="X976" s="30"/>
      <c r="Y976" s="30"/>
      <c r="Z976" s="30"/>
      <c r="AA976" s="30"/>
      <c r="AB976" s="29"/>
      <c r="AC976" s="29"/>
      <c r="AD976" s="37">
        <f t="shared" si="220"/>
        <v>28277</v>
      </c>
      <c r="AE976" s="3" t="str">
        <f t="shared" ca="1" si="218"/>
        <v>49 Tahun 3 bulan 0 Hari</v>
      </c>
      <c r="AF976" s="38">
        <f t="shared" si="221"/>
        <v>50222</v>
      </c>
    </row>
    <row r="977" spans="1:33" ht="44.25" customHeight="1" x14ac:dyDescent="0.35">
      <c r="A977" s="26">
        <f>A976+1</f>
        <v>911</v>
      </c>
      <c r="B977" s="27" t="s">
        <v>2659</v>
      </c>
      <c r="C977" s="26"/>
      <c r="D977" s="137" t="s">
        <v>2663</v>
      </c>
      <c r="E977" s="71" t="s">
        <v>2664</v>
      </c>
      <c r="F977" s="24" t="s">
        <v>43</v>
      </c>
      <c r="G977" s="70"/>
      <c r="H977" s="36"/>
      <c r="I977" s="48"/>
      <c r="J977" s="140">
        <v>45993</v>
      </c>
      <c r="K977" s="3" t="str">
        <f t="shared" ca="1" si="217"/>
        <v xml:space="preserve">0 Tahun 8 bulan </v>
      </c>
      <c r="L977" s="56" t="s">
        <v>1749</v>
      </c>
      <c r="M977" s="82"/>
      <c r="N977" s="3" t="str">
        <f t="shared" ca="1" si="214"/>
        <v/>
      </c>
      <c r="O977" s="4"/>
      <c r="P977" s="4" t="s">
        <v>35</v>
      </c>
      <c r="Q977" s="4" t="str">
        <f t="shared" si="219"/>
        <v/>
      </c>
      <c r="R977" s="4">
        <f>R976</f>
        <v>1</v>
      </c>
      <c r="S977" s="4" t="str">
        <f>IF(E977="LOWONG","0","1")</f>
        <v>1</v>
      </c>
      <c r="T977" s="4">
        <f>R977-S977</f>
        <v>0</v>
      </c>
      <c r="U977" s="29"/>
      <c r="V977" s="30" t="s">
        <v>50</v>
      </c>
      <c r="W977" s="30"/>
      <c r="X977" s="30"/>
      <c r="Y977" s="30"/>
      <c r="Z977" s="30"/>
      <c r="AA977" s="30"/>
      <c r="AB977" s="29"/>
      <c r="AC977" s="29"/>
      <c r="AD977" s="37" t="str">
        <f t="shared" si="220"/>
        <v/>
      </c>
      <c r="AE977" s="3" t="str">
        <f t="shared" ca="1" si="218"/>
        <v/>
      </c>
      <c r="AF977" s="38" t="str">
        <f t="shared" si="221"/>
        <v/>
      </c>
      <c r="AG977" s="7"/>
    </row>
    <row r="978" spans="1:33" ht="28.5" customHeight="1" x14ac:dyDescent="0.35">
      <c r="A978" s="26"/>
      <c r="B978" s="27" t="s">
        <v>3095</v>
      </c>
      <c r="C978" s="295" t="s">
        <v>3096</v>
      </c>
      <c r="D978" s="296"/>
      <c r="E978" s="71"/>
      <c r="F978" s="24"/>
      <c r="G978" s="70"/>
      <c r="H978" s="36"/>
      <c r="I978" s="48"/>
      <c r="J978" s="140"/>
      <c r="K978" s="3"/>
      <c r="L978" s="56"/>
      <c r="M978" s="82"/>
      <c r="N978" s="3"/>
      <c r="O978" s="4"/>
      <c r="P978" s="4"/>
      <c r="Q978" s="4"/>
      <c r="R978" s="4"/>
      <c r="S978" s="4"/>
      <c r="T978" s="4"/>
      <c r="U978" s="29"/>
      <c r="V978" s="30"/>
      <c r="W978" s="30"/>
      <c r="X978" s="30"/>
      <c r="Y978" s="30"/>
      <c r="Z978" s="30"/>
      <c r="AA978" s="30"/>
      <c r="AB978" s="29"/>
      <c r="AC978" s="29"/>
      <c r="AD978" s="37"/>
      <c r="AE978" s="3"/>
      <c r="AF978" s="38"/>
      <c r="AG978" s="7"/>
    </row>
    <row r="979" spans="1:33" ht="45.5" customHeight="1" x14ac:dyDescent="0.35">
      <c r="A979" s="26">
        <v>912</v>
      </c>
      <c r="B979" s="27" t="s">
        <v>3095</v>
      </c>
      <c r="C979" s="297" t="s">
        <v>3097</v>
      </c>
      <c r="D979" s="298"/>
      <c r="E979" s="71" t="s">
        <v>907</v>
      </c>
      <c r="F979" s="24" t="s">
        <v>43</v>
      </c>
      <c r="G979" s="70" t="s">
        <v>908</v>
      </c>
      <c r="H979" s="36" t="s">
        <v>106</v>
      </c>
      <c r="I979" s="48" t="s">
        <v>107</v>
      </c>
      <c r="J979" s="140">
        <v>46260</v>
      </c>
      <c r="K979" s="3" t="str">
        <f t="shared" ca="1" si="217"/>
        <v xml:space="preserve">0 Tahun 0 bulan </v>
      </c>
      <c r="L979" s="56" t="s">
        <v>200</v>
      </c>
      <c r="M979" s="82">
        <v>46260</v>
      </c>
      <c r="N979" s="3" t="str">
        <f t="shared" ca="1" si="214"/>
        <v xml:space="preserve">0 Tahun 0 bulan </v>
      </c>
      <c r="O979" s="4"/>
      <c r="P979" s="4" t="s">
        <v>35</v>
      </c>
      <c r="Q979" s="4" t="str">
        <f t="shared" si="219"/>
        <v>Laki-Laki</v>
      </c>
      <c r="R979" s="4">
        <v>1</v>
      </c>
      <c r="S979" s="4" t="s">
        <v>3098</v>
      </c>
      <c r="T979" s="4">
        <v>0</v>
      </c>
      <c r="U979" s="29"/>
      <c r="V979" s="30" t="s">
        <v>50</v>
      </c>
      <c r="W979" s="30"/>
      <c r="X979" s="30"/>
      <c r="Y979" s="30"/>
      <c r="Z979" s="30"/>
      <c r="AA979" s="30"/>
      <c r="AB979" s="29"/>
      <c r="AC979" s="29"/>
      <c r="AD979" s="37">
        <v>28277</v>
      </c>
      <c r="AE979" s="3" t="s">
        <v>3099</v>
      </c>
      <c r="AF979" s="38">
        <v>50222</v>
      </c>
      <c r="AG979" s="7"/>
    </row>
    <row r="980" spans="1:33" ht="22.5" customHeight="1" x14ac:dyDescent="0.35">
      <c r="A980" s="26"/>
      <c r="B980" s="68" t="s">
        <v>2665</v>
      </c>
      <c r="C980" s="280" t="s">
        <v>2666</v>
      </c>
      <c r="D980" s="281"/>
      <c r="E980" s="24"/>
      <c r="F980" s="24"/>
      <c r="G980" s="4"/>
      <c r="H980" s="4"/>
      <c r="I980" s="33"/>
      <c r="J980" s="5"/>
      <c r="K980" s="3" t="str">
        <f t="shared" ca="1" si="217"/>
        <v/>
      </c>
      <c r="L980" s="30"/>
      <c r="M980" s="5"/>
      <c r="N980" s="3" t="str">
        <f t="shared" ca="1" si="214"/>
        <v/>
      </c>
      <c r="O980" s="4"/>
      <c r="P980" s="4"/>
      <c r="Q980" s="4"/>
      <c r="R980" s="4"/>
      <c r="S980" s="4"/>
      <c r="T980" s="4"/>
      <c r="U980" s="29"/>
      <c r="V980" s="30"/>
      <c r="W980" s="30"/>
      <c r="X980" s="30"/>
      <c r="Y980" s="30"/>
      <c r="Z980" s="29"/>
      <c r="AA980" s="29"/>
      <c r="AB980" s="29"/>
      <c r="AC980" s="29"/>
      <c r="AD980" s="37" t="str">
        <f t="shared" si="220"/>
        <v/>
      </c>
      <c r="AE980" s="3" t="str">
        <f t="shared" ca="1" si="218"/>
        <v/>
      </c>
      <c r="AF980" s="38" t="str">
        <f t="shared" si="221"/>
        <v/>
      </c>
      <c r="AG980" s="7"/>
    </row>
    <row r="981" spans="1:33" ht="27" customHeight="1" x14ac:dyDescent="0.35">
      <c r="A981" s="26">
        <v>913</v>
      </c>
      <c r="B981" s="139" t="s">
        <v>2665</v>
      </c>
      <c r="C981" s="293" t="s">
        <v>2667</v>
      </c>
      <c r="D981" s="294"/>
      <c r="E981" s="42" t="s">
        <v>2668</v>
      </c>
      <c r="F981" s="42" t="s">
        <v>43</v>
      </c>
      <c r="G981" s="141" t="s">
        <v>2669</v>
      </c>
      <c r="H981" s="135" t="s">
        <v>554</v>
      </c>
      <c r="I981" s="48" t="s">
        <v>86</v>
      </c>
      <c r="J981" s="110" t="s">
        <v>2670</v>
      </c>
      <c r="K981" s="3" t="str">
        <f t="shared" ca="1" si="217"/>
        <v xml:space="preserve">3 Tahun 0 bulan </v>
      </c>
      <c r="L981" s="4" t="s">
        <v>2452</v>
      </c>
      <c r="M981" s="110" t="s">
        <v>2670</v>
      </c>
      <c r="N981" s="3" t="str">
        <f t="shared" ca="1" si="214"/>
        <v xml:space="preserve">3 Tahun 0 bulan </v>
      </c>
      <c r="O981" s="56" t="s">
        <v>2671</v>
      </c>
      <c r="P981" s="4" t="s">
        <v>35</v>
      </c>
      <c r="Q981" s="4" t="str">
        <f t="shared" si="219"/>
        <v>Perempuan</v>
      </c>
      <c r="R981" s="4">
        <v>1</v>
      </c>
      <c r="S981" s="4" t="str">
        <f t="shared" ref="S981:S1000" si="223">IF(E981="LOWONG","0","1")</f>
        <v>1</v>
      </c>
      <c r="T981" s="4">
        <f t="shared" si="213"/>
        <v>0</v>
      </c>
      <c r="U981" s="29"/>
      <c r="V981" s="30"/>
      <c r="W981" s="30"/>
      <c r="X981" s="30"/>
      <c r="Y981" s="30"/>
      <c r="Z981" s="30"/>
      <c r="AA981" s="30"/>
      <c r="AB981" s="29"/>
      <c r="AC981" s="29"/>
      <c r="AD981" s="37">
        <f t="shared" si="220"/>
        <v>29964</v>
      </c>
      <c r="AE981" s="3" t="str">
        <f t="shared" ca="1" si="218"/>
        <v>44 Tahun 7 bulan 19 Hari</v>
      </c>
      <c r="AF981" s="38">
        <f t="shared" si="221"/>
        <v>51898</v>
      </c>
      <c r="AG981" s="7"/>
    </row>
    <row r="982" spans="1:33" ht="27" customHeight="1" x14ac:dyDescent="0.35">
      <c r="A982" s="26">
        <v>914</v>
      </c>
      <c r="B982" s="139" t="s">
        <v>2665</v>
      </c>
      <c r="C982" s="293" t="s">
        <v>2672</v>
      </c>
      <c r="D982" s="294"/>
      <c r="E982" s="39" t="s">
        <v>2673</v>
      </c>
      <c r="F982" s="42" t="s">
        <v>43</v>
      </c>
      <c r="G982" s="25" t="s">
        <v>2674</v>
      </c>
      <c r="H982" s="135" t="s">
        <v>554</v>
      </c>
      <c r="I982" s="25" t="s">
        <v>362</v>
      </c>
      <c r="J982" s="110" t="s">
        <v>2377</v>
      </c>
      <c r="K982" s="3" t="str">
        <f t="shared" ca="1" si="217"/>
        <v xml:space="preserve">3 Tahun 7 bulan </v>
      </c>
      <c r="L982" s="4" t="s">
        <v>2452</v>
      </c>
      <c r="M982" s="110" t="s">
        <v>2377</v>
      </c>
      <c r="N982" s="3" t="str">
        <f t="shared" ca="1" si="214"/>
        <v xml:space="preserve">3 Tahun 7 bulan </v>
      </c>
      <c r="O982" s="56" t="s">
        <v>2671</v>
      </c>
      <c r="P982" s="4" t="s">
        <v>35</v>
      </c>
      <c r="Q982" s="4" t="str">
        <f t="shared" si="219"/>
        <v>Laki-Laki</v>
      </c>
      <c r="R982" s="4">
        <f t="shared" si="222"/>
        <v>1</v>
      </c>
      <c r="S982" s="4" t="str">
        <f t="shared" si="223"/>
        <v>1</v>
      </c>
      <c r="T982" s="4">
        <f t="shared" si="213"/>
        <v>0</v>
      </c>
      <c r="U982" s="29"/>
      <c r="V982" s="30" t="s">
        <v>50</v>
      </c>
      <c r="W982" s="30"/>
      <c r="X982" s="30"/>
      <c r="Y982" s="30"/>
      <c r="Z982" s="30"/>
      <c r="AA982" s="30"/>
      <c r="AB982" s="29"/>
      <c r="AC982" s="29"/>
      <c r="AD982" s="37">
        <f t="shared" si="220"/>
        <v>29000</v>
      </c>
      <c r="AE982" s="3" t="str">
        <f t="shared" ca="1" si="218"/>
        <v>47 Tahun 3 bulan 7 Hari</v>
      </c>
      <c r="AF982" s="38">
        <f t="shared" si="221"/>
        <v>50922</v>
      </c>
      <c r="AG982" s="7"/>
    </row>
    <row r="983" spans="1:33" ht="27" customHeight="1" x14ac:dyDescent="0.35">
      <c r="A983" s="26">
        <v>915</v>
      </c>
      <c r="B983" s="139" t="s">
        <v>2665</v>
      </c>
      <c r="C983" s="293" t="s">
        <v>2675</v>
      </c>
      <c r="D983" s="294"/>
      <c r="E983" s="24" t="s">
        <v>108</v>
      </c>
      <c r="F983" s="24"/>
      <c r="G983" s="3"/>
      <c r="H983" s="69"/>
      <c r="I983" s="25"/>
      <c r="J983" s="125"/>
      <c r="K983" s="3" t="str">
        <f t="shared" ca="1" si="217"/>
        <v/>
      </c>
      <c r="L983" s="4" t="s">
        <v>2452</v>
      </c>
      <c r="M983" s="125"/>
      <c r="N983" s="3" t="str">
        <f t="shared" ca="1" si="214"/>
        <v/>
      </c>
      <c r="O983" s="56"/>
      <c r="P983" s="4"/>
      <c r="Q983" s="4" t="str">
        <f t="shared" si="219"/>
        <v/>
      </c>
      <c r="R983" s="4">
        <f t="shared" si="222"/>
        <v>1</v>
      </c>
      <c r="S983" s="4" t="str">
        <f t="shared" si="223"/>
        <v>0</v>
      </c>
      <c r="T983" s="4">
        <f t="shared" si="213"/>
        <v>1</v>
      </c>
      <c r="U983" s="29"/>
      <c r="V983" s="30"/>
      <c r="W983" s="30"/>
      <c r="X983" s="30"/>
      <c r="Y983" s="30"/>
      <c r="Z983" s="30"/>
      <c r="AA983" s="30"/>
      <c r="AB983" s="29"/>
      <c r="AC983" s="29"/>
      <c r="AD983" s="37" t="str">
        <f t="shared" si="220"/>
        <v/>
      </c>
      <c r="AE983" s="3" t="str">
        <f t="shared" ca="1" si="218"/>
        <v/>
      </c>
      <c r="AF983" s="38" t="str">
        <f t="shared" si="221"/>
        <v/>
      </c>
      <c r="AG983" s="7"/>
    </row>
    <row r="984" spans="1:33" ht="27" customHeight="1" x14ac:dyDescent="0.35">
      <c r="A984" s="26">
        <v>916</v>
      </c>
      <c r="B984" s="139" t="s">
        <v>2665</v>
      </c>
      <c r="C984" s="293" t="s">
        <v>2676</v>
      </c>
      <c r="D984" s="294"/>
      <c r="E984" s="24" t="s">
        <v>108</v>
      </c>
      <c r="F984" s="24"/>
      <c r="G984" s="56"/>
      <c r="H984" s="135"/>
      <c r="I984" s="25"/>
      <c r="J984" s="125"/>
      <c r="K984" s="3" t="str">
        <f t="shared" ca="1" si="217"/>
        <v/>
      </c>
      <c r="L984" s="4" t="s">
        <v>2452</v>
      </c>
      <c r="M984" s="125"/>
      <c r="N984" s="3" t="str">
        <f t="shared" ca="1" si="214"/>
        <v/>
      </c>
      <c r="O984" s="56"/>
      <c r="P984" s="4"/>
      <c r="Q984" s="4" t="str">
        <f t="shared" si="219"/>
        <v/>
      </c>
      <c r="R984" s="4">
        <f t="shared" si="222"/>
        <v>1</v>
      </c>
      <c r="S984" s="4" t="str">
        <f t="shared" si="223"/>
        <v>0</v>
      </c>
      <c r="T984" s="4">
        <f t="shared" si="213"/>
        <v>1</v>
      </c>
      <c r="U984" s="29"/>
      <c r="V984" s="30"/>
      <c r="W984" s="30"/>
      <c r="X984" s="30"/>
      <c r="Y984" s="30"/>
      <c r="Z984" s="30"/>
      <c r="AA984" s="30"/>
      <c r="AB984" s="29"/>
      <c r="AC984" s="29"/>
      <c r="AD984" s="37" t="str">
        <f t="shared" si="220"/>
        <v/>
      </c>
      <c r="AE984" s="3" t="str">
        <f t="shared" ca="1" si="218"/>
        <v/>
      </c>
      <c r="AF984" s="38" t="str">
        <f t="shared" si="221"/>
        <v/>
      </c>
      <c r="AG984" s="7"/>
    </row>
    <row r="985" spans="1:33" ht="27" customHeight="1" x14ac:dyDescent="0.35">
      <c r="A985" s="26">
        <v>917</v>
      </c>
      <c r="B985" s="139" t="s">
        <v>2665</v>
      </c>
      <c r="C985" s="293" t="s">
        <v>2677</v>
      </c>
      <c r="D985" s="294"/>
      <c r="E985" s="24" t="s">
        <v>108</v>
      </c>
      <c r="F985" s="24"/>
      <c r="G985" s="70"/>
      <c r="H985" s="135"/>
      <c r="I985" s="25"/>
      <c r="J985" s="125"/>
      <c r="K985" s="3" t="str">
        <f t="shared" ca="1" si="217"/>
        <v/>
      </c>
      <c r="L985" s="4" t="s">
        <v>2452</v>
      </c>
      <c r="M985" s="125"/>
      <c r="N985" s="3" t="str">
        <f t="shared" ca="1" si="214"/>
        <v/>
      </c>
      <c r="O985" s="56"/>
      <c r="P985" s="4"/>
      <c r="Q985" s="4" t="str">
        <f t="shared" si="219"/>
        <v/>
      </c>
      <c r="R985" s="4">
        <f t="shared" si="222"/>
        <v>1</v>
      </c>
      <c r="S985" s="4" t="str">
        <f t="shared" si="223"/>
        <v>0</v>
      </c>
      <c r="T985" s="4">
        <f t="shared" si="213"/>
        <v>1</v>
      </c>
      <c r="U985" s="29"/>
      <c r="V985" s="30"/>
      <c r="W985" s="30"/>
      <c r="X985" s="30"/>
      <c r="Y985" s="30"/>
      <c r="Z985" s="30"/>
      <c r="AA985" s="30"/>
      <c r="AB985" s="29"/>
      <c r="AC985" s="29"/>
      <c r="AD985" s="37" t="str">
        <f t="shared" si="220"/>
        <v/>
      </c>
      <c r="AE985" s="3" t="str">
        <f t="shared" ca="1" si="218"/>
        <v/>
      </c>
      <c r="AF985" s="38" t="str">
        <f t="shared" si="221"/>
        <v/>
      </c>
      <c r="AG985" s="7"/>
    </row>
    <row r="986" spans="1:33" ht="27" customHeight="1" x14ac:dyDescent="0.35">
      <c r="A986" s="26">
        <v>918</v>
      </c>
      <c r="B986" s="139" t="s">
        <v>2665</v>
      </c>
      <c r="C986" s="293" t="s">
        <v>2678</v>
      </c>
      <c r="D986" s="294"/>
      <c r="E986" s="24" t="s">
        <v>108</v>
      </c>
      <c r="F986" s="24"/>
      <c r="G986" s="70"/>
      <c r="H986" s="135"/>
      <c r="I986" s="25"/>
      <c r="J986" s="125"/>
      <c r="K986" s="3" t="str">
        <f t="shared" ca="1" si="217"/>
        <v/>
      </c>
      <c r="L986" s="4" t="s">
        <v>2452</v>
      </c>
      <c r="M986" s="125"/>
      <c r="N986" s="3" t="str">
        <f t="shared" ca="1" si="214"/>
        <v/>
      </c>
      <c r="O986" s="56"/>
      <c r="P986" s="4"/>
      <c r="Q986" s="4" t="str">
        <f t="shared" si="219"/>
        <v/>
      </c>
      <c r="R986" s="4">
        <f t="shared" si="222"/>
        <v>1</v>
      </c>
      <c r="S986" s="4" t="str">
        <f t="shared" si="223"/>
        <v>0</v>
      </c>
      <c r="T986" s="4">
        <f t="shared" si="213"/>
        <v>1</v>
      </c>
      <c r="U986" s="29"/>
      <c r="V986" s="30"/>
      <c r="W986" s="30"/>
      <c r="X986" s="30"/>
      <c r="Y986" s="30"/>
      <c r="Z986" s="30"/>
      <c r="AA986" s="30"/>
      <c r="AB986" s="29"/>
      <c r="AC986" s="29"/>
      <c r="AD986" s="37" t="str">
        <f t="shared" si="220"/>
        <v/>
      </c>
      <c r="AE986" s="3" t="str">
        <f t="shared" ca="1" si="218"/>
        <v/>
      </c>
      <c r="AF986" s="38" t="str">
        <f t="shared" si="221"/>
        <v/>
      </c>
      <c r="AG986" s="7"/>
    </row>
    <row r="987" spans="1:33" ht="27" customHeight="1" x14ac:dyDescent="0.35">
      <c r="A987" s="26">
        <v>919</v>
      </c>
      <c r="B987" s="139" t="s">
        <v>2665</v>
      </c>
      <c r="C987" s="293" t="s">
        <v>2679</v>
      </c>
      <c r="D987" s="294"/>
      <c r="E987" s="24" t="s">
        <v>108</v>
      </c>
      <c r="F987" s="24"/>
      <c r="G987" s="141"/>
      <c r="H987" s="135"/>
      <c r="I987" s="25"/>
      <c r="J987" s="125"/>
      <c r="K987" s="3" t="str">
        <f t="shared" ca="1" si="217"/>
        <v/>
      </c>
      <c r="L987" s="4" t="s">
        <v>2452</v>
      </c>
      <c r="M987" s="125"/>
      <c r="N987" s="3" t="str">
        <f t="shared" ca="1" si="214"/>
        <v/>
      </c>
      <c r="O987" s="56"/>
      <c r="P987" s="4"/>
      <c r="Q987" s="4" t="str">
        <f t="shared" si="219"/>
        <v/>
      </c>
      <c r="R987" s="4">
        <f t="shared" si="222"/>
        <v>1</v>
      </c>
      <c r="S987" s="4" t="str">
        <f t="shared" si="223"/>
        <v>0</v>
      </c>
      <c r="T987" s="4">
        <f t="shared" si="213"/>
        <v>1</v>
      </c>
      <c r="U987" s="29"/>
      <c r="V987" s="30"/>
      <c r="W987" s="30"/>
      <c r="X987" s="30"/>
      <c r="Y987" s="30"/>
      <c r="Z987" s="30"/>
      <c r="AA987" s="30"/>
      <c r="AB987" s="29"/>
      <c r="AC987" s="29"/>
      <c r="AD987" s="37" t="str">
        <f t="shared" si="220"/>
        <v/>
      </c>
      <c r="AE987" s="3" t="str">
        <f t="shared" ca="1" si="218"/>
        <v/>
      </c>
      <c r="AF987" s="38" t="str">
        <f t="shared" si="221"/>
        <v/>
      </c>
      <c r="AG987" s="7"/>
    </row>
    <row r="988" spans="1:33" ht="27" customHeight="1" x14ac:dyDescent="0.35">
      <c r="A988" s="26">
        <v>920</v>
      </c>
      <c r="B988" s="139" t="s">
        <v>2665</v>
      </c>
      <c r="C988" s="293" t="s">
        <v>2680</v>
      </c>
      <c r="D988" s="294"/>
      <c r="E988" s="71" t="s">
        <v>490</v>
      </c>
      <c r="F988" s="71" t="s">
        <v>43</v>
      </c>
      <c r="G988" s="70" t="s">
        <v>491</v>
      </c>
      <c r="H988" s="135" t="s">
        <v>542</v>
      </c>
      <c r="I988" s="25" t="s">
        <v>86</v>
      </c>
      <c r="J988" s="110" t="s">
        <v>2670</v>
      </c>
      <c r="K988" s="3" t="str">
        <f t="shared" ca="1" si="217"/>
        <v xml:space="preserve">3 Tahun 0 bulan </v>
      </c>
      <c r="L988" s="4" t="s">
        <v>2452</v>
      </c>
      <c r="M988" s="110" t="s">
        <v>2670</v>
      </c>
      <c r="N988" s="3" t="str">
        <f t="shared" ca="1" si="214"/>
        <v xml:space="preserve">3 Tahun 0 bulan </v>
      </c>
      <c r="O988" s="56" t="s">
        <v>2671</v>
      </c>
      <c r="P988" s="4" t="s">
        <v>35</v>
      </c>
      <c r="Q988" s="4" t="str">
        <f t="shared" si="219"/>
        <v>Laki-Laki</v>
      </c>
      <c r="R988" s="4">
        <f t="shared" si="222"/>
        <v>1</v>
      </c>
      <c r="S988" s="4" t="str">
        <f t="shared" si="223"/>
        <v>1</v>
      </c>
      <c r="T988" s="4">
        <f t="shared" si="213"/>
        <v>0</v>
      </c>
      <c r="U988" s="29"/>
      <c r="V988" s="30" t="s">
        <v>50</v>
      </c>
      <c r="W988" s="30"/>
      <c r="X988" s="30"/>
      <c r="Y988" s="30"/>
      <c r="Z988" s="30"/>
      <c r="AA988" s="30"/>
      <c r="AB988" s="29"/>
      <c r="AC988" s="29"/>
      <c r="AD988" s="37">
        <f t="shared" si="220"/>
        <v>28321</v>
      </c>
      <c r="AE988" s="3" t="str">
        <f t="shared" ca="1" si="218"/>
        <v>49 Tahun 1 bulan 17 Hari</v>
      </c>
      <c r="AF988" s="38">
        <f t="shared" si="221"/>
        <v>50253</v>
      </c>
      <c r="AG988" s="7"/>
    </row>
    <row r="989" spans="1:33" ht="30" customHeight="1" x14ac:dyDescent="0.35">
      <c r="A989" s="26">
        <v>921</v>
      </c>
      <c r="B989" s="139" t="s">
        <v>2665</v>
      </c>
      <c r="C989" s="293" t="s">
        <v>2681</v>
      </c>
      <c r="D989" s="294"/>
      <c r="E989" s="71" t="s">
        <v>2682</v>
      </c>
      <c r="F989" s="71"/>
      <c r="G989" s="70" t="s">
        <v>2683</v>
      </c>
      <c r="H989" s="4" t="s">
        <v>345</v>
      </c>
      <c r="I989" s="25" t="s">
        <v>1814</v>
      </c>
      <c r="J989" s="110" t="s">
        <v>2490</v>
      </c>
      <c r="K989" s="3" t="str">
        <f t="shared" ca="1" si="217"/>
        <v xml:space="preserve">8 Tahun 4 bulan </v>
      </c>
      <c r="L989" s="4" t="s">
        <v>2452</v>
      </c>
      <c r="M989" s="110" t="s">
        <v>2490</v>
      </c>
      <c r="N989" s="3" t="str">
        <f t="shared" ca="1" si="214"/>
        <v xml:space="preserve">8 Tahun 4 bulan </v>
      </c>
      <c r="O989" s="56" t="s">
        <v>2671</v>
      </c>
      <c r="P989" s="4" t="s">
        <v>35</v>
      </c>
      <c r="Q989" s="4" t="str">
        <f t="shared" si="219"/>
        <v>Laki-Laki</v>
      </c>
      <c r="R989" s="4">
        <f t="shared" si="222"/>
        <v>1</v>
      </c>
      <c r="S989" s="4" t="str">
        <f t="shared" si="223"/>
        <v>1</v>
      </c>
      <c r="T989" s="4">
        <f t="shared" si="213"/>
        <v>0</v>
      </c>
      <c r="U989" s="29"/>
      <c r="V989" s="30" t="s">
        <v>50</v>
      </c>
      <c r="W989" s="30"/>
      <c r="X989" s="30"/>
      <c r="Y989" s="30"/>
      <c r="Z989" s="30"/>
      <c r="AA989" s="30"/>
      <c r="AB989" s="29"/>
      <c r="AC989" s="29"/>
      <c r="AD989" s="37">
        <f t="shared" si="220"/>
        <v>25297</v>
      </c>
      <c r="AE989" s="3" t="str">
        <f t="shared" ca="1" si="218"/>
        <v>57 Tahun 4 bulan 28 Hari</v>
      </c>
      <c r="AF989" s="38">
        <f t="shared" si="221"/>
        <v>47239</v>
      </c>
      <c r="AG989" s="7"/>
    </row>
    <row r="990" spans="1:33" ht="30" customHeight="1" x14ac:dyDescent="0.35">
      <c r="A990" s="26">
        <v>922</v>
      </c>
      <c r="B990" s="139" t="s">
        <v>2665</v>
      </c>
      <c r="C990" s="293" t="s">
        <v>2684</v>
      </c>
      <c r="D990" s="294"/>
      <c r="E990" s="24" t="s">
        <v>2685</v>
      </c>
      <c r="F990" s="24"/>
      <c r="G990" s="43" t="s">
        <v>2686</v>
      </c>
      <c r="H990" s="135" t="s">
        <v>687</v>
      </c>
      <c r="I990" s="25" t="s">
        <v>1814</v>
      </c>
      <c r="J990" s="110" t="s">
        <v>2670</v>
      </c>
      <c r="K990" s="3" t="str">
        <f t="shared" ca="1" si="217"/>
        <v xml:space="preserve">3 Tahun 0 bulan </v>
      </c>
      <c r="L990" s="4" t="s">
        <v>2452</v>
      </c>
      <c r="M990" s="110" t="s">
        <v>2670</v>
      </c>
      <c r="N990" s="3" t="str">
        <f t="shared" ca="1" si="214"/>
        <v xml:space="preserve">3 Tahun 0 bulan </v>
      </c>
      <c r="O990" s="56" t="s">
        <v>2687</v>
      </c>
      <c r="P990" s="4" t="s">
        <v>506</v>
      </c>
      <c r="Q990" s="4" t="str">
        <f t="shared" si="219"/>
        <v>Laki-Laki</v>
      </c>
      <c r="R990" s="4">
        <f t="shared" si="222"/>
        <v>1</v>
      </c>
      <c r="S990" s="4" t="str">
        <f t="shared" si="223"/>
        <v>1</v>
      </c>
      <c r="T990" s="4">
        <f t="shared" si="213"/>
        <v>0</v>
      </c>
      <c r="U990" s="29"/>
      <c r="V990" s="30" t="s">
        <v>50</v>
      </c>
      <c r="W990" s="30"/>
      <c r="X990" s="30"/>
      <c r="Y990" s="30"/>
      <c r="Z990" s="30"/>
      <c r="AA990" s="30"/>
      <c r="AB990" s="29"/>
      <c r="AC990" s="29"/>
      <c r="AD990" s="37">
        <f t="shared" si="220"/>
        <v>26899</v>
      </c>
      <c r="AE990" s="3" t="str">
        <f t="shared" ca="1" si="218"/>
        <v>53 Tahun 0 bulan 9 Hari</v>
      </c>
      <c r="AF990" s="38">
        <f t="shared" si="221"/>
        <v>48823</v>
      </c>
      <c r="AG990" s="7"/>
    </row>
    <row r="991" spans="1:33" ht="30" customHeight="1" x14ac:dyDescent="0.35">
      <c r="A991" s="26">
        <v>923</v>
      </c>
      <c r="B991" s="139" t="s">
        <v>2665</v>
      </c>
      <c r="C991" s="293" t="s">
        <v>2688</v>
      </c>
      <c r="D991" s="294"/>
      <c r="E991" s="220" t="s">
        <v>2689</v>
      </c>
      <c r="F991" s="24"/>
      <c r="G991" s="3" t="s">
        <v>2690</v>
      </c>
      <c r="H991" s="69" t="s">
        <v>598</v>
      </c>
      <c r="I991" s="25" t="s">
        <v>1814</v>
      </c>
      <c r="J991" s="110" t="s">
        <v>2691</v>
      </c>
      <c r="K991" s="3" t="str">
        <f t="shared" ca="1" si="217"/>
        <v xml:space="preserve">7 Tahun 1 bulan </v>
      </c>
      <c r="L991" s="4" t="s">
        <v>2452</v>
      </c>
      <c r="M991" s="110" t="s">
        <v>2691</v>
      </c>
      <c r="N991" s="3" t="str">
        <f t="shared" ca="1" si="214"/>
        <v xml:space="preserve">7 Tahun 1 bulan </v>
      </c>
      <c r="O991" s="56" t="s">
        <v>2692</v>
      </c>
      <c r="P991" s="4" t="s">
        <v>35</v>
      </c>
      <c r="Q991" s="4" t="str">
        <f t="shared" si="219"/>
        <v>Laki-Laki</v>
      </c>
      <c r="R991" s="4">
        <f t="shared" si="222"/>
        <v>1</v>
      </c>
      <c r="S991" s="4" t="str">
        <f t="shared" si="223"/>
        <v>1</v>
      </c>
      <c r="T991" s="4">
        <f t="shared" si="213"/>
        <v>0</v>
      </c>
      <c r="U991" s="29"/>
      <c r="V991" s="30" t="s">
        <v>50</v>
      </c>
      <c r="W991" s="30"/>
      <c r="X991" s="30"/>
      <c r="Y991" s="30"/>
      <c r="Z991" s="30"/>
      <c r="AA991" s="30"/>
      <c r="AB991" s="29"/>
      <c r="AC991" s="29"/>
      <c r="AD991" s="37">
        <f t="shared" si="220"/>
        <v>25094</v>
      </c>
      <c r="AE991" s="3" t="str">
        <f t="shared" ca="1" si="218"/>
        <v>57 Tahun 11 bulan 19 Hari</v>
      </c>
      <c r="AF991" s="38">
        <f t="shared" si="221"/>
        <v>47027</v>
      </c>
      <c r="AG991" s="11" t="s">
        <v>3148</v>
      </c>
    </row>
    <row r="992" spans="1:33" ht="30" customHeight="1" x14ac:dyDescent="0.35">
      <c r="A992" s="26">
        <v>924</v>
      </c>
      <c r="B992" s="139" t="s">
        <v>2665</v>
      </c>
      <c r="C992" s="293" t="s">
        <v>2693</v>
      </c>
      <c r="D992" s="294"/>
      <c r="E992" s="24" t="s">
        <v>2694</v>
      </c>
      <c r="F992" s="24"/>
      <c r="G992" s="70" t="s">
        <v>2695</v>
      </c>
      <c r="H992" s="135" t="s">
        <v>687</v>
      </c>
      <c r="I992" s="25" t="s">
        <v>107</v>
      </c>
      <c r="J992" s="110" t="s">
        <v>2670</v>
      </c>
      <c r="K992" s="3" t="str">
        <f t="shared" ca="1" si="217"/>
        <v xml:space="preserve">3 Tahun 0 bulan </v>
      </c>
      <c r="L992" s="4" t="s">
        <v>2452</v>
      </c>
      <c r="M992" s="110" t="s">
        <v>2670</v>
      </c>
      <c r="N992" s="3" t="str">
        <f t="shared" ca="1" si="214"/>
        <v xml:space="preserve">3 Tahun 0 bulan </v>
      </c>
      <c r="O992" s="56" t="s">
        <v>2671</v>
      </c>
      <c r="P992" s="4" t="s">
        <v>35</v>
      </c>
      <c r="Q992" s="4" t="str">
        <f t="shared" si="219"/>
        <v>Laki-Laki</v>
      </c>
      <c r="R992" s="4">
        <f t="shared" si="222"/>
        <v>1</v>
      </c>
      <c r="S992" s="4" t="str">
        <f t="shared" si="223"/>
        <v>1</v>
      </c>
      <c r="T992" s="4">
        <f t="shared" ref="T992:T1005" si="224">R992-S992</f>
        <v>0</v>
      </c>
      <c r="U992" s="29"/>
      <c r="V992" s="30" t="s">
        <v>50</v>
      </c>
      <c r="W992" s="30"/>
      <c r="X992" s="30"/>
      <c r="Y992" s="30"/>
      <c r="Z992" s="30"/>
      <c r="AA992" s="30"/>
      <c r="AB992" s="29"/>
      <c r="AC992" s="29"/>
      <c r="AD992" s="37">
        <f t="shared" si="220"/>
        <v>27944</v>
      </c>
      <c r="AE992" s="3" t="str">
        <f t="shared" ca="1" si="218"/>
        <v>50 Tahun 1 bulan 29 Hari</v>
      </c>
      <c r="AF992" s="38">
        <f t="shared" si="221"/>
        <v>49888</v>
      </c>
      <c r="AG992" s="7"/>
    </row>
    <row r="993" spans="1:32" s="7" customFormat="1" ht="30" customHeight="1" x14ac:dyDescent="0.35">
      <c r="A993" s="26">
        <v>925</v>
      </c>
      <c r="B993" s="139" t="s">
        <v>2665</v>
      </c>
      <c r="C993" s="293" t="s">
        <v>2696</v>
      </c>
      <c r="D993" s="294"/>
      <c r="E993" s="71" t="s">
        <v>2697</v>
      </c>
      <c r="F993" s="71"/>
      <c r="G993" s="43" t="s">
        <v>2698</v>
      </c>
      <c r="H993" s="135" t="s">
        <v>2699</v>
      </c>
      <c r="I993" s="25" t="s">
        <v>362</v>
      </c>
      <c r="J993" s="110" t="s">
        <v>2377</v>
      </c>
      <c r="K993" s="3" t="str">
        <f t="shared" ca="1" si="217"/>
        <v xml:space="preserve">3 Tahun 7 bulan </v>
      </c>
      <c r="L993" s="4" t="s">
        <v>2452</v>
      </c>
      <c r="M993" s="110" t="s">
        <v>2377</v>
      </c>
      <c r="N993" s="3" t="str">
        <f t="shared" ca="1" si="214"/>
        <v xml:space="preserve">3 Tahun 7 bulan </v>
      </c>
      <c r="O993" s="56" t="s">
        <v>2671</v>
      </c>
      <c r="P993" s="4" t="s">
        <v>35</v>
      </c>
      <c r="Q993" s="4" t="str">
        <f t="shared" si="219"/>
        <v>Perempuan</v>
      </c>
      <c r="R993" s="4">
        <f t="shared" si="222"/>
        <v>1</v>
      </c>
      <c r="S993" s="4" t="str">
        <f t="shared" si="223"/>
        <v>1</v>
      </c>
      <c r="T993" s="4">
        <f t="shared" si="224"/>
        <v>0</v>
      </c>
      <c r="U993" s="29"/>
      <c r="V993" s="30"/>
      <c r="W993" s="30"/>
      <c r="X993" s="30"/>
      <c r="Y993" s="30"/>
      <c r="Z993" s="30"/>
      <c r="AA993" s="30"/>
      <c r="AB993" s="29"/>
      <c r="AC993" s="29"/>
      <c r="AD993" s="37">
        <f t="shared" si="220"/>
        <v>29079</v>
      </c>
      <c r="AE993" s="3" t="str">
        <f t="shared" ca="1" si="218"/>
        <v>47 Tahun 0 bulan 20 Hari</v>
      </c>
      <c r="AF993" s="38">
        <f t="shared" si="221"/>
        <v>51014</v>
      </c>
    </row>
    <row r="994" spans="1:32" s="7" customFormat="1" ht="30" customHeight="1" x14ac:dyDescent="0.35">
      <c r="A994" s="26">
        <v>926</v>
      </c>
      <c r="B994" s="139" t="s">
        <v>2665</v>
      </c>
      <c r="C994" s="293" t="s">
        <v>2700</v>
      </c>
      <c r="D994" s="294"/>
      <c r="E994" s="42" t="s">
        <v>2701</v>
      </c>
      <c r="F994" s="42"/>
      <c r="G994" s="141" t="s">
        <v>2702</v>
      </c>
      <c r="H994" s="135" t="s">
        <v>1586</v>
      </c>
      <c r="I994" s="25" t="s">
        <v>2058</v>
      </c>
      <c r="J994" s="110" t="s">
        <v>2670</v>
      </c>
      <c r="K994" s="3" t="str">
        <f t="shared" ca="1" si="217"/>
        <v xml:space="preserve">3 Tahun 0 bulan </v>
      </c>
      <c r="L994" s="4" t="s">
        <v>2452</v>
      </c>
      <c r="M994" s="110" t="s">
        <v>2670</v>
      </c>
      <c r="N994" s="3" t="str">
        <f t="shared" ca="1" si="214"/>
        <v xml:space="preserve">3 Tahun 0 bulan </v>
      </c>
      <c r="O994" s="56" t="s">
        <v>2671</v>
      </c>
      <c r="P994" s="4" t="s">
        <v>35</v>
      </c>
      <c r="Q994" s="4" t="str">
        <f t="shared" si="219"/>
        <v>Laki-Laki</v>
      </c>
      <c r="R994" s="4">
        <f t="shared" si="222"/>
        <v>1</v>
      </c>
      <c r="S994" s="4" t="str">
        <f t="shared" si="223"/>
        <v>1</v>
      </c>
      <c r="T994" s="4">
        <f t="shared" si="224"/>
        <v>0</v>
      </c>
      <c r="U994" s="29"/>
      <c r="V994" s="30" t="s">
        <v>50</v>
      </c>
      <c r="W994" s="30"/>
      <c r="X994" s="30"/>
      <c r="Y994" s="30"/>
      <c r="Z994" s="30"/>
      <c r="AA994" s="30"/>
      <c r="AB994" s="29"/>
      <c r="AC994" s="29"/>
      <c r="AD994" s="37">
        <f t="shared" si="220"/>
        <v>25970</v>
      </c>
      <c r="AE994" s="3" t="str">
        <f t="shared" ca="1" si="218"/>
        <v>55 Tahun 6 bulan 26 Hari</v>
      </c>
      <c r="AF994" s="38">
        <f t="shared" si="221"/>
        <v>47908</v>
      </c>
    </row>
    <row r="995" spans="1:32" s="7" customFormat="1" ht="30" customHeight="1" x14ac:dyDescent="0.35">
      <c r="A995" s="26">
        <v>927</v>
      </c>
      <c r="B995" s="32" t="s">
        <v>2665</v>
      </c>
      <c r="C995" s="299" t="s">
        <v>2703</v>
      </c>
      <c r="D995" s="300"/>
      <c r="E995" s="71" t="s">
        <v>108</v>
      </c>
      <c r="F995" s="71"/>
      <c r="G995" s="70"/>
      <c r="H995" s="135"/>
      <c r="I995" s="25"/>
      <c r="J995" s="125"/>
      <c r="K995" s="3" t="str">
        <f t="shared" ca="1" si="217"/>
        <v/>
      </c>
      <c r="L995" s="4" t="s">
        <v>2452</v>
      </c>
      <c r="M995" s="125"/>
      <c r="N995" s="3" t="str">
        <f t="shared" ca="1" si="214"/>
        <v/>
      </c>
      <c r="O995" s="56" t="s">
        <v>2704</v>
      </c>
      <c r="P995" s="4" t="s">
        <v>35</v>
      </c>
      <c r="Q995" s="4" t="str">
        <f t="shared" si="219"/>
        <v/>
      </c>
      <c r="R995" s="4">
        <f t="shared" si="222"/>
        <v>1</v>
      </c>
      <c r="S995" s="4" t="str">
        <f t="shared" si="223"/>
        <v>0</v>
      </c>
      <c r="T995" s="4">
        <f t="shared" si="224"/>
        <v>1</v>
      </c>
      <c r="U995" s="29"/>
      <c r="V995" s="30" t="s">
        <v>50</v>
      </c>
      <c r="W995" s="30"/>
      <c r="X995" s="30"/>
      <c r="Y995" s="30"/>
      <c r="Z995" s="30"/>
      <c r="AA995" s="30"/>
      <c r="AB995" s="29"/>
      <c r="AC995" s="29"/>
      <c r="AD995" s="37" t="str">
        <f t="shared" si="220"/>
        <v/>
      </c>
      <c r="AE995" s="3" t="str">
        <f t="shared" ca="1" si="218"/>
        <v/>
      </c>
      <c r="AF995" s="38" t="str">
        <f t="shared" si="221"/>
        <v/>
      </c>
    </row>
    <row r="996" spans="1:32" s="7" customFormat="1" ht="27" customHeight="1" x14ac:dyDescent="0.35">
      <c r="A996" s="26">
        <v>928</v>
      </c>
      <c r="B996" s="32" t="s">
        <v>2665</v>
      </c>
      <c r="C996" s="299" t="s">
        <v>2705</v>
      </c>
      <c r="D996" s="300"/>
      <c r="E996" s="71" t="s">
        <v>2706</v>
      </c>
      <c r="F996" s="71"/>
      <c r="G996" s="70" t="s">
        <v>2707</v>
      </c>
      <c r="H996" s="135" t="s">
        <v>414</v>
      </c>
      <c r="I996" s="25" t="s">
        <v>184</v>
      </c>
      <c r="J996" s="110" t="s">
        <v>2670</v>
      </c>
      <c r="K996" s="3" t="str">
        <f t="shared" ca="1" si="217"/>
        <v xml:space="preserve">3 Tahun 0 bulan </v>
      </c>
      <c r="L996" s="4" t="s">
        <v>2452</v>
      </c>
      <c r="M996" s="110" t="s">
        <v>2670</v>
      </c>
      <c r="N996" s="3" t="str">
        <f t="shared" ca="1" si="214"/>
        <v xml:space="preserve">3 Tahun 0 bulan </v>
      </c>
      <c r="O996" s="56" t="s">
        <v>2671</v>
      </c>
      <c r="P996" s="4" t="s">
        <v>35</v>
      </c>
      <c r="Q996" s="4" t="str">
        <f t="shared" si="219"/>
        <v>Laki-Laki</v>
      </c>
      <c r="R996" s="4">
        <f t="shared" si="222"/>
        <v>1</v>
      </c>
      <c r="S996" s="4" t="str">
        <f t="shared" si="223"/>
        <v>1</v>
      </c>
      <c r="T996" s="4">
        <f t="shared" si="224"/>
        <v>0</v>
      </c>
      <c r="U996" s="29"/>
      <c r="V996" s="30" t="s">
        <v>50</v>
      </c>
      <c r="W996" s="30"/>
      <c r="X996" s="30"/>
      <c r="Y996" s="30"/>
      <c r="Z996" s="30"/>
      <c r="AA996" s="30"/>
      <c r="AB996" s="29"/>
      <c r="AC996" s="29"/>
      <c r="AD996" s="37">
        <f t="shared" si="220"/>
        <v>28995</v>
      </c>
      <c r="AE996" s="3" t="str">
        <f t="shared" ca="1" si="218"/>
        <v>47 Tahun 3 bulan 12 Hari</v>
      </c>
      <c r="AF996" s="38">
        <f t="shared" si="221"/>
        <v>50922</v>
      </c>
    </row>
    <row r="997" spans="1:32" s="7" customFormat="1" ht="27" customHeight="1" x14ac:dyDescent="0.35">
      <c r="A997" s="26">
        <v>929</v>
      </c>
      <c r="B997" s="139" t="s">
        <v>2665</v>
      </c>
      <c r="C997" s="293" t="s">
        <v>2708</v>
      </c>
      <c r="D997" s="294"/>
      <c r="E997" s="42" t="s">
        <v>2709</v>
      </c>
      <c r="F997" s="42"/>
      <c r="G997" s="141" t="s">
        <v>2710</v>
      </c>
      <c r="H997" s="135" t="s">
        <v>598</v>
      </c>
      <c r="I997" s="25" t="s">
        <v>1814</v>
      </c>
      <c r="J997" s="110" t="s">
        <v>2377</v>
      </c>
      <c r="K997" s="3" t="str">
        <f t="shared" ca="1" si="217"/>
        <v xml:space="preserve">3 Tahun 7 bulan </v>
      </c>
      <c r="L997" s="4" t="s">
        <v>2452</v>
      </c>
      <c r="M997" s="110" t="s">
        <v>2377</v>
      </c>
      <c r="N997" s="3" t="str">
        <f t="shared" ca="1" si="214"/>
        <v xml:space="preserve">3 Tahun 7 bulan </v>
      </c>
      <c r="O997" s="56" t="s">
        <v>2687</v>
      </c>
      <c r="P997" s="4" t="s">
        <v>35</v>
      </c>
      <c r="Q997" s="4" t="str">
        <f t="shared" si="219"/>
        <v>Laki-Laki</v>
      </c>
      <c r="R997" s="4">
        <f t="shared" si="222"/>
        <v>1</v>
      </c>
      <c r="S997" s="4" t="str">
        <f t="shared" si="223"/>
        <v>1</v>
      </c>
      <c r="T997" s="4">
        <f t="shared" si="224"/>
        <v>0</v>
      </c>
      <c r="U997" s="29"/>
      <c r="V997" s="30" t="s">
        <v>50</v>
      </c>
      <c r="W997" s="30"/>
      <c r="X997" s="30"/>
      <c r="Y997" s="30"/>
      <c r="Z997" s="30"/>
      <c r="AA997" s="30"/>
      <c r="AB997" s="29"/>
      <c r="AC997" s="29"/>
      <c r="AD997" s="37">
        <f t="shared" si="220"/>
        <v>25399</v>
      </c>
      <c r="AE997" s="3" t="str">
        <f t="shared" ca="1" si="218"/>
        <v>57 Tahun 1 bulan 17 Hari</v>
      </c>
      <c r="AF997" s="38">
        <f t="shared" si="221"/>
        <v>47331</v>
      </c>
    </row>
    <row r="998" spans="1:32" s="7" customFormat="1" ht="27" customHeight="1" x14ac:dyDescent="0.35">
      <c r="A998" s="26">
        <v>930</v>
      </c>
      <c r="B998" s="4" t="s">
        <v>2665</v>
      </c>
      <c r="C998" s="301" t="s">
        <v>2711</v>
      </c>
      <c r="D998" s="301"/>
      <c r="E998" s="24" t="s">
        <v>108</v>
      </c>
      <c r="F998" s="24"/>
      <c r="G998" s="43"/>
      <c r="H998" s="135"/>
      <c r="I998" s="25"/>
      <c r="J998" s="125"/>
      <c r="K998" s="3" t="str">
        <f t="shared" ca="1" si="217"/>
        <v/>
      </c>
      <c r="L998" s="4" t="s">
        <v>2452</v>
      </c>
      <c r="M998" s="125"/>
      <c r="N998" s="3" t="str">
        <f t="shared" ca="1" si="214"/>
        <v/>
      </c>
      <c r="O998" s="25"/>
      <c r="P998" s="4" t="s">
        <v>35</v>
      </c>
      <c r="Q998" s="4" t="str">
        <f t="shared" si="219"/>
        <v/>
      </c>
      <c r="R998" s="4">
        <f t="shared" si="222"/>
        <v>1</v>
      </c>
      <c r="S998" s="4" t="str">
        <f t="shared" si="223"/>
        <v>0</v>
      </c>
      <c r="T998" s="4">
        <f t="shared" si="224"/>
        <v>1</v>
      </c>
      <c r="U998" s="29"/>
      <c r="V998" s="30" t="s">
        <v>50</v>
      </c>
      <c r="W998" s="30"/>
      <c r="X998" s="30"/>
      <c r="Y998" s="30"/>
      <c r="Z998" s="30"/>
      <c r="AA998" s="30"/>
      <c r="AB998" s="29"/>
      <c r="AC998" s="29"/>
      <c r="AD998" s="37" t="str">
        <f t="shared" si="220"/>
        <v/>
      </c>
      <c r="AE998" s="3" t="str">
        <f t="shared" ca="1" si="218"/>
        <v/>
      </c>
      <c r="AF998" s="38" t="str">
        <f t="shared" si="221"/>
        <v/>
      </c>
    </row>
    <row r="999" spans="1:32" s="7" customFormat="1" ht="27" customHeight="1" x14ac:dyDescent="0.35">
      <c r="A999" s="26">
        <v>931</v>
      </c>
      <c r="B999" s="139" t="s">
        <v>2665</v>
      </c>
      <c r="C999" s="293" t="s">
        <v>2712</v>
      </c>
      <c r="D999" s="294"/>
      <c r="E999" s="71" t="s">
        <v>2713</v>
      </c>
      <c r="F999" s="71"/>
      <c r="G999" s="70" t="s">
        <v>2714</v>
      </c>
      <c r="H999" s="135" t="s">
        <v>1954</v>
      </c>
      <c r="I999" s="25" t="s">
        <v>2715</v>
      </c>
      <c r="J999" s="110" t="s">
        <v>2377</v>
      </c>
      <c r="K999" s="3" t="str">
        <f t="shared" ca="1" si="217"/>
        <v xml:space="preserve">3 Tahun 7 bulan </v>
      </c>
      <c r="L999" s="4" t="s">
        <v>2452</v>
      </c>
      <c r="M999" s="110" t="s">
        <v>2377</v>
      </c>
      <c r="N999" s="3" t="str">
        <f t="shared" ca="1" si="214"/>
        <v xml:space="preserve">3 Tahun 7 bulan </v>
      </c>
      <c r="O999" s="56" t="s">
        <v>2687</v>
      </c>
      <c r="P999" s="4" t="s">
        <v>35</v>
      </c>
      <c r="Q999" s="4" t="str">
        <f t="shared" si="219"/>
        <v>Laki-Laki</v>
      </c>
      <c r="R999" s="4">
        <f t="shared" si="222"/>
        <v>1</v>
      </c>
      <c r="S999" s="4" t="str">
        <f t="shared" si="223"/>
        <v>1</v>
      </c>
      <c r="T999" s="4">
        <f t="shared" si="224"/>
        <v>0</v>
      </c>
      <c r="U999" s="29"/>
      <c r="V999" s="30" t="s">
        <v>50</v>
      </c>
      <c r="W999" s="30"/>
      <c r="X999" s="30"/>
      <c r="Y999" s="30"/>
      <c r="Z999" s="30"/>
      <c r="AA999" s="30"/>
      <c r="AB999" s="29"/>
      <c r="AC999" s="29"/>
      <c r="AD999" s="37">
        <f t="shared" si="220"/>
        <v>31237</v>
      </c>
      <c r="AE999" s="3" t="str">
        <f t="shared" ca="1" si="218"/>
        <v>41 Tahun 1 bulan 23 Hari</v>
      </c>
      <c r="AF999" s="38">
        <f t="shared" si="221"/>
        <v>53175</v>
      </c>
    </row>
    <row r="1000" spans="1:32" s="7" customFormat="1" ht="29.25" customHeight="1" x14ac:dyDescent="0.35">
      <c r="A1000" s="26">
        <v>932</v>
      </c>
      <c r="B1000" s="139" t="s">
        <v>2665</v>
      </c>
      <c r="C1000" s="293" t="s">
        <v>2716</v>
      </c>
      <c r="D1000" s="294"/>
      <c r="E1000" s="42" t="s">
        <v>2717</v>
      </c>
      <c r="F1000" s="42"/>
      <c r="G1000" s="142" t="s">
        <v>2718</v>
      </c>
      <c r="H1000" s="135" t="s">
        <v>2719</v>
      </c>
      <c r="I1000" s="25" t="s">
        <v>86</v>
      </c>
      <c r="J1000" s="110" t="s">
        <v>2720</v>
      </c>
      <c r="K1000" s="3" t="str">
        <f t="shared" ca="1" si="217"/>
        <v xml:space="preserve">8 Tahun 2 bulan </v>
      </c>
      <c r="L1000" s="4" t="s">
        <v>2452</v>
      </c>
      <c r="M1000" s="110" t="s">
        <v>2720</v>
      </c>
      <c r="N1000" s="3" t="str">
        <f t="shared" ca="1" si="214"/>
        <v xml:space="preserve">8 Tahun 2 bulan </v>
      </c>
      <c r="O1000" s="56" t="s">
        <v>2671</v>
      </c>
      <c r="P1000" s="4" t="s">
        <v>35</v>
      </c>
      <c r="Q1000" s="4" t="str">
        <f t="shared" si="219"/>
        <v>Laki-Laki</v>
      </c>
      <c r="R1000" s="4">
        <f t="shared" si="222"/>
        <v>1</v>
      </c>
      <c r="S1000" s="4" t="str">
        <f t="shared" si="223"/>
        <v>1</v>
      </c>
      <c r="T1000" s="4">
        <f t="shared" si="224"/>
        <v>0</v>
      </c>
      <c r="U1000" s="29"/>
      <c r="V1000" s="30" t="s">
        <v>50</v>
      </c>
      <c r="W1000" s="30"/>
      <c r="X1000" s="30"/>
      <c r="Y1000" s="30"/>
      <c r="Z1000" s="30"/>
      <c r="AA1000" s="30"/>
      <c r="AB1000" s="29"/>
      <c r="AC1000" s="29"/>
      <c r="AD1000" s="37">
        <f t="shared" si="220"/>
        <v>29485</v>
      </c>
      <c r="AE1000" s="3" t="str">
        <f t="shared" ca="1" si="218"/>
        <v>45 Tahun 11 bulan 11 Hari</v>
      </c>
      <c r="AF1000" s="38">
        <f t="shared" si="221"/>
        <v>51410</v>
      </c>
    </row>
    <row r="1001" spans="1:32" s="7" customFormat="1" ht="23.25" customHeight="1" x14ac:dyDescent="0.35">
      <c r="A1001" s="26"/>
      <c r="B1001" s="32" t="s">
        <v>2721</v>
      </c>
      <c r="C1001" s="280" t="s">
        <v>2722</v>
      </c>
      <c r="D1001" s="281"/>
      <c r="E1001" s="24"/>
      <c r="F1001" s="24"/>
      <c r="G1001" s="4"/>
      <c r="H1001" s="4"/>
      <c r="I1001" s="33"/>
      <c r="J1001" s="5"/>
      <c r="K1001" s="3" t="str">
        <f t="shared" ca="1" si="217"/>
        <v/>
      </c>
      <c r="L1001" s="30"/>
      <c r="M1001" s="5"/>
      <c r="N1001" s="3" t="str">
        <f t="shared" ca="1" si="214"/>
        <v/>
      </c>
      <c r="O1001" s="30"/>
      <c r="P1001" s="30"/>
      <c r="Q1001" s="4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7" t="str">
        <f t="shared" si="220"/>
        <v/>
      </c>
      <c r="AE1001" s="3" t="str">
        <f t="shared" ca="1" si="218"/>
        <v/>
      </c>
      <c r="AF1001" s="38" t="str">
        <f t="shared" si="221"/>
        <v/>
      </c>
    </row>
    <row r="1002" spans="1:32" s="7" customFormat="1" ht="24.75" customHeight="1" x14ac:dyDescent="0.35">
      <c r="A1002" s="26">
        <f>A1000+1</f>
        <v>933</v>
      </c>
      <c r="B1002" s="32" t="s">
        <v>2721</v>
      </c>
      <c r="C1002" s="299" t="s">
        <v>2723</v>
      </c>
      <c r="D1002" s="300"/>
      <c r="E1002" s="24" t="s">
        <v>2724</v>
      </c>
      <c r="F1002" s="24"/>
      <c r="G1002" s="3" t="s">
        <v>2725</v>
      </c>
      <c r="H1002" s="4" t="s">
        <v>2726</v>
      </c>
      <c r="I1002" s="25" t="s">
        <v>86</v>
      </c>
      <c r="J1002" s="82" t="s">
        <v>338</v>
      </c>
      <c r="K1002" s="3" t="str">
        <f t="shared" ca="1" si="217"/>
        <v xml:space="preserve">2 Tahun 11 bulan </v>
      </c>
      <c r="L1002" s="4" t="s">
        <v>2452</v>
      </c>
      <c r="M1002" s="82" t="s">
        <v>338</v>
      </c>
      <c r="N1002" s="3" t="str">
        <f t="shared" ca="1" si="214"/>
        <v xml:space="preserve">2 Tahun 11 bulan </v>
      </c>
      <c r="O1002" s="56" t="s">
        <v>2671</v>
      </c>
      <c r="P1002" s="4" t="s">
        <v>35</v>
      </c>
      <c r="Q1002" s="4" t="str">
        <f t="shared" si="219"/>
        <v>Laki-Laki</v>
      </c>
      <c r="R1002" s="4">
        <f>R1000</f>
        <v>1</v>
      </c>
      <c r="S1002" s="4" t="str">
        <f>IF(E1002="LOWONG","0","1")</f>
        <v>1</v>
      </c>
      <c r="T1002" s="4">
        <f t="shared" si="224"/>
        <v>0</v>
      </c>
      <c r="U1002" s="29"/>
      <c r="V1002" s="30" t="s">
        <v>50</v>
      </c>
      <c r="W1002" s="30"/>
      <c r="X1002" s="30"/>
      <c r="Y1002" s="30"/>
      <c r="Z1002" s="30"/>
      <c r="AA1002" s="30"/>
      <c r="AB1002" s="29"/>
      <c r="AC1002" s="29"/>
      <c r="AD1002" s="37">
        <f t="shared" si="220"/>
        <v>28065</v>
      </c>
      <c r="AE1002" s="3" t="str">
        <f t="shared" ca="1" si="218"/>
        <v>49 Tahun 10 bulan 0 Hari</v>
      </c>
      <c r="AF1002" s="38">
        <f t="shared" si="221"/>
        <v>50010</v>
      </c>
    </row>
    <row r="1003" spans="1:32" s="7" customFormat="1" ht="20" x14ac:dyDescent="0.35">
      <c r="A1003" s="26">
        <f t="shared" si="216"/>
        <v>934</v>
      </c>
      <c r="B1003" s="139" t="s">
        <v>2721</v>
      </c>
      <c r="C1003" s="293" t="s">
        <v>2727</v>
      </c>
      <c r="D1003" s="294"/>
      <c r="E1003" s="71" t="s">
        <v>2728</v>
      </c>
      <c r="F1003" s="71"/>
      <c r="G1003" s="70" t="s">
        <v>2729</v>
      </c>
      <c r="H1003" s="36" t="s">
        <v>2730</v>
      </c>
      <c r="I1003" s="48" t="s">
        <v>86</v>
      </c>
      <c r="J1003" s="82" t="s">
        <v>1741</v>
      </c>
      <c r="K1003" s="3" t="str">
        <f t="shared" ca="1" si="217"/>
        <v xml:space="preserve">8 Tahun 2 bulan </v>
      </c>
      <c r="L1003" s="4" t="s">
        <v>2452</v>
      </c>
      <c r="M1003" s="82" t="s">
        <v>1741</v>
      </c>
      <c r="N1003" s="3" t="str">
        <f t="shared" ca="1" si="214"/>
        <v xml:space="preserve">8 Tahun 2 bulan </v>
      </c>
      <c r="O1003" s="56" t="s">
        <v>2671</v>
      </c>
      <c r="P1003" s="4" t="s">
        <v>35</v>
      </c>
      <c r="Q1003" s="4" t="str">
        <f t="shared" si="219"/>
        <v/>
      </c>
      <c r="R1003" s="4">
        <f t="shared" si="222"/>
        <v>1</v>
      </c>
      <c r="S1003" s="4" t="str">
        <f>IF(E1003="LOWONG","0","1")</f>
        <v>1</v>
      </c>
      <c r="T1003" s="4">
        <f t="shared" si="224"/>
        <v>0</v>
      </c>
      <c r="U1003" s="29"/>
      <c r="V1003" s="30" t="s">
        <v>50</v>
      </c>
      <c r="W1003" s="30"/>
      <c r="X1003" s="30"/>
      <c r="Y1003" s="30"/>
      <c r="Z1003" s="30"/>
      <c r="AA1003" s="30"/>
      <c r="AB1003" s="29"/>
      <c r="AC1003" s="29"/>
      <c r="AD1003" s="37">
        <f t="shared" si="220"/>
        <v>29544</v>
      </c>
      <c r="AE1003" s="3" t="str">
        <f t="shared" ca="1" si="218"/>
        <v>45 Tahun 9 bulan 13 Hari</v>
      </c>
      <c r="AF1003" s="38">
        <f t="shared" si="221"/>
        <v>51471</v>
      </c>
    </row>
    <row r="1004" spans="1:32" s="7" customFormat="1" ht="27.75" customHeight="1" x14ac:dyDescent="0.35">
      <c r="A1004" s="26">
        <f t="shared" si="216"/>
        <v>935</v>
      </c>
      <c r="B1004" s="139" t="s">
        <v>2721</v>
      </c>
      <c r="C1004" s="293" t="s">
        <v>2731</v>
      </c>
      <c r="D1004" s="294"/>
      <c r="E1004" s="24" t="s">
        <v>2732</v>
      </c>
      <c r="F1004" s="24"/>
      <c r="G1004" s="3" t="s">
        <v>2733</v>
      </c>
      <c r="H1004" s="4" t="s">
        <v>1954</v>
      </c>
      <c r="I1004" s="33" t="s">
        <v>107</v>
      </c>
      <c r="J1004" s="3" t="s">
        <v>2734</v>
      </c>
      <c r="K1004" s="3" t="str">
        <f t="shared" ca="1" si="217"/>
        <v xml:space="preserve">6 Tahun 4 bulan </v>
      </c>
      <c r="L1004" s="4" t="s">
        <v>2452</v>
      </c>
      <c r="M1004" s="3" t="s">
        <v>2734</v>
      </c>
      <c r="N1004" s="3" t="str">
        <f t="shared" ca="1" si="214"/>
        <v xml:space="preserve">6 Tahun 4 bulan </v>
      </c>
      <c r="O1004" s="56" t="s">
        <v>2671</v>
      </c>
      <c r="P1004" s="4" t="s">
        <v>35</v>
      </c>
      <c r="Q1004" s="4" t="str">
        <f t="shared" si="219"/>
        <v>Laki-Laki</v>
      </c>
      <c r="R1004" s="4">
        <f t="shared" si="222"/>
        <v>1</v>
      </c>
      <c r="S1004" s="4" t="str">
        <f>IF(E1004="LOWONG","0","1")</f>
        <v>1</v>
      </c>
      <c r="T1004" s="4">
        <f t="shared" si="224"/>
        <v>0</v>
      </c>
      <c r="U1004" s="29"/>
      <c r="V1004" s="30" t="s">
        <v>50</v>
      </c>
      <c r="W1004" s="30"/>
      <c r="X1004" s="30"/>
      <c r="Y1004" s="30"/>
      <c r="Z1004" s="30"/>
      <c r="AA1004" s="30"/>
      <c r="AB1004" s="29"/>
      <c r="AC1004" s="29"/>
      <c r="AD1004" s="37">
        <f t="shared" si="220"/>
        <v>27140</v>
      </c>
      <c r="AE1004" s="3" t="str">
        <f t="shared" ca="1" si="218"/>
        <v>52 Tahun 4 bulan 11 Hari</v>
      </c>
      <c r="AF1004" s="38">
        <f t="shared" si="221"/>
        <v>49065</v>
      </c>
    </row>
    <row r="1005" spans="1:32" s="7" customFormat="1" ht="29.25" customHeight="1" x14ac:dyDescent="0.35">
      <c r="A1005" s="26">
        <f t="shared" si="216"/>
        <v>936</v>
      </c>
      <c r="B1005" s="32" t="s">
        <v>2721</v>
      </c>
      <c r="C1005" s="299" t="s">
        <v>2735</v>
      </c>
      <c r="D1005" s="300"/>
      <c r="E1005" s="24" t="s">
        <v>2736</v>
      </c>
      <c r="F1005" s="24"/>
      <c r="G1005" s="44" t="s">
        <v>2737</v>
      </c>
      <c r="H1005" s="36" t="s">
        <v>2738</v>
      </c>
      <c r="I1005" s="4" t="s">
        <v>1782</v>
      </c>
      <c r="J1005" s="82" t="s">
        <v>338</v>
      </c>
      <c r="K1005" s="3" t="str">
        <f t="shared" ca="1" si="217"/>
        <v xml:space="preserve">2 Tahun 11 bulan </v>
      </c>
      <c r="L1005" s="4" t="s">
        <v>2452</v>
      </c>
      <c r="M1005" s="82" t="s">
        <v>338</v>
      </c>
      <c r="N1005" s="3" t="str">
        <f t="shared" ca="1" si="214"/>
        <v xml:space="preserve">2 Tahun 11 bulan </v>
      </c>
      <c r="O1005" s="56" t="s">
        <v>2671</v>
      </c>
      <c r="P1005" s="4" t="s">
        <v>35</v>
      </c>
      <c r="Q1005" s="4" t="str">
        <f t="shared" si="219"/>
        <v>Laki-Laki</v>
      </c>
      <c r="R1005" s="4">
        <f t="shared" si="222"/>
        <v>1</v>
      </c>
      <c r="S1005" s="4" t="str">
        <f>IF(E1005="LOWONG","0","1")</f>
        <v>1</v>
      </c>
      <c r="T1005" s="4">
        <f t="shared" si="224"/>
        <v>0</v>
      </c>
      <c r="U1005" s="29"/>
      <c r="V1005" s="30" t="s">
        <v>50</v>
      </c>
      <c r="W1005" s="30"/>
      <c r="X1005" s="30"/>
      <c r="Y1005" s="30"/>
      <c r="Z1005" s="30"/>
      <c r="AA1005" s="30"/>
      <c r="AB1005" s="29"/>
      <c r="AC1005" s="29"/>
      <c r="AD1005" s="37">
        <f t="shared" si="220"/>
        <v>26666</v>
      </c>
      <c r="AE1005" s="3" t="str">
        <f t="shared" ca="1" si="218"/>
        <v>53 Tahun 7 bulan 30 Hari</v>
      </c>
      <c r="AF1005" s="38">
        <f t="shared" si="221"/>
        <v>48611</v>
      </c>
    </row>
    <row r="1006" spans="1:32" s="7" customFormat="1" ht="23.25" customHeight="1" x14ac:dyDescent="0.35">
      <c r="A1006" s="26"/>
      <c r="B1006" s="27" t="s">
        <v>2739</v>
      </c>
      <c r="C1006" s="280" t="s">
        <v>2740</v>
      </c>
      <c r="D1006" s="281"/>
      <c r="E1006" s="24"/>
      <c r="F1006" s="24"/>
      <c r="G1006" s="4"/>
      <c r="H1006" s="4"/>
      <c r="I1006" s="33"/>
      <c r="J1006" s="5"/>
      <c r="K1006" s="3" t="str">
        <f t="shared" ca="1" si="217"/>
        <v/>
      </c>
      <c r="L1006" s="30"/>
      <c r="M1006" s="5"/>
      <c r="N1006" s="3" t="str">
        <f t="shared" ca="1" si="214"/>
        <v/>
      </c>
      <c r="O1006" s="4"/>
      <c r="P1006" s="4"/>
      <c r="Q1006" s="4" t="str">
        <f t="shared" si="219"/>
        <v/>
      </c>
      <c r="R1006" s="4"/>
      <c r="S1006" s="4"/>
      <c r="T1006" s="4"/>
      <c r="U1006" s="4"/>
      <c r="V1006" s="4"/>
      <c r="W1006" s="4"/>
      <c r="X1006" s="4"/>
      <c r="Y1006" s="4"/>
      <c r="Z1006" s="29"/>
      <c r="AA1006" s="29"/>
      <c r="AB1006" s="29"/>
      <c r="AC1006" s="29"/>
      <c r="AD1006" s="37" t="str">
        <f t="shared" si="220"/>
        <v/>
      </c>
      <c r="AE1006" s="3" t="str">
        <f t="shared" ca="1" si="218"/>
        <v/>
      </c>
      <c r="AF1006" s="38" t="str">
        <f t="shared" si="221"/>
        <v/>
      </c>
    </row>
    <row r="1007" spans="1:32" s="7" customFormat="1" ht="24.75" customHeight="1" x14ac:dyDescent="0.35">
      <c r="A1007" s="26">
        <f>A1005+1</f>
        <v>937</v>
      </c>
      <c r="B1007" s="27" t="s">
        <v>2739</v>
      </c>
      <c r="C1007" s="299" t="s">
        <v>2741</v>
      </c>
      <c r="D1007" s="300"/>
      <c r="E1007" s="24" t="s">
        <v>2742</v>
      </c>
      <c r="F1007" s="24"/>
      <c r="G1007" s="3" t="s">
        <v>2743</v>
      </c>
      <c r="H1007" s="36" t="s">
        <v>947</v>
      </c>
      <c r="I1007" s="48" t="s">
        <v>2744</v>
      </c>
      <c r="J1007" s="82" t="s">
        <v>2745</v>
      </c>
      <c r="K1007" s="3" t="str">
        <f t="shared" ca="1" si="217"/>
        <v xml:space="preserve">3 Tahun 0 bulan </v>
      </c>
      <c r="L1007" s="4" t="s">
        <v>2452</v>
      </c>
      <c r="M1007" s="82" t="s">
        <v>2745</v>
      </c>
      <c r="N1007" s="3" t="str">
        <f t="shared" ca="1" si="214"/>
        <v xml:space="preserve">3 Tahun 0 bulan </v>
      </c>
      <c r="O1007" s="56" t="s">
        <v>2746</v>
      </c>
      <c r="P1007" s="4" t="s">
        <v>35</v>
      </c>
      <c r="Q1007" s="4" t="str">
        <f t="shared" si="219"/>
        <v>Perempuan</v>
      </c>
      <c r="R1007" s="4">
        <f>R1005</f>
        <v>1</v>
      </c>
      <c r="S1007" s="4" t="str">
        <f t="shared" ref="S1007:S1026" si="225">IF(E1007="LOWONG","0","1")</f>
        <v>1</v>
      </c>
      <c r="T1007" s="4">
        <f t="shared" ref="T1007:T1026" si="226">R1007-S1007</f>
        <v>0</v>
      </c>
      <c r="U1007" s="29"/>
      <c r="V1007" s="30" t="s">
        <v>50</v>
      </c>
      <c r="W1007" s="30"/>
      <c r="X1007" s="30"/>
      <c r="Y1007" s="30"/>
      <c r="Z1007" s="30"/>
      <c r="AA1007" s="30"/>
      <c r="AB1007" s="29"/>
      <c r="AC1007" s="29"/>
      <c r="AD1007" s="37">
        <f t="shared" si="220"/>
        <v>29942</v>
      </c>
      <c r="AE1007" s="3" t="str">
        <f t="shared" ca="1" si="218"/>
        <v>44 Tahun 8 bulan 10 Hari</v>
      </c>
      <c r="AF1007" s="38">
        <f t="shared" si="221"/>
        <v>51867</v>
      </c>
    </row>
    <row r="1008" spans="1:32" s="7" customFormat="1" ht="24" customHeight="1" x14ac:dyDescent="0.35">
      <c r="A1008" s="26">
        <f t="shared" ref="A1008:A1026" si="227">A1007+1</f>
        <v>938</v>
      </c>
      <c r="B1008" s="27" t="s">
        <v>2739</v>
      </c>
      <c r="C1008" s="299" t="s">
        <v>2747</v>
      </c>
      <c r="D1008" s="300"/>
      <c r="E1008" s="71" t="s">
        <v>2748</v>
      </c>
      <c r="F1008" s="71"/>
      <c r="G1008" s="70" t="s">
        <v>2749</v>
      </c>
      <c r="H1008" s="36" t="s">
        <v>621</v>
      </c>
      <c r="I1008" s="48" t="s">
        <v>441</v>
      </c>
      <c r="J1008" s="82" t="s">
        <v>2745</v>
      </c>
      <c r="K1008" s="3" t="str">
        <f t="shared" ca="1" si="217"/>
        <v xml:space="preserve">3 Tahun 0 bulan </v>
      </c>
      <c r="L1008" s="4" t="s">
        <v>2452</v>
      </c>
      <c r="M1008" s="82" t="s">
        <v>2745</v>
      </c>
      <c r="N1008" s="3" t="str">
        <f t="shared" ca="1" si="214"/>
        <v xml:space="preserve">3 Tahun 0 bulan </v>
      </c>
      <c r="O1008" s="56" t="s">
        <v>2746</v>
      </c>
      <c r="P1008" s="4" t="s">
        <v>35</v>
      </c>
      <c r="Q1008" s="4" t="str">
        <f t="shared" si="219"/>
        <v>Laki-Laki</v>
      </c>
      <c r="R1008" s="4">
        <f t="shared" ref="R1008:R1026" si="228">R1007</f>
        <v>1</v>
      </c>
      <c r="S1008" s="4" t="str">
        <f t="shared" si="225"/>
        <v>1</v>
      </c>
      <c r="T1008" s="4">
        <f t="shared" si="226"/>
        <v>0</v>
      </c>
      <c r="U1008" s="29"/>
      <c r="V1008" s="30" t="s">
        <v>50</v>
      </c>
      <c r="W1008" s="30"/>
      <c r="X1008" s="30"/>
      <c r="Y1008" s="30"/>
      <c r="Z1008" s="30"/>
      <c r="AA1008" s="30"/>
      <c r="AB1008" s="29"/>
      <c r="AC1008" s="29"/>
      <c r="AD1008" s="37">
        <f t="shared" si="220"/>
        <v>27890</v>
      </c>
      <c r="AE1008" s="3" t="str">
        <f t="shared" ca="1" si="218"/>
        <v>50 Tahun 3 bulan 22 Hari</v>
      </c>
      <c r="AF1008" s="38">
        <f t="shared" si="221"/>
        <v>49827</v>
      </c>
    </row>
    <row r="1009" spans="1:32" s="7" customFormat="1" ht="27.75" customHeight="1" x14ac:dyDescent="0.35">
      <c r="A1009" s="26">
        <f t="shared" si="227"/>
        <v>939</v>
      </c>
      <c r="B1009" s="27" t="s">
        <v>2739</v>
      </c>
      <c r="C1009" s="299" t="s">
        <v>2750</v>
      </c>
      <c r="D1009" s="300"/>
      <c r="E1009" s="24" t="s">
        <v>2751</v>
      </c>
      <c r="F1009" s="24"/>
      <c r="G1009" s="3" t="s">
        <v>2752</v>
      </c>
      <c r="H1009" s="36" t="s">
        <v>2753</v>
      </c>
      <c r="I1009" s="48" t="s">
        <v>441</v>
      </c>
      <c r="J1009" s="82" t="s">
        <v>2745</v>
      </c>
      <c r="K1009" s="3" t="str">
        <f t="shared" ca="1" si="217"/>
        <v xml:space="preserve">3 Tahun 0 bulan </v>
      </c>
      <c r="L1009" s="4" t="s">
        <v>2452</v>
      </c>
      <c r="M1009" s="82" t="s">
        <v>2745</v>
      </c>
      <c r="N1009" s="3" t="str">
        <f t="shared" ref="N1009:N1026" ca="1" si="229">IF(M1009="","",CONCATENATE(DATEDIF(M1009,NOW(),"Y")," Tahun ",DATEDIF(M1009,NOW(),"YM")," bulan "))</f>
        <v xml:space="preserve">3 Tahun 0 bulan </v>
      </c>
      <c r="O1009" s="56" t="s">
        <v>2746</v>
      </c>
      <c r="P1009" s="4" t="s">
        <v>35</v>
      </c>
      <c r="Q1009" s="4" t="str">
        <f t="shared" si="219"/>
        <v>Laki-Laki</v>
      </c>
      <c r="R1009" s="4">
        <f t="shared" si="228"/>
        <v>1</v>
      </c>
      <c r="S1009" s="4" t="str">
        <f t="shared" si="225"/>
        <v>1</v>
      </c>
      <c r="T1009" s="4">
        <f t="shared" si="226"/>
        <v>0</v>
      </c>
      <c r="U1009" s="29"/>
      <c r="V1009" s="30" t="s">
        <v>50</v>
      </c>
      <c r="W1009" s="30"/>
      <c r="X1009" s="30"/>
      <c r="Y1009" s="30"/>
      <c r="Z1009" s="30"/>
      <c r="AA1009" s="30"/>
      <c r="AB1009" s="29"/>
      <c r="AC1009" s="29"/>
      <c r="AD1009" s="37">
        <f t="shared" si="220"/>
        <v>31138</v>
      </c>
      <c r="AE1009" s="3" t="str">
        <f t="shared" ca="1" si="218"/>
        <v>41 Tahun 5 bulan 0 Hari</v>
      </c>
      <c r="AF1009" s="38">
        <f t="shared" si="221"/>
        <v>53083</v>
      </c>
    </row>
    <row r="1010" spans="1:32" s="7" customFormat="1" ht="29.25" customHeight="1" x14ac:dyDescent="0.35">
      <c r="A1010" s="26">
        <f t="shared" si="227"/>
        <v>940</v>
      </c>
      <c r="B1010" s="27" t="s">
        <v>2739</v>
      </c>
      <c r="C1010" s="299" t="s">
        <v>2754</v>
      </c>
      <c r="D1010" s="300"/>
      <c r="E1010" s="24" t="s">
        <v>2755</v>
      </c>
      <c r="F1010" s="24"/>
      <c r="G1010" s="44" t="s">
        <v>2756</v>
      </c>
      <c r="H1010" s="36" t="s">
        <v>2753</v>
      </c>
      <c r="I1010" s="48" t="s">
        <v>2757</v>
      </c>
      <c r="J1010" s="82" t="s">
        <v>2745</v>
      </c>
      <c r="K1010" s="3" t="str">
        <f t="shared" ca="1" si="217"/>
        <v xml:space="preserve">3 Tahun 0 bulan </v>
      </c>
      <c r="L1010" s="4" t="s">
        <v>2452</v>
      </c>
      <c r="M1010" s="82" t="s">
        <v>2745</v>
      </c>
      <c r="N1010" s="3" t="str">
        <f t="shared" ca="1" si="229"/>
        <v xml:space="preserve">3 Tahun 0 bulan </v>
      </c>
      <c r="O1010" s="56" t="s">
        <v>2746</v>
      </c>
      <c r="P1010" s="4" t="s">
        <v>35</v>
      </c>
      <c r="Q1010" s="4" t="str">
        <f t="shared" si="219"/>
        <v>Perempuan</v>
      </c>
      <c r="R1010" s="4">
        <f t="shared" si="228"/>
        <v>1</v>
      </c>
      <c r="S1010" s="4" t="str">
        <f t="shared" si="225"/>
        <v>1</v>
      </c>
      <c r="T1010" s="4">
        <f t="shared" si="226"/>
        <v>0</v>
      </c>
      <c r="U1010" s="29"/>
      <c r="V1010" s="30" t="s">
        <v>50</v>
      </c>
      <c r="W1010" s="30"/>
      <c r="X1010" s="30"/>
      <c r="Y1010" s="30"/>
      <c r="Z1010" s="30"/>
      <c r="AA1010" s="30"/>
      <c r="AB1010" s="29"/>
      <c r="AC1010" s="29"/>
      <c r="AD1010" s="37">
        <f t="shared" si="220"/>
        <v>30833</v>
      </c>
      <c r="AE1010" s="3" t="str">
        <f t="shared" ca="1" si="218"/>
        <v>42 Tahun 3 bulan 1 Hari</v>
      </c>
      <c r="AF1010" s="38">
        <f t="shared" si="221"/>
        <v>52749</v>
      </c>
    </row>
    <row r="1011" spans="1:32" s="7" customFormat="1" ht="24.75" customHeight="1" x14ac:dyDescent="0.35">
      <c r="A1011" s="26">
        <f t="shared" si="227"/>
        <v>941</v>
      </c>
      <c r="B1011" s="27" t="s">
        <v>2739</v>
      </c>
      <c r="C1011" s="299" t="s">
        <v>2758</v>
      </c>
      <c r="D1011" s="300"/>
      <c r="E1011" s="24" t="s">
        <v>2759</v>
      </c>
      <c r="F1011" s="24"/>
      <c r="G1011" s="3" t="s">
        <v>2760</v>
      </c>
      <c r="H1011" s="36" t="s">
        <v>2753</v>
      </c>
      <c r="I1011" s="48" t="s">
        <v>2757</v>
      </c>
      <c r="J1011" s="82" t="s">
        <v>2745</v>
      </c>
      <c r="K1011" s="3" t="str">
        <f t="shared" ca="1" si="217"/>
        <v xml:space="preserve">3 Tahun 0 bulan </v>
      </c>
      <c r="L1011" s="4" t="s">
        <v>2452</v>
      </c>
      <c r="M1011" s="82" t="s">
        <v>2745</v>
      </c>
      <c r="N1011" s="3" t="str">
        <f t="shared" ca="1" si="229"/>
        <v xml:space="preserve">3 Tahun 0 bulan </v>
      </c>
      <c r="O1011" s="56" t="s">
        <v>2746</v>
      </c>
      <c r="P1011" s="4" t="s">
        <v>35</v>
      </c>
      <c r="Q1011" s="4" t="str">
        <f t="shared" si="219"/>
        <v>Laki-Laki</v>
      </c>
      <c r="R1011" s="4">
        <f>R1009</f>
        <v>1</v>
      </c>
      <c r="S1011" s="4" t="str">
        <f t="shared" si="225"/>
        <v>1</v>
      </c>
      <c r="T1011" s="4">
        <f t="shared" si="226"/>
        <v>0</v>
      </c>
      <c r="U1011" s="29"/>
      <c r="V1011" s="30" t="s">
        <v>50</v>
      </c>
      <c r="W1011" s="30"/>
      <c r="X1011" s="30"/>
      <c r="Y1011" s="30"/>
      <c r="Z1011" s="30"/>
      <c r="AA1011" s="30"/>
      <c r="AB1011" s="29"/>
      <c r="AC1011" s="29"/>
      <c r="AD1011" s="37">
        <f t="shared" si="220"/>
        <v>30232</v>
      </c>
      <c r="AE1011" s="3" t="str">
        <f t="shared" ca="1" si="218"/>
        <v>43 Tahun 10 bulan 24 Hari</v>
      </c>
      <c r="AF1011" s="38">
        <f t="shared" si="221"/>
        <v>52171</v>
      </c>
    </row>
    <row r="1012" spans="1:32" s="7" customFormat="1" ht="24" customHeight="1" x14ac:dyDescent="0.35">
      <c r="A1012" s="26">
        <f t="shared" si="227"/>
        <v>942</v>
      </c>
      <c r="B1012" s="27" t="s">
        <v>2739</v>
      </c>
      <c r="C1012" s="299" t="s">
        <v>2761</v>
      </c>
      <c r="D1012" s="300"/>
      <c r="E1012" s="71" t="s">
        <v>2762</v>
      </c>
      <c r="F1012" s="71"/>
      <c r="G1012" s="70" t="s">
        <v>2763</v>
      </c>
      <c r="H1012" s="36" t="s">
        <v>2753</v>
      </c>
      <c r="I1012" s="48" t="s">
        <v>441</v>
      </c>
      <c r="J1012" s="82" t="s">
        <v>2745</v>
      </c>
      <c r="K1012" s="3" t="str">
        <f t="shared" ca="1" si="217"/>
        <v xml:space="preserve">3 Tahun 0 bulan </v>
      </c>
      <c r="L1012" s="4" t="s">
        <v>2452</v>
      </c>
      <c r="M1012" s="82" t="s">
        <v>2745</v>
      </c>
      <c r="N1012" s="3" t="str">
        <f t="shared" ca="1" si="229"/>
        <v xml:space="preserve">3 Tahun 0 bulan </v>
      </c>
      <c r="O1012" s="56" t="s">
        <v>2746</v>
      </c>
      <c r="P1012" s="4" t="s">
        <v>35</v>
      </c>
      <c r="Q1012" s="4" t="str">
        <f t="shared" si="219"/>
        <v>Laki-Laki</v>
      </c>
      <c r="R1012" s="4">
        <f t="shared" si="228"/>
        <v>1</v>
      </c>
      <c r="S1012" s="4" t="str">
        <f t="shared" si="225"/>
        <v>1</v>
      </c>
      <c r="T1012" s="4">
        <f t="shared" si="226"/>
        <v>0</v>
      </c>
      <c r="U1012" s="29"/>
      <c r="V1012" s="30" t="s">
        <v>50</v>
      </c>
      <c r="W1012" s="30"/>
      <c r="X1012" s="30"/>
      <c r="Y1012" s="30"/>
      <c r="Z1012" s="30"/>
      <c r="AA1012" s="30"/>
      <c r="AB1012" s="29"/>
      <c r="AC1012" s="29"/>
      <c r="AD1012" s="37">
        <f t="shared" si="220"/>
        <v>30615</v>
      </c>
      <c r="AE1012" s="3" t="str">
        <f t="shared" ca="1" si="218"/>
        <v>42 Tahun 10 bulan 6 Hari</v>
      </c>
      <c r="AF1012" s="38">
        <f t="shared" si="221"/>
        <v>52536</v>
      </c>
    </row>
    <row r="1013" spans="1:32" s="7" customFormat="1" ht="27.75" customHeight="1" x14ac:dyDescent="0.35">
      <c r="A1013" s="26">
        <f t="shared" si="227"/>
        <v>943</v>
      </c>
      <c r="B1013" s="27" t="s">
        <v>2739</v>
      </c>
      <c r="C1013" s="299" t="s">
        <v>2764</v>
      </c>
      <c r="D1013" s="300"/>
      <c r="E1013" s="24" t="s">
        <v>2765</v>
      </c>
      <c r="F1013" s="24"/>
      <c r="G1013" s="3" t="s">
        <v>2766</v>
      </c>
      <c r="H1013" s="36" t="s">
        <v>2753</v>
      </c>
      <c r="I1013" s="48" t="s">
        <v>2767</v>
      </c>
      <c r="J1013" s="82" t="s">
        <v>2745</v>
      </c>
      <c r="K1013" s="3" t="str">
        <f t="shared" ca="1" si="217"/>
        <v xml:space="preserve">3 Tahun 0 bulan </v>
      </c>
      <c r="L1013" s="4" t="s">
        <v>2452</v>
      </c>
      <c r="M1013" s="82" t="s">
        <v>2745</v>
      </c>
      <c r="N1013" s="3" t="str">
        <f t="shared" ca="1" si="229"/>
        <v xml:space="preserve">3 Tahun 0 bulan </v>
      </c>
      <c r="O1013" s="56" t="s">
        <v>2746</v>
      </c>
      <c r="P1013" s="4" t="s">
        <v>35</v>
      </c>
      <c r="Q1013" s="4" t="str">
        <f t="shared" si="219"/>
        <v>Laki-Laki</v>
      </c>
      <c r="R1013" s="4">
        <f t="shared" si="228"/>
        <v>1</v>
      </c>
      <c r="S1013" s="4" t="str">
        <f t="shared" si="225"/>
        <v>1</v>
      </c>
      <c r="T1013" s="4">
        <f t="shared" si="226"/>
        <v>0</v>
      </c>
      <c r="U1013" s="29"/>
      <c r="V1013" s="30" t="s">
        <v>50</v>
      </c>
      <c r="W1013" s="30"/>
      <c r="X1013" s="30"/>
      <c r="Y1013" s="30"/>
      <c r="Z1013" s="30"/>
      <c r="AA1013" s="30"/>
      <c r="AB1013" s="29"/>
      <c r="AC1013" s="29"/>
      <c r="AD1013" s="37">
        <f t="shared" si="220"/>
        <v>32051</v>
      </c>
      <c r="AE1013" s="3" t="str">
        <f t="shared" ca="1" si="218"/>
        <v>38 Tahun 11 bulan 0 Hari</v>
      </c>
      <c r="AF1013" s="38">
        <f t="shared" si="221"/>
        <v>53997</v>
      </c>
    </row>
    <row r="1014" spans="1:32" s="7" customFormat="1" ht="29.25" customHeight="1" x14ac:dyDescent="0.35">
      <c r="A1014" s="26">
        <f t="shared" si="227"/>
        <v>944</v>
      </c>
      <c r="B1014" s="27" t="s">
        <v>2739</v>
      </c>
      <c r="C1014" s="299" t="s">
        <v>2768</v>
      </c>
      <c r="D1014" s="300"/>
      <c r="E1014" s="24" t="s">
        <v>2769</v>
      </c>
      <c r="F1014" s="24"/>
      <c r="G1014" s="44" t="s">
        <v>2770</v>
      </c>
      <c r="H1014" s="36" t="s">
        <v>2427</v>
      </c>
      <c r="I1014" s="48" t="s">
        <v>441</v>
      </c>
      <c r="J1014" s="82" t="s">
        <v>2745</v>
      </c>
      <c r="K1014" s="3" t="str">
        <f t="shared" ca="1" si="217"/>
        <v xml:space="preserve">3 Tahun 0 bulan </v>
      </c>
      <c r="L1014" s="4" t="s">
        <v>2452</v>
      </c>
      <c r="M1014" s="82" t="s">
        <v>2745</v>
      </c>
      <c r="N1014" s="3" t="str">
        <f t="shared" ca="1" si="229"/>
        <v xml:space="preserve">3 Tahun 0 bulan </v>
      </c>
      <c r="O1014" s="56" t="s">
        <v>2746</v>
      </c>
      <c r="P1014" s="4" t="s">
        <v>35</v>
      </c>
      <c r="Q1014" s="4" t="str">
        <f t="shared" si="219"/>
        <v>Perempuan</v>
      </c>
      <c r="R1014" s="4">
        <f t="shared" si="228"/>
        <v>1</v>
      </c>
      <c r="S1014" s="4" t="str">
        <f t="shared" si="225"/>
        <v>1</v>
      </c>
      <c r="T1014" s="4">
        <f t="shared" si="226"/>
        <v>0</v>
      </c>
      <c r="U1014" s="29"/>
      <c r="V1014" s="30" t="s">
        <v>50</v>
      </c>
      <c r="W1014" s="30"/>
      <c r="X1014" s="30"/>
      <c r="Y1014" s="30"/>
      <c r="Z1014" s="30"/>
      <c r="AA1014" s="30"/>
      <c r="AB1014" s="29"/>
      <c r="AC1014" s="29"/>
      <c r="AD1014" s="37">
        <f t="shared" si="220"/>
        <v>28418</v>
      </c>
      <c r="AE1014" s="3" t="str">
        <f t="shared" ca="1" si="218"/>
        <v>48 Tahun 10 bulan 12 Hari</v>
      </c>
      <c r="AF1014" s="38">
        <f t="shared" si="221"/>
        <v>50345</v>
      </c>
    </row>
    <row r="1015" spans="1:32" s="7" customFormat="1" ht="24" customHeight="1" x14ac:dyDescent="0.35">
      <c r="A1015" s="26">
        <f t="shared" si="227"/>
        <v>945</v>
      </c>
      <c r="B1015" s="27" t="s">
        <v>2739</v>
      </c>
      <c r="C1015" s="299" t="s">
        <v>2771</v>
      </c>
      <c r="D1015" s="300"/>
      <c r="E1015" s="71" t="s">
        <v>2772</v>
      </c>
      <c r="F1015" s="71"/>
      <c r="G1015" s="70" t="s">
        <v>2773</v>
      </c>
      <c r="H1015" s="36" t="s">
        <v>2753</v>
      </c>
      <c r="I1015" s="48" t="s">
        <v>441</v>
      </c>
      <c r="J1015" s="82" t="s">
        <v>2745</v>
      </c>
      <c r="K1015" s="3" t="str">
        <f t="shared" ca="1" si="217"/>
        <v xml:space="preserve">3 Tahun 0 bulan </v>
      </c>
      <c r="L1015" s="4" t="s">
        <v>2452</v>
      </c>
      <c r="M1015" s="82" t="s">
        <v>2745</v>
      </c>
      <c r="N1015" s="3" t="str">
        <f t="shared" ca="1" si="229"/>
        <v xml:space="preserve">3 Tahun 0 bulan </v>
      </c>
      <c r="O1015" s="56" t="s">
        <v>2746</v>
      </c>
      <c r="P1015" s="4" t="s">
        <v>35</v>
      </c>
      <c r="Q1015" s="4" t="str">
        <f t="shared" si="219"/>
        <v>Laki-Laki</v>
      </c>
      <c r="R1015" s="4">
        <f t="shared" si="228"/>
        <v>1</v>
      </c>
      <c r="S1015" s="4" t="str">
        <f t="shared" si="225"/>
        <v>1</v>
      </c>
      <c r="T1015" s="4">
        <f t="shared" si="226"/>
        <v>0</v>
      </c>
      <c r="U1015" s="29"/>
      <c r="V1015" s="30" t="s">
        <v>50</v>
      </c>
      <c r="W1015" s="30"/>
      <c r="X1015" s="30"/>
      <c r="Y1015" s="30"/>
      <c r="Z1015" s="30"/>
      <c r="AA1015" s="30"/>
      <c r="AB1015" s="29"/>
      <c r="AC1015" s="29"/>
      <c r="AD1015" s="37">
        <f t="shared" si="220"/>
        <v>30441</v>
      </c>
      <c r="AE1015" s="3" t="str">
        <f t="shared" ca="1" si="218"/>
        <v>43 Tahun 3 bulan 27 Hari</v>
      </c>
      <c r="AF1015" s="38">
        <f t="shared" si="221"/>
        <v>52383</v>
      </c>
    </row>
    <row r="1016" spans="1:32" s="7" customFormat="1" ht="27.75" customHeight="1" x14ac:dyDescent="0.35">
      <c r="A1016" s="26">
        <f t="shared" si="227"/>
        <v>946</v>
      </c>
      <c r="B1016" s="27" t="s">
        <v>2739</v>
      </c>
      <c r="C1016" s="299" t="s">
        <v>2774</v>
      </c>
      <c r="D1016" s="300"/>
      <c r="E1016" s="24" t="s">
        <v>2775</v>
      </c>
      <c r="F1016" s="24"/>
      <c r="G1016" s="3" t="s">
        <v>2776</v>
      </c>
      <c r="H1016" s="4" t="s">
        <v>159</v>
      </c>
      <c r="I1016" s="48" t="s">
        <v>441</v>
      </c>
      <c r="J1016" s="82" t="s">
        <v>2745</v>
      </c>
      <c r="K1016" s="3" t="str">
        <f t="shared" ca="1" si="217"/>
        <v xml:space="preserve">3 Tahun 0 bulan </v>
      </c>
      <c r="L1016" s="4" t="s">
        <v>2452</v>
      </c>
      <c r="M1016" s="82" t="s">
        <v>2745</v>
      </c>
      <c r="N1016" s="3" t="str">
        <f t="shared" ca="1" si="229"/>
        <v xml:space="preserve">3 Tahun 0 bulan </v>
      </c>
      <c r="O1016" s="56" t="s">
        <v>2746</v>
      </c>
      <c r="P1016" s="4" t="s">
        <v>35</v>
      </c>
      <c r="Q1016" s="4" t="str">
        <f t="shared" si="219"/>
        <v>Laki-Laki</v>
      </c>
      <c r="R1016" s="4">
        <f t="shared" si="228"/>
        <v>1</v>
      </c>
      <c r="S1016" s="4" t="str">
        <f t="shared" si="225"/>
        <v>1</v>
      </c>
      <c r="T1016" s="4">
        <f t="shared" si="226"/>
        <v>0</v>
      </c>
      <c r="U1016" s="29"/>
      <c r="V1016" s="30" t="s">
        <v>50</v>
      </c>
      <c r="W1016" s="30"/>
      <c r="X1016" s="30"/>
      <c r="Y1016" s="30"/>
      <c r="Z1016" s="30"/>
      <c r="AA1016" s="30"/>
      <c r="AB1016" s="29"/>
      <c r="AC1016" s="29"/>
      <c r="AD1016" s="37">
        <f t="shared" si="220"/>
        <v>27322</v>
      </c>
      <c r="AE1016" s="3" t="str">
        <f t="shared" ca="1" si="218"/>
        <v>51 Tahun 10 bulan 12 Hari</v>
      </c>
      <c r="AF1016" s="38">
        <f t="shared" si="221"/>
        <v>49249</v>
      </c>
    </row>
    <row r="1017" spans="1:32" s="7" customFormat="1" ht="29.25" customHeight="1" x14ac:dyDescent="0.35">
      <c r="A1017" s="26">
        <f t="shared" si="227"/>
        <v>947</v>
      </c>
      <c r="B1017" s="27" t="s">
        <v>2739</v>
      </c>
      <c r="C1017" s="299" t="s">
        <v>2777</v>
      </c>
      <c r="D1017" s="300"/>
      <c r="E1017" s="24" t="s">
        <v>2778</v>
      </c>
      <c r="F1017" s="24"/>
      <c r="G1017" s="44" t="s">
        <v>2779</v>
      </c>
      <c r="H1017" s="4" t="s">
        <v>2780</v>
      </c>
      <c r="I1017" s="25" t="s">
        <v>2781</v>
      </c>
      <c r="J1017" s="82" t="s">
        <v>2782</v>
      </c>
      <c r="K1017" s="3" t="str">
        <f t="shared" ca="1" si="217"/>
        <v xml:space="preserve">5 Tahun 7 bulan </v>
      </c>
      <c r="L1017" s="4" t="s">
        <v>2452</v>
      </c>
      <c r="M1017" s="82" t="s">
        <v>2782</v>
      </c>
      <c r="N1017" s="3" t="str">
        <f t="shared" ca="1" si="229"/>
        <v xml:space="preserve">5 Tahun 7 bulan </v>
      </c>
      <c r="O1017" s="56" t="s">
        <v>2746</v>
      </c>
      <c r="P1017" s="4" t="s">
        <v>35</v>
      </c>
      <c r="Q1017" s="4" t="str">
        <f t="shared" si="219"/>
        <v>Perempuan</v>
      </c>
      <c r="R1017" s="4">
        <f t="shared" si="228"/>
        <v>1</v>
      </c>
      <c r="S1017" s="4" t="str">
        <f t="shared" si="225"/>
        <v>1</v>
      </c>
      <c r="T1017" s="4">
        <f t="shared" si="226"/>
        <v>0</v>
      </c>
      <c r="U1017" s="29"/>
      <c r="V1017" s="30" t="s">
        <v>50</v>
      </c>
      <c r="W1017" s="30"/>
      <c r="X1017" s="30"/>
      <c r="Y1017" s="30"/>
      <c r="Z1017" s="30"/>
      <c r="AA1017" s="30"/>
      <c r="AB1017" s="29"/>
      <c r="AC1017" s="29"/>
      <c r="AD1017" s="37">
        <f t="shared" si="220"/>
        <v>30053</v>
      </c>
      <c r="AE1017" s="3" t="str">
        <f t="shared" ca="1" si="218"/>
        <v>44 Tahun 4 bulan 20 Hari</v>
      </c>
      <c r="AF1017" s="38">
        <f t="shared" si="221"/>
        <v>51987</v>
      </c>
    </row>
    <row r="1018" spans="1:32" s="7" customFormat="1" ht="24.75" customHeight="1" x14ac:dyDescent="0.35">
      <c r="A1018" s="26">
        <f t="shared" si="227"/>
        <v>948</v>
      </c>
      <c r="B1018" s="27" t="s">
        <v>2739</v>
      </c>
      <c r="C1018" s="299" t="s">
        <v>2783</v>
      </c>
      <c r="D1018" s="300"/>
      <c r="E1018" s="24" t="s">
        <v>2784</v>
      </c>
      <c r="F1018" s="24"/>
      <c r="G1018" s="3" t="s">
        <v>2785</v>
      </c>
      <c r="H1018" s="36" t="s">
        <v>2753</v>
      </c>
      <c r="I1018" s="48" t="s">
        <v>441</v>
      </c>
      <c r="J1018" s="82" t="s">
        <v>2745</v>
      </c>
      <c r="K1018" s="3" t="str">
        <f t="shared" ca="1" si="217"/>
        <v xml:space="preserve">3 Tahun 0 bulan </v>
      </c>
      <c r="L1018" s="4" t="s">
        <v>2452</v>
      </c>
      <c r="M1018" s="82" t="s">
        <v>2745</v>
      </c>
      <c r="N1018" s="3" t="str">
        <f t="shared" ca="1" si="229"/>
        <v xml:space="preserve">3 Tahun 0 bulan </v>
      </c>
      <c r="O1018" s="56" t="s">
        <v>2746</v>
      </c>
      <c r="P1018" s="4" t="s">
        <v>35</v>
      </c>
      <c r="Q1018" s="4" t="str">
        <f t="shared" si="219"/>
        <v>Laki-Laki</v>
      </c>
      <c r="R1018" s="4">
        <f>R1016</f>
        <v>1</v>
      </c>
      <c r="S1018" s="4" t="str">
        <f t="shared" si="225"/>
        <v>1</v>
      </c>
      <c r="T1018" s="4">
        <f t="shared" si="226"/>
        <v>0</v>
      </c>
      <c r="U1018" s="29"/>
      <c r="V1018" s="30" t="s">
        <v>50</v>
      </c>
      <c r="W1018" s="30"/>
      <c r="X1018" s="30"/>
      <c r="Y1018" s="30"/>
      <c r="Z1018" s="30"/>
      <c r="AA1018" s="30"/>
      <c r="AB1018" s="29"/>
      <c r="AC1018" s="29"/>
      <c r="AD1018" s="37">
        <f t="shared" si="220"/>
        <v>30288</v>
      </c>
      <c r="AE1018" s="3" t="str">
        <f t="shared" ca="1" si="218"/>
        <v>43 Tahun 8 bulan 29 Hari</v>
      </c>
      <c r="AF1018" s="38">
        <f t="shared" si="221"/>
        <v>52232</v>
      </c>
    </row>
    <row r="1019" spans="1:32" s="7" customFormat="1" ht="24" customHeight="1" x14ac:dyDescent="0.35">
      <c r="A1019" s="26">
        <f t="shared" si="227"/>
        <v>949</v>
      </c>
      <c r="B1019" s="27" t="s">
        <v>2739</v>
      </c>
      <c r="C1019" s="299" t="s">
        <v>2786</v>
      </c>
      <c r="D1019" s="300"/>
      <c r="E1019" s="71" t="s">
        <v>2787</v>
      </c>
      <c r="F1019" s="71"/>
      <c r="G1019" s="70" t="s">
        <v>2788</v>
      </c>
      <c r="H1019" s="36" t="s">
        <v>2753</v>
      </c>
      <c r="I1019" s="48" t="s">
        <v>2789</v>
      </c>
      <c r="J1019" s="82" t="s">
        <v>2745</v>
      </c>
      <c r="K1019" s="3" t="str">
        <f t="shared" ca="1" si="217"/>
        <v xml:space="preserve">3 Tahun 0 bulan </v>
      </c>
      <c r="L1019" s="4" t="s">
        <v>2452</v>
      </c>
      <c r="M1019" s="82" t="s">
        <v>2745</v>
      </c>
      <c r="N1019" s="3" t="str">
        <f t="shared" ca="1" si="229"/>
        <v xml:space="preserve">3 Tahun 0 bulan </v>
      </c>
      <c r="O1019" s="56" t="s">
        <v>2746</v>
      </c>
      <c r="P1019" s="4" t="s">
        <v>35</v>
      </c>
      <c r="Q1019" s="4" t="str">
        <f t="shared" si="219"/>
        <v>Perempuan</v>
      </c>
      <c r="R1019" s="4">
        <f t="shared" si="228"/>
        <v>1</v>
      </c>
      <c r="S1019" s="4" t="str">
        <f t="shared" si="225"/>
        <v>1</v>
      </c>
      <c r="T1019" s="4">
        <f t="shared" si="226"/>
        <v>0</v>
      </c>
      <c r="U1019" s="29"/>
      <c r="V1019" s="30" t="s">
        <v>50</v>
      </c>
      <c r="W1019" s="30"/>
      <c r="X1019" s="30"/>
      <c r="Y1019" s="30"/>
      <c r="Z1019" s="30"/>
      <c r="AA1019" s="30"/>
      <c r="AB1019" s="29"/>
      <c r="AC1019" s="29"/>
      <c r="AD1019" s="37">
        <f t="shared" si="220"/>
        <v>30805</v>
      </c>
      <c r="AE1019" s="3" t="str">
        <f t="shared" ca="1" si="218"/>
        <v>42 Tahun 3 bulan 29 Hari</v>
      </c>
      <c r="AF1019" s="38">
        <f t="shared" si="221"/>
        <v>52749</v>
      </c>
    </row>
    <row r="1020" spans="1:32" s="7" customFormat="1" ht="27.75" customHeight="1" x14ac:dyDescent="0.35">
      <c r="A1020" s="26">
        <f t="shared" si="227"/>
        <v>950</v>
      </c>
      <c r="B1020" s="27" t="s">
        <v>2739</v>
      </c>
      <c r="C1020" s="299" t="s">
        <v>2790</v>
      </c>
      <c r="D1020" s="300"/>
      <c r="E1020" s="24" t="s">
        <v>2791</v>
      </c>
      <c r="F1020" s="24"/>
      <c r="G1020" s="3" t="s">
        <v>2792</v>
      </c>
      <c r="H1020" s="36" t="s">
        <v>2753</v>
      </c>
      <c r="I1020" s="48" t="s">
        <v>441</v>
      </c>
      <c r="J1020" s="82" t="s">
        <v>2745</v>
      </c>
      <c r="K1020" s="3" t="str">
        <f t="shared" ca="1" si="217"/>
        <v xml:space="preserve">3 Tahun 0 bulan </v>
      </c>
      <c r="L1020" s="4" t="s">
        <v>2452</v>
      </c>
      <c r="M1020" s="82" t="s">
        <v>2745</v>
      </c>
      <c r="N1020" s="3" t="str">
        <f t="shared" ca="1" si="229"/>
        <v xml:space="preserve">3 Tahun 0 bulan </v>
      </c>
      <c r="O1020" s="56" t="s">
        <v>2746</v>
      </c>
      <c r="P1020" s="4" t="s">
        <v>35</v>
      </c>
      <c r="Q1020" s="4" t="str">
        <f t="shared" si="219"/>
        <v>Perempuan</v>
      </c>
      <c r="R1020" s="4">
        <f t="shared" si="228"/>
        <v>1</v>
      </c>
      <c r="S1020" s="4" t="str">
        <f t="shared" si="225"/>
        <v>1</v>
      </c>
      <c r="T1020" s="4">
        <f t="shared" si="226"/>
        <v>0</v>
      </c>
      <c r="U1020" s="29"/>
      <c r="V1020" s="30" t="s">
        <v>50</v>
      </c>
      <c r="W1020" s="30"/>
      <c r="X1020" s="30"/>
      <c r="Y1020" s="30"/>
      <c r="Z1020" s="30"/>
      <c r="AA1020" s="30"/>
      <c r="AB1020" s="29"/>
      <c r="AC1020" s="29"/>
      <c r="AD1020" s="37">
        <f t="shared" si="220"/>
        <v>31264</v>
      </c>
      <c r="AE1020" s="3" t="str">
        <f t="shared" ca="1" si="218"/>
        <v>41 Tahun 0 bulan 27 Hari</v>
      </c>
      <c r="AF1020" s="38">
        <f t="shared" si="221"/>
        <v>53206</v>
      </c>
    </row>
    <row r="1021" spans="1:32" s="7" customFormat="1" ht="29.25" customHeight="1" x14ac:dyDescent="0.35">
      <c r="A1021" s="26">
        <f t="shared" si="227"/>
        <v>951</v>
      </c>
      <c r="B1021" s="27" t="s">
        <v>2739</v>
      </c>
      <c r="C1021" s="299" t="s">
        <v>2793</v>
      </c>
      <c r="D1021" s="300"/>
      <c r="E1021" s="24" t="s">
        <v>2794</v>
      </c>
      <c r="F1021" s="24"/>
      <c r="G1021" s="3" t="s">
        <v>2795</v>
      </c>
      <c r="H1021" s="36" t="s">
        <v>2753</v>
      </c>
      <c r="I1021" s="48" t="s">
        <v>441</v>
      </c>
      <c r="J1021" s="82" t="s">
        <v>2745</v>
      </c>
      <c r="K1021" s="3" t="str">
        <f t="shared" ca="1" si="217"/>
        <v xml:space="preserve">3 Tahun 0 bulan </v>
      </c>
      <c r="L1021" s="4" t="s">
        <v>2452</v>
      </c>
      <c r="M1021" s="82" t="s">
        <v>2745</v>
      </c>
      <c r="N1021" s="3" t="str">
        <f t="shared" ca="1" si="229"/>
        <v xml:space="preserve">3 Tahun 0 bulan </v>
      </c>
      <c r="O1021" s="56" t="s">
        <v>2746</v>
      </c>
      <c r="P1021" s="4" t="s">
        <v>35</v>
      </c>
      <c r="Q1021" s="4" t="str">
        <f t="shared" si="219"/>
        <v>Perempuan</v>
      </c>
      <c r="R1021" s="4">
        <f t="shared" si="228"/>
        <v>1</v>
      </c>
      <c r="S1021" s="4" t="str">
        <f t="shared" si="225"/>
        <v>1</v>
      </c>
      <c r="T1021" s="4">
        <f t="shared" si="226"/>
        <v>0</v>
      </c>
      <c r="U1021" s="29"/>
      <c r="V1021" s="30" t="s">
        <v>50</v>
      </c>
      <c r="W1021" s="30"/>
      <c r="X1021" s="30"/>
      <c r="Y1021" s="30"/>
      <c r="Z1021" s="30"/>
      <c r="AA1021" s="30"/>
      <c r="AB1021" s="29"/>
      <c r="AC1021" s="29"/>
      <c r="AD1021" s="37">
        <f t="shared" si="220"/>
        <v>30050</v>
      </c>
      <c r="AE1021" s="3" t="str">
        <f t="shared" ca="1" si="218"/>
        <v>44 Tahun 4 bulan 23 Hari</v>
      </c>
      <c r="AF1021" s="38">
        <f t="shared" si="221"/>
        <v>51987</v>
      </c>
    </row>
    <row r="1022" spans="1:32" s="7" customFormat="1" ht="29.25" customHeight="1" x14ac:dyDescent="0.35">
      <c r="A1022" s="26">
        <f t="shared" si="227"/>
        <v>952</v>
      </c>
      <c r="B1022" s="27" t="s">
        <v>2739</v>
      </c>
      <c r="C1022" s="299" t="s">
        <v>2796</v>
      </c>
      <c r="D1022" s="300"/>
      <c r="E1022" s="24" t="s">
        <v>2797</v>
      </c>
      <c r="F1022" s="24"/>
      <c r="G1022" s="44" t="s">
        <v>2798</v>
      </c>
      <c r="H1022" s="36" t="s">
        <v>2753</v>
      </c>
      <c r="I1022" s="48" t="s">
        <v>441</v>
      </c>
      <c r="J1022" s="82" t="s">
        <v>2782</v>
      </c>
      <c r="K1022" s="3" t="str">
        <f t="shared" ca="1" si="217"/>
        <v xml:space="preserve">5 Tahun 7 bulan </v>
      </c>
      <c r="L1022" s="4" t="s">
        <v>2452</v>
      </c>
      <c r="M1022" s="82" t="s">
        <v>2782</v>
      </c>
      <c r="N1022" s="3" t="str">
        <f t="shared" ca="1" si="229"/>
        <v xml:space="preserve">5 Tahun 7 bulan </v>
      </c>
      <c r="O1022" s="56" t="s">
        <v>2746</v>
      </c>
      <c r="P1022" s="4" t="s">
        <v>35</v>
      </c>
      <c r="Q1022" s="4" t="str">
        <f t="shared" si="219"/>
        <v>Laki-Laki</v>
      </c>
      <c r="R1022" s="4">
        <f t="shared" si="228"/>
        <v>1</v>
      </c>
      <c r="S1022" s="4" t="str">
        <f t="shared" si="225"/>
        <v>1</v>
      </c>
      <c r="T1022" s="4">
        <f t="shared" si="226"/>
        <v>0</v>
      </c>
      <c r="U1022" s="29"/>
      <c r="V1022" s="30" t="s">
        <v>50</v>
      </c>
      <c r="W1022" s="30"/>
      <c r="X1022" s="30"/>
      <c r="Y1022" s="30"/>
      <c r="Z1022" s="30"/>
      <c r="AA1022" s="30"/>
      <c r="AB1022" s="29"/>
      <c r="AC1022" s="29"/>
      <c r="AD1022" s="37">
        <f t="shared" si="220"/>
        <v>29853</v>
      </c>
      <c r="AE1022" s="3" t="str">
        <f t="shared" ca="1" si="218"/>
        <v>44 Tahun 11 bulan 8 Hari</v>
      </c>
      <c r="AF1022" s="38">
        <f t="shared" si="221"/>
        <v>51775</v>
      </c>
    </row>
    <row r="1023" spans="1:32" s="7" customFormat="1" ht="24.75" customHeight="1" x14ac:dyDescent="0.35">
      <c r="A1023" s="26">
        <f t="shared" si="227"/>
        <v>953</v>
      </c>
      <c r="B1023" s="27" t="s">
        <v>2739</v>
      </c>
      <c r="C1023" s="299" t="s">
        <v>2799</v>
      </c>
      <c r="D1023" s="300"/>
      <c r="E1023" s="24" t="s">
        <v>2800</v>
      </c>
      <c r="F1023" s="24"/>
      <c r="G1023" s="3" t="s">
        <v>2801</v>
      </c>
      <c r="H1023" s="4" t="s">
        <v>2780</v>
      </c>
      <c r="I1023" s="25" t="s">
        <v>2781</v>
      </c>
      <c r="J1023" s="82" t="s">
        <v>2745</v>
      </c>
      <c r="K1023" s="3" t="str">
        <f t="shared" ca="1" si="217"/>
        <v xml:space="preserve">3 Tahun 0 bulan </v>
      </c>
      <c r="L1023" s="4" t="s">
        <v>2452</v>
      </c>
      <c r="M1023" s="82" t="s">
        <v>2745</v>
      </c>
      <c r="N1023" s="3" t="str">
        <f t="shared" ca="1" si="229"/>
        <v xml:space="preserve">3 Tahun 0 bulan </v>
      </c>
      <c r="O1023" s="56" t="s">
        <v>2746</v>
      </c>
      <c r="P1023" s="4" t="s">
        <v>35</v>
      </c>
      <c r="Q1023" s="4" t="str">
        <f t="shared" si="219"/>
        <v>Laki-Laki</v>
      </c>
      <c r="R1023" s="4">
        <f>R1021</f>
        <v>1</v>
      </c>
      <c r="S1023" s="4" t="str">
        <f t="shared" si="225"/>
        <v>1</v>
      </c>
      <c r="T1023" s="4">
        <f t="shared" si="226"/>
        <v>0</v>
      </c>
      <c r="U1023" s="29"/>
      <c r="V1023" s="30" t="s">
        <v>50</v>
      </c>
      <c r="W1023" s="30"/>
      <c r="X1023" s="30"/>
      <c r="Y1023" s="30"/>
      <c r="Z1023" s="30"/>
      <c r="AA1023" s="30"/>
      <c r="AB1023" s="29"/>
      <c r="AC1023" s="29"/>
      <c r="AD1023" s="37">
        <f t="shared" si="220"/>
        <v>30015</v>
      </c>
      <c r="AE1023" s="3" t="str">
        <f t="shared" ca="1" si="218"/>
        <v>44 Tahun 5 bulan 27 Hari</v>
      </c>
      <c r="AF1023" s="38">
        <f t="shared" si="221"/>
        <v>51957</v>
      </c>
    </row>
    <row r="1024" spans="1:32" s="7" customFormat="1" ht="24" customHeight="1" x14ac:dyDescent="0.35">
      <c r="A1024" s="26">
        <f t="shared" si="227"/>
        <v>954</v>
      </c>
      <c r="B1024" s="27" t="s">
        <v>2739</v>
      </c>
      <c r="C1024" s="299" t="s">
        <v>2802</v>
      </c>
      <c r="D1024" s="300"/>
      <c r="E1024" s="71" t="s">
        <v>2803</v>
      </c>
      <c r="F1024" s="71"/>
      <c r="G1024" s="70" t="s">
        <v>2804</v>
      </c>
      <c r="H1024" s="36" t="s">
        <v>2753</v>
      </c>
      <c r="I1024" s="48" t="s">
        <v>2767</v>
      </c>
      <c r="J1024" s="82" t="s">
        <v>2745</v>
      </c>
      <c r="K1024" s="3" t="str">
        <f t="shared" ca="1" si="217"/>
        <v xml:space="preserve">3 Tahun 0 bulan </v>
      </c>
      <c r="L1024" s="4" t="s">
        <v>2452</v>
      </c>
      <c r="M1024" s="82" t="s">
        <v>2745</v>
      </c>
      <c r="N1024" s="3" t="str">
        <f t="shared" ca="1" si="229"/>
        <v xml:space="preserve">3 Tahun 0 bulan </v>
      </c>
      <c r="O1024" s="56" t="s">
        <v>2746</v>
      </c>
      <c r="P1024" s="4" t="s">
        <v>2805</v>
      </c>
      <c r="Q1024" s="4" t="str">
        <f t="shared" si="219"/>
        <v>Laki-Laki</v>
      </c>
      <c r="R1024" s="4">
        <f t="shared" si="228"/>
        <v>1</v>
      </c>
      <c r="S1024" s="4" t="str">
        <f t="shared" si="225"/>
        <v>1</v>
      </c>
      <c r="T1024" s="4">
        <f t="shared" si="226"/>
        <v>0</v>
      </c>
      <c r="U1024" s="29"/>
      <c r="V1024" s="30" t="s">
        <v>50</v>
      </c>
      <c r="W1024" s="30"/>
      <c r="X1024" s="30"/>
      <c r="Y1024" s="30"/>
      <c r="Z1024" s="30"/>
      <c r="AA1024" s="30"/>
      <c r="AB1024" s="29"/>
      <c r="AC1024" s="29"/>
      <c r="AD1024" s="37">
        <f t="shared" si="220"/>
        <v>31025</v>
      </c>
      <c r="AE1024" s="3" t="str">
        <f t="shared" ca="1" si="218"/>
        <v>41 Tahun 8 bulan 23 Hari</v>
      </c>
      <c r="AF1024" s="38">
        <f t="shared" si="221"/>
        <v>52963</v>
      </c>
    </row>
    <row r="1025" spans="1:33" ht="27.75" customHeight="1" x14ac:dyDescent="0.35">
      <c r="A1025" s="26">
        <f t="shared" si="227"/>
        <v>955</v>
      </c>
      <c r="B1025" s="27" t="s">
        <v>2739</v>
      </c>
      <c r="C1025" s="299" t="s">
        <v>2806</v>
      </c>
      <c r="D1025" s="300"/>
      <c r="E1025" s="24" t="s">
        <v>2807</v>
      </c>
      <c r="F1025" s="24"/>
      <c r="G1025" s="3" t="s">
        <v>2808</v>
      </c>
      <c r="H1025" s="4" t="s">
        <v>2780</v>
      </c>
      <c r="I1025" s="25" t="s">
        <v>2781</v>
      </c>
      <c r="J1025" s="82" t="s">
        <v>2745</v>
      </c>
      <c r="K1025" s="3" t="str">
        <f t="shared" ca="1" si="217"/>
        <v xml:space="preserve">3 Tahun 0 bulan </v>
      </c>
      <c r="L1025" s="4" t="s">
        <v>2452</v>
      </c>
      <c r="M1025" s="82" t="s">
        <v>2745</v>
      </c>
      <c r="N1025" s="3" t="str">
        <f t="shared" ca="1" si="229"/>
        <v xml:space="preserve">3 Tahun 0 bulan </v>
      </c>
      <c r="O1025" s="56" t="s">
        <v>2746</v>
      </c>
      <c r="P1025" s="4" t="s">
        <v>35</v>
      </c>
      <c r="Q1025" s="4" t="str">
        <f t="shared" si="219"/>
        <v>Laki-Laki</v>
      </c>
      <c r="R1025" s="4">
        <f t="shared" si="228"/>
        <v>1</v>
      </c>
      <c r="S1025" s="4" t="str">
        <f t="shared" si="225"/>
        <v>1</v>
      </c>
      <c r="T1025" s="4">
        <f t="shared" si="226"/>
        <v>0</v>
      </c>
      <c r="U1025" s="29"/>
      <c r="V1025" s="30" t="s">
        <v>50</v>
      </c>
      <c r="W1025" s="30"/>
      <c r="X1025" s="30"/>
      <c r="Y1025" s="30"/>
      <c r="Z1025" s="30"/>
      <c r="AA1025" s="30"/>
      <c r="AB1025" s="29"/>
      <c r="AC1025" s="29"/>
      <c r="AD1025" s="37">
        <f t="shared" si="220"/>
        <v>30640</v>
      </c>
      <c r="AE1025" s="3" t="str">
        <f t="shared" ca="1" si="218"/>
        <v>42 Tahun 9 bulan 12 Hari</v>
      </c>
      <c r="AF1025" s="38">
        <f t="shared" si="221"/>
        <v>52566</v>
      </c>
      <c r="AG1025" s="7"/>
    </row>
    <row r="1026" spans="1:33" ht="29.25" customHeight="1" x14ac:dyDescent="0.35">
      <c r="A1026" s="26">
        <f t="shared" si="227"/>
        <v>956</v>
      </c>
      <c r="B1026" s="27" t="s">
        <v>2739</v>
      </c>
      <c r="C1026" s="299" t="s">
        <v>2809</v>
      </c>
      <c r="D1026" s="300"/>
      <c r="E1026" s="24" t="s">
        <v>2810</v>
      </c>
      <c r="F1026" s="24"/>
      <c r="G1026" s="44" t="s">
        <v>2811</v>
      </c>
      <c r="H1026" s="36" t="s">
        <v>2753</v>
      </c>
      <c r="I1026" s="48" t="s">
        <v>441</v>
      </c>
      <c r="J1026" s="82" t="s">
        <v>2745</v>
      </c>
      <c r="K1026" s="3" t="str">
        <f t="shared" ca="1" si="217"/>
        <v xml:space="preserve">3 Tahun 0 bulan </v>
      </c>
      <c r="L1026" s="4" t="s">
        <v>2452</v>
      </c>
      <c r="M1026" s="82" t="s">
        <v>2745</v>
      </c>
      <c r="N1026" s="3" t="str">
        <f t="shared" ca="1" si="229"/>
        <v xml:space="preserve">3 Tahun 0 bulan </v>
      </c>
      <c r="O1026" s="56" t="s">
        <v>2746</v>
      </c>
      <c r="P1026" s="4" t="s">
        <v>35</v>
      </c>
      <c r="Q1026" s="4" t="str">
        <f t="shared" si="219"/>
        <v>Laki-Laki</v>
      </c>
      <c r="R1026" s="4">
        <f t="shared" si="228"/>
        <v>1</v>
      </c>
      <c r="S1026" s="4" t="str">
        <f t="shared" si="225"/>
        <v>1</v>
      </c>
      <c r="T1026" s="4">
        <f t="shared" si="226"/>
        <v>0</v>
      </c>
      <c r="U1026" s="29"/>
      <c r="V1026" s="30" t="s">
        <v>50</v>
      </c>
      <c r="W1026" s="30"/>
      <c r="X1026" s="30"/>
      <c r="Y1026" s="30"/>
      <c r="Z1026" s="30"/>
      <c r="AA1026" s="30"/>
      <c r="AB1026" s="29"/>
      <c r="AC1026" s="29"/>
      <c r="AD1026" s="37">
        <f t="shared" si="220"/>
        <v>31589</v>
      </c>
      <c r="AE1026" s="3" t="str">
        <f t="shared" ca="1" si="218"/>
        <v>40 Tahun 2 bulan 6 Hari</v>
      </c>
      <c r="AF1026" s="38">
        <f t="shared" si="221"/>
        <v>53509</v>
      </c>
      <c r="AG1026" s="7"/>
    </row>
    <row r="1027" spans="1:33" ht="12" customHeight="1" x14ac:dyDescent="0.35">
      <c r="H1027" s="10"/>
      <c r="J1027" s="10"/>
      <c r="K1027" s="10"/>
      <c r="O1027" s="10"/>
      <c r="P1027" s="10"/>
      <c r="Q1027" s="10"/>
    </row>
    <row r="1028" spans="1:33" ht="22.5" customHeight="1" x14ac:dyDescent="0.35">
      <c r="D1028" s="6">
        <f>175+35</f>
        <v>210</v>
      </c>
      <c r="G1028" s="13"/>
      <c r="H1028" s="302" t="s">
        <v>2812</v>
      </c>
      <c r="I1028" s="302"/>
      <c r="J1028" s="302"/>
      <c r="K1028" s="14"/>
      <c r="L1028" s="14"/>
      <c r="M1028" s="14"/>
      <c r="N1028" s="14"/>
      <c r="O1028" s="14"/>
      <c r="P1028" s="14"/>
      <c r="Q1028" s="14"/>
    </row>
    <row r="1029" spans="1:33" ht="34" customHeight="1" x14ac:dyDescent="0.35">
      <c r="D1029" s="6">
        <v>5</v>
      </c>
      <c r="E1029" s="15"/>
      <c r="F1029" s="16"/>
      <c r="H1029" s="10"/>
      <c r="J1029" s="10"/>
      <c r="K1029" s="10"/>
      <c r="O1029" s="10"/>
      <c r="P1029" s="10"/>
      <c r="Q1029" s="10"/>
    </row>
    <row r="1030" spans="1:33" ht="12" customHeight="1" x14ac:dyDescent="0.35">
      <c r="D1030" s="15"/>
      <c r="E1030" s="15"/>
      <c r="F1030" s="16"/>
    </row>
    <row r="1031" spans="1:33" ht="28.75" customHeight="1" x14ac:dyDescent="0.35">
      <c r="H1031" s="303" t="s">
        <v>2868</v>
      </c>
      <c r="I1031" s="302"/>
    </row>
    <row r="1032" spans="1:33" ht="22.5" customHeight="1" x14ac:dyDescent="0.35">
      <c r="H1032" s="302"/>
      <c r="I1032" s="302"/>
    </row>
    <row r="1033" spans="1:33" ht="15.5" x14ac:dyDescent="0.35">
      <c r="D1033" s="17"/>
    </row>
    <row r="1034" spans="1:33" ht="15.5" x14ac:dyDescent="0.35">
      <c r="D1034" s="17"/>
    </row>
    <row r="1035" spans="1:33" ht="15.5" x14ac:dyDescent="0.35">
      <c r="D1035" s="17"/>
    </row>
    <row r="1036" spans="1:33" ht="15.5" x14ac:dyDescent="0.35">
      <c r="D1036" s="17"/>
    </row>
    <row r="1037" spans="1:33" ht="15.5" x14ac:dyDescent="0.35">
      <c r="D1037" s="17"/>
    </row>
    <row r="1038" spans="1:33" ht="15.5" x14ac:dyDescent="0.35">
      <c r="D1038" s="17"/>
    </row>
    <row r="1039" spans="1:33" ht="15.5" x14ac:dyDescent="0.35">
      <c r="D1039" s="17"/>
    </row>
    <row r="1040" spans="1:33" ht="15.5" x14ac:dyDescent="0.35">
      <c r="D1040" s="17"/>
    </row>
    <row r="1041" spans="4:4" ht="15.5" x14ac:dyDescent="0.35">
      <c r="D1041" s="17"/>
    </row>
  </sheetData>
  <sheetProtection formatColumns="0"/>
  <autoFilter ref="A3:AF1026" xr:uid="{431E7BCC-7E4A-4E83-9FCC-741624DA2333}">
    <filterColumn colId="2" showButton="0"/>
  </autoFilter>
  <mergeCells count="491">
    <mergeCell ref="E695:AF695"/>
    <mergeCell ref="E705:AF705"/>
    <mergeCell ref="E6:AF6"/>
    <mergeCell ref="E600:AF600"/>
    <mergeCell ref="E615:AF615"/>
    <mergeCell ref="E625:AF625"/>
    <mergeCell ref="E635:AF635"/>
    <mergeCell ref="E645:AF645"/>
    <mergeCell ref="E655:AF655"/>
    <mergeCell ref="E665:AF665"/>
    <mergeCell ref="E675:AF675"/>
    <mergeCell ref="E685:AF685"/>
    <mergeCell ref="E534:AF534"/>
    <mergeCell ref="E572:AF572"/>
    <mergeCell ref="E586:AF586"/>
    <mergeCell ref="E102:AF102"/>
    <mergeCell ref="E208:AF208"/>
    <mergeCell ref="E226:AF226"/>
    <mergeCell ref="C333:AF333"/>
    <mergeCell ref="C677:D677"/>
    <mergeCell ref="C685:D685"/>
    <mergeCell ref="C686:D686"/>
    <mergeCell ref="C687:D687"/>
    <mergeCell ref="C695:D695"/>
    <mergeCell ref="H1028:J1028"/>
    <mergeCell ref="H1031:I1031"/>
    <mergeCell ref="H1032:I1032"/>
    <mergeCell ref="C1021:D1021"/>
    <mergeCell ref="C1022:D1022"/>
    <mergeCell ref="C1023:D1023"/>
    <mergeCell ref="C1024:D1024"/>
    <mergeCell ref="C1025:D1025"/>
    <mergeCell ref="C1026:D1026"/>
    <mergeCell ref="C1015:D1015"/>
    <mergeCell ref="C1016:D1016"/>
    <mergeCell ref="C1017:D1017"/>
    <mergeCell ref="C1018:D1018"/>
    <mergeCell ref="C1019:D1019"/>
    <mergeCell ref="C1020:D1020"/>
    <mergeCell ref="C1009:D1009"/>
    <mergeCell ref="C1010:D1010"/>
    <mergeCell ref="C1011:D1011"/>
    <mergeCell ref="C1012:D1012"/>
    <mergeCell ref="C1013:D1013"/>
    <mergeCell ref="C1014:D1014"/>
    <mergeCell ref="C1003:D1003"/>
    <mergeCell ref="C1004:D1004"/>
    <mergeCell ref="C1005:D1005"/>
    <mergeCell ref="C1006:D1006"/>
    <mergeCell ref="C1007:D1007"/>
    <mergeCell ref="C1008:D1008"/>
    <mergeCell ref="C997:D997"/>
    <mergeCell ref="C998:D998"/>
    <mergeCell ref="C999:D999"/>
    <mergeCell ref="C1000:D1000"/>
    <mergeCell ref="C1001:D1001"/>
    <mergeCell ref="C1002:D1002"/>
    <mergeCell ref="C991:D991"/>
    <mergeCell ref="C992:D992"/>
    <mergeCell ref="C993:D993"/>
    <mergeCell ref="C994:D994"/>
    <mergeCell ref="C995:D995"/>
    <mergeCell ref="C996:D996"/>
    <mergeCell ref="C985:D985"/>
    <mergeCell ref="C986:D986"/>
    <mergeCell ref="C987:D987"/>
    <mergeCell ref="C988:D988"/>
    <mergeCell ref="C989:D989"/>
    <mergeCell ref="C990:D990"/>
    <mergeCell ref="C976:D976"/>
    <mergeCell ref="C980:D980"/>
    <mergeCell ref="C981:D981"/>
    <mergeCell ref="C982:D982"/>
    <mergeCell ref="C983:D983"/>
    <mergeCell ref="C984:D984"/>
    <mergeCell ref="C970:D970"/>
    <mergeCell ref="C971:D971"/>
    <mergeCell ref="C972:D972"/>
    <mergeCell ref="C973:D973"/>
    <mergeCell ref="C974:D974"/>
    <mergeCell ref="C975:D975"/>
    <mergeCell ref="C978:D978"/>
    <mergeCell ref="C979:D979"/>
    <mergeCell ref="C964:D964"/>
    <mergeCell ref="C965:D965"/>
    <mergeCell ref="C966:D966"/>
    <mergeCell ref="C967:D967"/>
    <mergeCell ref="C968:D968"/>
    <mergeCell ref="C969:D969"/>
    <mergeCell ref="C958:D958"/>
    <mergeCell ref="C959:D959"/>
    <mergeCell ref="C960:D960"/>
    <mergeCell ref="C961:D961"/>
    <mergeCell ref="C962:D962"/>
    <mergeCell ref="C963:D963"/>
    <mergeCell ref="C950:D950"/>
    <mergeCell ref="C952:D952"/>
    <mergeCell ref="C954:D954"/>
    <mergeCell ref="C955:D955"/>
    <mergeCell ref="C956:D956"/>
    <mergeCell ref="C957:D957"/>
    <mergeCell ref="C938:D938"/>
    <mergeCell ref="C940:D940"/>
    <mergeCell ref="C942:D942"/>
    <mergeCell ref="C944:D944"/>
    <mergeCell ref="C946:D946"/>
    <mergeCell ref="C948:D948"/>
    <mergeCell ref="C926:D926"/>
    <mergeCell ref="C928:D928"/>
    <mergeCell ref="C930:D930"/>
    <mergeCell ref="C932:D932"/>
    <mergeCell ref="C934:D934"/>
    <mergeCell ref="C936:D936"/>
    <mergeCell ref="C914:D914"/>
    <mergeCell ref="C916:D916"/>
    <mergeCell ref="C918:D918"/>
    <mergeCell ref="C920:D920"/>
    <mergeCell ref="C922:D922"/>
    <mergeCell ref="C924:D924"/>
    <mergeCell ref="C902:D902"/>
    <mergeCell ref="C904:D904"/>
    <mergeCell ref="C906:D906"/>
    <mergeCell ref="C908:D908"/>
    <mergeCell ref="C910:D910"/>
    <mergeCell ref="C912:D912"/>
    <mergeCell ref="C892:D892"/>
    <mergeCell ref="C894:D894"/>
    <mergeCell ref="C896:D896"/>
    <mergeCell ref="C897:D897"/>
    <mergeCell ref="C899:D899"/>
    <mergeCell ref="C901:D901"/>
    <mergeCell ref="C881:D881"/>
    <mergeCell ref="C883:D883"/>
    <mergeCell ref="C885:D885"/>
    <mergeCell ref="C887:D887"/>
    <mergeCell ref="C888:D888"/>
    <mergeCell ref="C890:D890"/>
    <mergeCell ref="C869:D869"/>
    <mergeCell ref="C871:D871"/>
    <mergeCell ref="C873:D873"/>
    <mergeCell ref="C875:D875"/>
    <mergeCell ref="C877:D877"/>
    <mergeCell ref="C879:D879"/>
    <mergeCell ref="C857:D857"/>
    <mergeCell ref="C859:D859"/>
    <mergeCell ref="C861:D861"/>
    <mergeCell ref="C863:D863"/>
    <mergeCell ref="C865:D865"/>
    <mergeCell ref="C867:D867"/>
    <mergeCell ref="C850:D850"/>
    <mergeCell ref="C851:D851"/>
    <mergeCell ref="C852:D852"/>
    <mergeCell ref="C853:D853"/>
    <mergeCell ref="C854:D854"/>
    <mergeCell ref="C855:D855"/>
    <mergeCell ref="C844:D844"/>
    <mergeCell ref="C845:D845"/>
    <mergeCell ref="C846:D846"/>
    <mergeCell ref="C847:D847"/>
    <mergeCell ref="C848:D848"/>
    <mergeCell ref="C849:D849"/>
    <mergeCell ref="C838:D838"/>
    <mergeCell ref="C839:D839"/>
    <mergeCell ref="C840:D840"/>
    <mergeCell ref="C841:D841"/>
    <mergeCell ref="C842:D842"/>
    <mergeCell ref="C843:D843"/>
    <mergeCell ref="C829:D829"/>
    <mergeCell ref="C833:D833"/>
    <mergeCell ref="C834:D834"/>
    <mergeCell ref="C835:D835"/>
    <mergeCell ref="C836:D836"/>
    <mergeCell ref="C837:D837"/>
    <mergeCell ref="C817:D817"/>
    <mergeCell ref="C821:D821"/>
    <mergeCell ref="C822:D822"/>
    <mergeCell ref="C823:D823"/>
    <mergeCell ref="C827:D827"/>
    <mergeCell ref="C828:D828"/>
    <mergeCell ref="C797:D797"/>
    <mergeCell ref="C805:D805"/>
    <mergeCell ref="C806:D806"/>
    <mergeCell ref="C807:D807"/>
    <mergeCell ref="C815:D815"/>
    <mergeCell ref="C816:D816"/>
    <mergeCell ref="C777:D777"/>
    <mergeCell ref="C785:D785"/>
    <mergeCell ref="C786:D786"/>
    <mergeCell ref="C787:D787"/>
    <mergeCell ref="C795:D795"/>
    <mergeCell ref="C796:D796"/>
    <mergeCell ref="C757:D757"/>
    <mergeCell ref="C765:D765"/>
    <mergeCell ref="C766:D766"/>
    <mergeCell ref="C767:D767"/>
    <mergeCell ref="C775:D775"/>
    <mergeCell ref="C776:D776"/>
    <mergeCell ref="C737:D737"/>
    <mergeCell ref="C745:D745"/>
    <mergeCell ref="C746:D746"/>
    <mergeCell ref="C747:D747"/>
    <mergeCell ref="C755:D755"/>
    <mergeCell ref="C756:D756"/>
    <mergeCell ref="C717:D717"/>
    <mergeCell ref="C725:D725"/>
    <mergeCell ref="C726:D726"/>
    <mergeCell ref="C727:D727"/>
    <mergeCell ref="C735:D735"/>
    <mergeCell ref="C736:D736"/>
    <mergeCell ref="C697:D697"/>
    <mergeCell ref="C705:D705"/>
    <mergeCell ref="C706:D706"/>
    <mergeCell ref="C707:D707"/>
    <mergeCell ref="C715:D715"/>
    <mergeCell ref="C716:D716"/>
    <mergeCell ref="C696:D696"/>
    <mergeCell ref="C657:D657"/>
    <mergeCell ref="C665:D665"/>
    <mergeCell ref="C666:D666"/>
    <mergeCell ref="C667:D667"/>
    <mergeCell ref="C675:D675"/>
    <mergeCell ref="C676:D676"/>
    <mergeCell ref="C637:D637"/>
    <mergeCell ref="C645:D645"/>
    <mergeCell ref="C646:D646"/>
    <mergeCell ref="C647:D647"/>
    <mergeCell ref="C655:D655"/>
    <mergeCell ref="C656:D656"/>
    <mergeCell ref="C617:D617"/>
    <mergeCell ref="C625:D625"/>
    <mergeCell ref="C626:D626"/>
    <mergeCell ref="C627:D627"/>
    <mergeCell ref="C635:D635"/>
    <mergeCell ref="C636:D636"/>
    <mergeCell ref="C602:D602"/>
    <mergeCell ref="C606:D606"/>
    <mergeCell ref="C609:D609"/>
    <mergeCell ref="C612:D612"/>
    <mergeCell ref="C615:D615"/>
    <mergeCell ref="C616:D616"/>
    <mergeCell ref="C587:D587"/>
    <mergeCell ref="C591:D591"/>
    <mergeCell ref="C594:D594"/>
    <mergeCell ref="C597:D597"/>
    <mergeCell ref="C600:D600"/>
    <mergeCell ref="C601:D601"/>
    <mergeCell ref="C573:D573"/>
    <mergeCell ref="C574:D574"/>
    <mergeCell ref="C577:D577"/>
    <mergeCell ref="C580:D580"/>
    <mergeCell ref="C583:D583"/>
    <mergeCell ref="C586:D586"/>
    <mergeCell ref="C557:D557"/>
    <mergeCell ref="C558:D558"/>
    <mergeCell ref="C561:D561"/>
    <mergeCell ref="C565:D565"/>
    <mergeCell ref="C568:D568"/>
    <mergeCell ref="C572:D572"/>
    <mergeCell ref="C536:D536"/>
    <mergeCell ref="C540:D540"/>
    <mergeCell ref="C544:D544"/>
    <mergeCell ref="C548:D548"/>
    <mergeCell ref="C552:D552"/>
    <mergeCell ref="C556:D556"/>
    <mergeCell ref="C518:D518"/>
    <mergeCell ref="C522:D522"/>
    <mergeCell ref="C526:D526"/>
    <mergeCell ref="C530:D530"/>
    <mergeCell ref="C534:D534"/>
    <mergeCell ref="C535:D535"/>
    <mergeCell ref="C500:D500"/>
    <mergeCell ref="C504:D504"/>
    <mergeCell ref="C508:D508"/>
    <mergeCell ref="C512:D512"/>
    <mergeCell ref="C513:D513"/>
    <mergeCell ref="C514:D514"/>
    <mergeCell ref="C483:D483"/>
    <mergeCell ref="C486:D486"/>
    <mergeCell ref="C487:D487"/>
    <mergeCell ref="C488:D488"/>
    <mergeCell ref="C492:D492"/>
    <mergeCell ref="C496:D496"/>
    <mergeCell ref="C468:D468"/>
    <mergeCell ref="C469:D469"/>
    <mergeCell ref="C470:D470"/>
    <mergeCell ref="C474:D474"/>
    <mergeCell ref="C477:D477"/>
    <mergeCell ref="C480:D480"/>
    <mergeCell ref="C453:D453"/>
    <mergeCell ref="C454:D454"/>
    <mergeCell ref="C455:D455"/>
    <mergeCell ref="C459:D459"/>
    <mergeCell ref="C462:D462"/>
    <mergeCell ref="C465:D465"/>
    <mergeCell ref="C432:D432"/>
    <mergeCell ref="C433:D433"/>
    <mergeCell ref="C437:D437"/>
    <mergeCell ref="C441:D441"/>
    <mergeCell ref="C445:D445"/>
    <mergeCell ref="C449:D449"/>
    <mergeCell ref="C412:D412"/>
    <mergeCell ref="C415:D415"/>
    <mergeCell ref="C419:D419"/>
    <mergeCell ref="C423:D423"/>
    <mergeCell ref="C427:D427"/>
    <mergeCell ref="C431:D431"/>
    <mergeCell ref="C394:D394"/>
    <mergeCell ref="C398:D398"/>
    <mergeCell ref="C402:D402"/>
    <mergeCell ref="C406:D406"/>
    <mergeCell ref="C407:D407"/>
    <mergeCell ref="C408:D408"/>
    <mergeCell ref="C380:D380"/>
    <mergeCell ref="C383:D383"/>
    <mergeCell ref="C386:D386"/>
    <mergeCell ref="C389:D389"/>
    <mergeCell ref="C390:D390"/>
    <mergeCell ref="C391:D391"/>
    <mergeCell ref="C364:D364"/>
    <mergeCell ref="C367:D367"/>
    <mergeCell ref="C371:D371"/>
    <mergeCell ref="C372:D372"/>
    <mergeCell ref="C373:D373"/>
    <mergeCell ref="C377:D377"/>
    <mergeCell ref="C347:D347"/>
    <mergeCell ref="C351:D351"/>
    <mergeCell ref="C355:D355"/>
    <mergeCell ref="C359:D359"/>
    <mergeCell ref="C360:D360"/>
    <mergeCell ref="C361:D361"/>
    <mergeCell ref="C330:D330"/>
    <mergeCell ref="C334:D334"/>
    <mergeCell ref="C335:D335"/>
    <mergeCell ref="C339:D339"/>
    <mergeCell ref="C343:D343"/>
    <mergeCell ref="C314:D314"/>
    <mergeCell ref="C315:D315"/>
    <mergeCell ref="C316:D316"/>
    <mergeCell ref="C320:D320"/>
    <mergeCell ref="C324:D324"/>
    <mergeCell ref="C327:D327"/>
    <mergeCell ref="C300:D300"/>
    <mergeCell ref="C301:D301"/>
    <mergeCell ref="C302:D302"/>
    <mergeCell ref="C305:D305"/>
    <mergeCell ref="C308:D308"/>
    <mergeCell ref="C311:D311"/>
    <mergeCell ref="C283:D283"/>
    <mergeCell ref="C284:D284"/>
    <mergeCell ref="C288:D288"/>
    <mergeCell ref="C291:D291"/>
    <mergeCell ref="C294:D294"/>
    <mergeCell ref="C297:D297"/>
    <mergeCell ref="C262:D262"/>
    <mergeCell ref="C266:D266"/>
    <mergeCell ref="C270:D270"/>
    <mergeCell ref="C274:D274"/>
    <mergeCell ref="C278:D278"/>
    <mergeCell ref="C282:D282"/>
    <mergeCell ref="C244:D244"/>
    <mergeCell ref="C248:D248"/>
    <mergeCell ref="C252:D252"/>
    <mergeCell ref="C256:D256"/>
    <mergeCell ref="C260:D260"/>
    <mergeCell ref="C261:D261"/>
    <mergeCell ref="C228:D228"/>
    <mergeCell ref="C231:D231"/>
    <mergeCell ref="C235:D235"/>
    <mergeCell ref="C238:D238"/>
    <mergeCell ref="C239:D239"/>
    <mergeCell ref="C240:D240"/>
    <mergeCell ref="C214:D214"/>
    <mergeCell ref="C217:D217"/>
    <mergeCell ref="C220:D220"/>
    <mergeCell ref="C223:D223"/>
    <mergeCell ref="C226:D226"/>
    <mergeCell ref="C227:D227"/>
    <mergeCell ref="C196:D196"/>
    <mergeCell ref="C200:D200"/>
    <mergeCell ref="C204:D204"/>
    <mergeCell ref="C208:D208"/>
    <mergeCell ref="C209:D209"/>
    <mergeCell ref="C210:D210"/>
    <mergeCell ref="C178:D178"/>
    <mergeCell ref="C179:D179"/>
    <mergeCell ref="C180:D180"/>
    <mergeCell ref="C184:D184"/>
    <mergeCell ref="C188:D188"/>
    <mergeCell ref="C192:D192"/>
    <mergeCell ref="C160:D160"/>
    <mergeCell ref="C161:D161"/>
    <mergeCell ref="C165:D165"/>
    <mergeCell ref="C168:D168"/>
    <mergeCell ref="C171:D171"/>
    <mergeCell ref="C175:D175"/>
    <mergeCell ref="C139:D139"/>
    <mergeCell ref="C143:D143"/>
    <mergeCell ref="C147:D147"/>
    <mergeCell ref="C151:D151"/>
    <mergeCell ref="C155:D155"/>
    <mergeCell ref="C159:D159"/>
    <mergeCell ref="C124:D124"/>
    <mergeCell ref="C127:D127"/>
    <mergeCell ref="C130:D130"/>
    <mergeCell ref="C133:D133"/>
    <mergeCell ref="C134:D134"/>
    <mergeCell ref="C135:D135"/>
    <mergeCell ref="C116:D116"/>
    <mergeCell ref="C117:D117"/>
    <mergeCell ref="C121:D121"/>
    <mergeCell ref="C93:D93"/>
    <mergeCell ref="C96:D96"/>
    <mergeCell ref="C99:D99"/>
    <mergeCell ref="C102:D102"/>
    <mergeCell ref="C103:D103"/>
    <mergeCell ref="C104:D104"/>
    <mergeCell ref="C57:D57"/>
    <mergeCell ref="C58:D58"/>
    <mergeCell ref="C59:D59"/>
    <mergeCell ref="C63:D63"/>
    <mergeCell ref="C67:D67"/>
    <mergeCell ref="C70:D70"/>
    <mergeCell ref="C107:D107"/>
    <mergeCell ref="C111:D111"/>
    <mergeCell ref="C115:D115"/>
    <mergeCell ref="C82:D82"/>
    <mergeCell ref="C83:D83"/>
    <mergeCell ref="C84:D84"/>
    <mergeCell ref="C85:D85"/>
    <mergeCell ref="C86:D86"/>
    <mergeCell ref="C90:D90"/>
    <mergeCell ref="C73:D73"/>
    <mergeCell ref="C74:D74"/>
    <mergeCell ref="C75:D75"/>
    <mergeCell ref="C79:D79"/>
    <mergeCell ref="C80:D80"/>
    <mergeCell ref="C81:D81"/>
    <mergeCell ref="A1:P1"/>
    <mergeCell ref="C3:D3"/>
    <mergeCell ref="C4:D4"/>
    <mergeCell ref="C5:D5"/>
    <mergeCell ref="C6:D6"/>
    <mergeCell ref="C37:D37"/>
    <mergeCell ref="C41:D41"/>
    <mergeCell ref="C42:D42"/>
    <mergeCell ref="E512:AF512"/>
    <mergeCell ref="E57:AF57"/>
    <mergeCell ref="E73:AF73"/>
    <mergeCell ref="E115:AF115"/>
    <mergeCell ref="E133:AF133"/>
    <mergeCell ref="E159:AF159"/>
    <mergeCell ref="E178:V178"/>
    <mergeCell ref="E389:V389"/>
    <mergeCell ref="E453:AF453"/>
    <mergeCell ref="E468:AF468"/>
    <mergeCell ref="C46:D46"/>
    <mergeCell ref="C50:D50"/>
    <mergeCell ref="C54:D54"/>
    <mergeCell ref="C12:D12"/>
    <mergeCell ref="C16:D16"/>
    <mergeCell ref="C24:D24"/>
    <mergeCell ref="C7:D7"/>
    <mergeCell ref="C8:D8"/>
    <mergeCell ref="C9:D9"/>
    <mergeCell ref="C10:D10"/>
    <mergeCell ref="C11:D11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6:D26"/>
    <mergeCell ref="C27:D27"/>
    <mergeCell ref="C38:D38"/>
    <mergeCell ref="C39:D39"/>
    <mergeCell ref="C40:D40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</mergeCells>
  <phoneticPr fontId="23" type="noConversion"/>
  <conditionalFormatting sqref="B247">
    <cfRule type="containsText" dxfId="725" priority="92" operator="containsText" text="Lowong">
      <formula>NOT(ISERROR(SEARCH("Lowong",B247)))</formula>
    </cfRule>
    <cfRule type="duplicateValues" dxfId="724" priority="93"/>
    <cfRule type="duplicateValues" dxfId="723" priority="94"/>
    <cfRule type="expression" dxfId="722" priority="95">
      <formula>$F247="Pelaksana Tugas"</formula>
    </cfRule>
    <cfRule type="cellIs" dxfId="721" priority="96" operator="equal">
      <formula>"lowong"</formula>
    </cfRule>
    <cfRule type="cellIs" dxfId="720" priority="97" operator="equal">
      <formula>"lowong"</formula>
    </cfRule>
    <cfRule type="containsText" dxfId="719" priority="98" operator="containsText" text="Lowong">
      <formula>NOT(ISERROR(SEARCH("Lowong",B247)))</formula>
    </cfRule>
    <cfRule type="cellIs" dxfId="718" priority="99" operator="equal">
      <formula>"Lowong"</formula>
    </cfRule>
    <cfRule type="cellIs" dxfId="717" priority="100" operator="equal">
      <formula>"lowong"</formula>
    </cfRule>
    <cfRule type="cellIs" dxfId="716" priority="101" operator="equal">
      <formula>"lowong"</formula>
    </cfRule>
    <cfRule type="duplicateValues" dxfId="715" priority="102"/>
    <cfRule type="containsText" dxfId="714" priority="103" operator="containsText" text="Lowong">
      <formula>NOT(ISERROR(SEARCH("Lowong",B247)))</formula>
    </cfRule>
  </conditionalFormatting>
  <conditionalFormatting sqref="E4">
    <cfRule type="duplicateValues" dxfId="713" priority="263"/>
  </conditionalFormatting>
  <conditionalFormatting sqref="E7:E56 E515:E533 E58:E72 E74:E80 E116:E132 E179:E207 E454:E467 E469:E511 E513 E535:E571 E573:E585 E587:E599 E616:E624 E626:E634 E636:E644 E646:E654 E656:E664 E676:E684 E696:E704 E103:E114 E209:E225 E227:E332 E334:E388 E686:E694 E666:E674 E601:E614 E390:E452 E82:E101 E706:E1026 E134:E158 E160:E177">
    <cfRule type="duplicateValues" dxfId="712" priority="587"/>
  </conditionalFormatting>
  <conditionalFormatting sqref="E9">
    <cfRule type="duplicateValues" dxfId="711" priority="368"/>
  </conditionalFormatting>
  <conditionalFormatting sqref="E57 E73 E102 E115 E159 E178 E208 K209:K225 E226 K227:K332 E468 K513:K533 E534 K535:K571 K706:K1026 K7:K56 K58:K72 K74:K101 K103:K114 K116:K132 E133 K134:K158 K160:K177 K179:K207 K334:K388 E389 K390:K452 E453 K454:K467 K469:K511 E512 E572 K573:K585 E586 K587:K599 E600 K601:K614 E615 K616:K624 E625 K626:K634 E635 K636:K644 E645 K646:K654 E655 K656:K664 E665 K666:K674 E675 K676:K684 E685 K686:K694 E695 K696:K704 E705 N706:N1026">
    <cfRule type="cellIs" dxfId="710" priority="238" operator="equal">
      <formula>"2 Tahun 0 bulan &lt;=&gt; 5 tahun 0 bulan"</formula>
    </cfRule>
    <cfRule type="cellIs" dxfId="709" priority="240" operator="between">
      <formula>"2 TAHUN"</formula>
      <formula>"4 TAHUN"</formula>
    </cfRule>
  </conditionalFormatting>
  <conditionalFormatting sqref="E135">
    <cfRule type="duplicateValues" dxfId="708" priority="265"/>
  </conditionalFormatting>
  <conditionalFormatting sqref="E233">
    <cfRule type="cellIs" dxfId="707" priority="215" operator="equal">
      <formula>"lowong"</formula>
    </cfRule>
    <cfRule type="cellIs" dxfId="706" priority="216" operator="equal">
      <formula>"lowong"</formula>
    </cfRule>
    <cfRule type="duplicateValues" dxfId="705" priority="217"/>
    <cfRule type="containsText" dxfId="704" priority="218" operator="containsText" text="Lowong">
      <formula>NOT(ISERROR(SEARCH("Lowong",E233)))</formula>
    </cfRule>
  </conditionalFormatting>
  <conditionalFormatting sqref="E301">
    <cfRule type="duplicateValues" dxfId="703" priority="271"/>
  </conditionalFormatting>
  <conditionalFormatting sqref="E468">
    <cfRule type="duplicateValues" dxfId="702" priority="380"/>
  </conditionalFormatting>
  <conditionalFormatting sqref="E532">
    <cfRule type="duplicateValues" dxfId="701" priority="282"/>
  </conditionalFormatting>
  <conditionalFormatting sqref="E545">
    <cfRule type="duplicateValues" dxfId="700" priority="276"/>
  </conditionalFormatting>
  <conditionalFormatting sqref="E589">
    <cfRule type="cellIs" dxfId="699" priority="219" operator="equal">
      <formula>"lowong"</formula>
    </cfRule>
    <cfRule type="cellIs" dxfId="698" priority="220" operator="equal">
      <formula>"lowong"</formula>
    </cfRule>
    <cfRule type="duplicateValues" dxfId="697" priority="221"/>
    <cfRule type="containsText" dxfId="696" priority="222" operator="containsText" text="Lowong">
      <formula>NOT(ISERROR(SEARCH("Lowong",E589)))</formula>
    </cfRule>
  </conditionalFormatting>
  <conditionalFormatting sqref="E8:F8 F13 F18">
    <cfRule type="duplicateValues" dxfId="695" priority="229"/>
  </conditionalFormatting>
  <conditionalFormatting sqref="E11:F11 F16">
    <cfRule type="duplicateValues" dxfId="694" priority="257"/>
  </conditionalFormatting>
  <conditionalFormatting sqref="E29:F29">
    <cfRule type="duplicateValues" dxfId="693" priority="255"/>
  </conditionalFormatting>
  <conditionalFormatting sqref="E37:F37">
    <cfRule type="duplicateValues" dxfId="692" priority="316"/>
  </conditionalFormatting>
  <conditionalFormatting sqref="E50:F50 F51">
    <cfRule type="duplicateValues" dxfId="691" priority="369"/>
  </conditionalFormatting>
  <conditionalFormatting sqref="E61:F61">
    <cfRule type="duplicateValues" dxfId="690" priority="323"/>
  </conditionalFormatting>
  <conditionalFormatting sqref="E74:F74">
    <cfRule type="duplicateValues" dxfId="689" priority="256"/>
  </conditionalFormatting>
  <conditionalFormatting sqref="E120:F120">
    <cfRule type="duplicateValues" dxfId="688" priority="249"/>
  </conditionalFormatting>
  <conditionalFormatting sqref="E134:F135 F136">
    <cfRule type="duplicateValues" dxfId="687" priority="303"/>
  </conditionalFormatting>
  <conditionalFormatting sqref="E137:F138 F138:F141">
    <cfRule type="duplicateValues" dxfId="686" priority="313"/>
  </conditionalFormatting>
  <conditionalFormatting sqref="E139:F139">
    <cfRule type="duplicateValues" dxfId="685" priority="230"/>
  </conditionalFormatting>
  <conditionalFormatting sqref="E141:F141">
    <cfRule type="duplicateValues" dxfId="684" priority="225"/>
  </conditionalFormatting>
  <conditionalFormatting sqref="E146:F146">
    <cfRule type="duplicateValues" dxfId="683" priority="312"/>
  </conditionalFormatting>
  <conditionalFormatting sqref="E147:F147 F146 F154:F158 F160:F165 F167:F177 F148:F152">
    <cfRule type="duplicateValues" dxfId="682" priority="363"/>
  </conditionalFormatting>
  <conditionalFormatting sqref="E150:F150">
    <cfRule type="duplicateValues" dxfId="681" priority="311"/>
  </conditionalFormatting>
  <conditionalFormatting sqref="E154:F154 F155:F158 F160:F165">
    <cfRule type="duplicateValues" dxfId="680" priority="310"/>
  </conditionalFormatting>
  <conditionalFormatting sqref="E156:F156">
    <cfRule type="duplicateValues" dxfId="679" priority="309"/>
  </conditionalFormatting>
  <conditionalFormatting sqref="E157:F158">
    <cfRule type="duplicateValues" dxfId="678" priority="308"/>
  </conditionalFormatting>
  <conditionalFormatting sqref="E161:F161">
    <cfRule type="duplicateValues" dxfId="677" priority="361"/>
  </conditionalFormatting>
  <conditionalFormatting sqref="E181:F181">
    <cfRule type="duplicateValues" dxfId="676" priority="376"/>
  </conditionalFormatting>
  <conditionalFormatting sqref="E209:F209">
    <cfRule type="duplicateValues" dxfId="675" priority="319"/>
  </conditionalFormatting>
  <conditionalFormatting sqref="E240:F240 F239">
    <cfRule type="duplicateValues" dxfId="674" priority="362"/>
  </conditionalFormatting>
  <conditionalFormatting sqref="E302:F302 F303 F305:F313 F324 F327 F330 F334:F336 F338:F339 F351 F355 F360:F362 F375 F377 F380 F441 F445 F515 F513 F518 F520 F552 F580 F587:F588 F616:F624 F636:F644 F646:F654 F656:F664 F672:F674 F676:F684 F696:F704 F706:F708 F710:F714 F716:F724 F726:F734 E301 F315:F321 F383:F384 F386:F388 F390:F395 F398:F404 F407:F417 F419:F420 F423:F425 F448:F449 F452 F465:F467 F469:F480 F482:F483 F487:F493 F495:F500 F503:F511 F522:F531 F540:F545 F547:F550 F557:F565 F567:F571 F573:F578 F582:F584 F590:F599 F626:F634 F372:F373 F341:F348 F454:F462 F686:F694 F666:F670 F601:F614 F432:F437">
    <cfRule type="duplicateValues" dxfId="673" priority="399"/>
  </conditionalFormatting>
  <conditionalFormatting sqref="E334:F334">
    <cfRule type="duplicateValues" dxfId="672" priority="367"/>
  </conditionalFormatting>
  <conditionalFormatting sqref="E372:F372">
    <cfRule type="duplicateValues" dxfId="671" priority="292"/>
  </conditionalFormatting>
  <conditionalFormatting sqref="E373:F373">
    <cfRule type="duplicateValues" dxfId="670" priority="247"/>
  </conditionalFormatting>
  <conditionalFormatting sqref="E375:F375">
    <cfRule type="duplicateValues" dxfId="669" priority="290"/>
  </conditionalFormatting>
  <conditionalFormatting sqref="E377:F377">
    <cfRule type="duplicateValues" dxfId="668" priority="245"/>
  </conditionalFormatting>
  <conditionalFormatting sqref="E380:F380">
    <cfRule type="duplicateValues" dxfId="667" priority="253"/>
  </conditionalFormatting>
  <conditionalFormatting sqref="E383:F383 F384">
    <cfRule type="duplicateValues" dxfId="666" priority="250"/>
    <cfRule type="duplicateValues" dxfId="665" priority="251"/>
  </conditionalFormatting>
  <conditionalFormatting sqref="E387:F387">
    <cfRule type="duplicateValues" dxfId="664" priority="315"/>
  </conditionalFormatting>
  <conditionalFormatting sqref="E415:F415">
    <cfRule type="duplicateValues" dxfId="663" priority="359"/>
  </conditionalFormatting>
  <conditionalFormatting sqref="E441:F441 F448">
    <cfRule type="duplicateValues" dxfId="662" priority="360"/>
  </conditionalFormatting>
  <conditionalFormatting sqref="E449:F449">
    <cfRule type="duplicateValues" dxfId="661" priority="378"/>
  </conditionalFormatting>
  <conditionalFormatting sqref="E454:F454 F455:F458">
    <cfRule type="duplicateValues" dxfId="660" priority="318"/>
  </conditionalFormatting>
  <conditionalFormatting sqref="E474:F474">
    <cfRule type="duplicateValues" dxfId="659" priority="260"/>
  </conditionalFormatting>
  <conditionalFormatting sqref="E515:F515">
    <cfRule type="duplicateValues" dxfId="658" priority="278"/>
    <cfRule type="duplicateValues" dxfId="657" priority="279"/>
  </conditionalFormatting>
  <conditionalFormatting sqref="E523:F523">
    <cfRule type="duplicateValues" dxfId="656" priority="281"/>
  </conditionalFormatting>
  <conditionalFormatting sqref="E531:F531 F532:F533">
    <cfRule type="duplicateValues" dxfId="655" priority="284"/>
  </conditionalFormatting>
  <conditionalFormatting sqref="E539:F539">
    <cfRule type="duplicateValues" dxfId="654" priority="301"/>
  </conditionalFormatting>
  <conditionalFormatting sqref="E540:F540 F541:F543">
    <cfRule type="duplicateValues" dxfId="653" priority="259"/>
  </conditionalFormatting>
  <conditionalFormatting sqref="E542:F542">
    <cfRule type="duplicateValues" dxfId="652" priority="294"/>
  </conditionalFormatting>
  <conditionalFormatting sqref="E543:F544 F545 E546:F548">
    <cfRule type="duplicateValues" dxfId="651" priority="314"/>
  </conditionalFormatting>
  <conditionalFormatting sqref="E587:F587">
    <cfRule type="duplicateValues" dxfId="650" priority="317"/>
  </conditionalFormatting>
  <conditionalFormatting sqref="E591:F591 F592:F596">
    <cfRule type="duplicateValues" dxfId="649" priority="372"/>
  </conditionalFormatting>
  <conditionalFormatting sqref="E609:F609">
    <cfRule type="duplicateValues" dxfId="648" priority="235"/>
  </conditionalFormatting>
  <conditionalFormatting sqref="E651:F651">
    <cfRule type="duplicateValues" dxfId="647" priority="375"/>
  </conditionalFormatting>
  <conditionalFormatting sqref="E653:F653">
    <cfRule type="duplicateValues" dxfId="646" priority="366"/>
  </conditionalFormatting>
  <conditionalFormatting sqref="E666:F666">
    <cfRule type="duplicateValues" dxfId="645" priority="364"/>
  </conditionalFormatting>
  <conditionalFormatting sqref="E678:F678">
    <cfRule type="duplicateValues" dxfId="644" priority="349"/>
  </conditionalFormatting>
  <conditionalFormatting sqref="E706:F706">
    <cfRule type="duplicateValues" dxfId="643" priority="379"/>
  </conditionalFormatting>
  <conditionalFormatting sqref="E716:F716">
    <cfRule type="duplicateValues" dxfId="642" priority="377"/>
  </conditionalFormatting>
  <conditionalFormatting sqref="E717:F717">
    <cfRule type="duplicateValues" dxfId="641" priority="358"/>
  </conditionalFormatting>
  <conditionalFormatting sqref="E724:F725">
    <cfRule type="duplicateValues" dxfId="640" priority="351"/>
  </conditionalFormatting>
  <conditionalFormatting sqref="E735:F735">
    <cfRule type="duplicateValues" dxfId="639" priority="348"/>
  </conditionalFormatting>
  <conditionalFormatting sqref="E745:F745">
    <cfRule type="duplicateValues" dxfId="638" priority="347"/>
  </conditionalFormatting>
  <conditionalFormatting sqref="E747:F747">
    <cfRule type="duplicateValues" dxfId="637" priority="355"/>
  </conditionalFormatting>
  <conditionalFormatting sqref="E750:F750">
    <cfRule type="duplicateValues" dxfId="636" priority="352"/>
  </conditionalFormatting>
  <conditionalFormatting sqref="E755:F755">
    <cfRule type="duplicateValues" dxfId="635" priority="346"/>
  </conditionalFormatting>
  <conditionalFormatting sqref="E756:F756">
    <cfRule type="duplicateValues" dxfId="634" priority="365"/>
  </conditionalFormatting>
  <conditionalFormatting sqref="E765:F765">
    <cfRule type="duplicateValues" dxfId="633" priority="345"/>
  </conditionalFormatting>
  <conditionalFormatting sqref="E775:F775">
    <cfRule type="duplicateValues" dxfId="632" priority="344"/>
  </conditionalFormatting>
  <conditionalFormatting sqref="E777:F777">
    <cfRule type="duplicateValues" dxfId="631" priority="356"/>
  </conditionalFormatting>
  <conditionalFormatting sqref="E783:F784">
    <cfRule type="duplicateValues" dxfId="630" priority="374"/>
  </conditionalFormatting>
  <conditionalFormatting sqref="E785:F785">
    <cfRule type="duplicateValues" dxfId="629" priority="343"/>
  </conditionalFormatting>
  <conditionalFormatting sqref="E795:F795">
    <cfRule type="duplicateValues" dxfId="628" priority="342"/>
  </conditionalFormatting>
  <conditionalFormatting sqref="E805:F805">
    <cfRule type="duplicateValues" dxfId="627" priority="341"/>
  </conditionalFormatting>
  <conditionalFormatting sqref="E807:F807">
    <cfRule type="duplicateValues" dxfId="626" priority="357"/>
  </conditionalFormatting>
  <conditionalFormatting sqref="E815:F815">
    <cfRule type="duplicateValues" dxfId="625" priority="340"/>
  </conditionalFormatting>
  <conditionalFormatting sqref="E821:F821">
    <cfRule type="duplicateValues" dxfId="624" priority="339"/>
  </conditionalFormatting>
  <conditionalFormatting sqref="E827:F827">
    <cfRule type="duplicateValues" dxfId="623" priority="338"/>
  </conditionalFormatting>
  <conditionalFormatting sqref="E833:F833">
    <cfRule type="duplicateValues" dxfId="622" priority="337"/>
  </conditionalFormatting>
  <conditionalFormatting sqref="E838:F838 E840">
    <cfRule type="duplicateValues" dxfId="621" priority="350"/>
  </conditionalFormatting>
  <conditionalFormatting sqref="E854:F854">
    <cfRule type="duplicateValues" dxfId="620" priority="336"/>
  </conditionalFormatting>
  <conditionalFormatting sqref="E887:F887">
    <cfRule type="duplicateValues" dxfId="619" priority="335"/>
  </conditionalFormatting>
  <conditionalFormatting sqref="E896:F896">
    <cfRule type="duplicateValues" dxfId="618" priority="334"/>
  </conditionalFormatting>
  <conditionalFormatting sqref="E901:F901">
    <cfRule type="duplicateValues" dxfId="617" priority="333"/>
  </conditionalFormatting>
  <conditionalFormatting sqref="E902:F902 F904 F906 F908 F910 F912 F914">
    <cfRule type="duplicateValues" dxfId="616" priority="373"/>
  </conditionalFormatting>
  <conditionalFormatting sqref="E950:F950">
    <cfRule type="duplicateValues" dxfId="615" priority="354"/>
  </conditionalFormatting>
  <conditionalFormatting sqref="E952:F952">
    <cfRule type="duplicateValues" dxfId="614" priority="353"/>
  </conditionalFormatting>
  <conditionalFormatting sqref="E954:F954">
    <cfRule type="duplicateValues" dxfId="613" priority="332"/>
  </conditionalFormatting>
  <conditionalFormatting sqref="E975:F975">
    <cfRule type="duplicateValues" dxfId="612" priority="329"/>
  </conditionalFormatting>
  <conditionalFormatting sqref="E980:F980">
    <cfRule type="duplicateValues" dxfId="611" priority="331"/>
  </conditionalFormatting>
  <conditionalFormatting sqref="E1001:F1001">
    <cfRule type="duplicateValues" dxfId="610" priority="330"/>
  </conditionalFormatting>
  <conditionalFormatting sqref="E1006:F1006">
    <cfRule type="duplicateValues" dxfId="609" priority="321"/>
  </conditionalFormatting>
  <conditionalFormatting sqref="E1:G5 E7:G56 E58:G72 E74:G79 E80 G80 F80:F83 E82:E83 G82:G83 E84:G101 E103:G114 E116:G132 E134:G158 H135:I136 L136:M136 O136:P136 R136:V136 H143:I143 H151 H155:I155 E160:G177 E179:G207 E209:G225 E227:G232 F235 F239:F241 F243:F250 F252 F256 F261:F270 F274 F278:F281 F283:F288 F290:F299 F301">
    <cfRule type="cellIs" dxfId="608" priority="224" operator="equal">
      <formula>"lowong"</formula>
    </cfRule>
  </conditionalFormatting>
  <conditionalFormatting sqref="E7:G56 E58:G72 E74:G79 G80 F80:F83 G82:G83 E84:G101 E103:G114 E116:G132 E134:G158 H135:I136 H143:I143 H151 H155:I155 E160:G177 E179:G207 E209:G225 E227:G232 F235 F239:F241 F243:F250 F252 F256 F261:F270 F274 F278:F281 F283:F288 F290:F299 E298:G332 E334:G388 E390:G452 E454:G467 E469:G511 E513:G513 E515:G533 E535:G571 E573:G585 E587:G588 E1:G5 E80 E82:E83 L136:M136 O136:P136 R136:V136">
    <cfRule type="cellIs" dxfId="607" priority="223" operator="equal">
      <formula>"lowong"</formula>
    </cfRule>
  </conditionalFormatting>
  <conditionalFormatting sqref="E234:G296 H288:J288 F301">
    <cfRule type="cellIs" dxfId="606" priority="262" operator="equal">
      <formula>"Lowong"</formula>
    </cfRule>
    <cfRule type="cellIs" dxfId="605" priority="268" operator="equal">
      <formula>"lowong"</formula>
    </cfRule>
  </conditionalFormatting>
  <conditionalFormatting sqref="E298:G332 H408:I408 H454:J454 H483:I483 I492:J492 H504:J504 J513 H518:J518 H522:J522 H530:J530 H535:J537 H548:J548 H552:J552 E587:G588 F666:F670 F672:F674 F706:F708 F710:F714 F716:F724 F726:F734 E797:G1048576 E706:E979">
    <cfRule type="cellIs" dxfId="604" priority="242" operator="equal">
      <formula>"Lowong"</formula>
    </cfRule>
  </conditionalFormatting>
  <conditionalFormatting sqref="E334:G388 E390:G452 E454:G467 E469:G511 E513:G513 E515:G533 E535:G571 E573:G585 E601:G614 E616:G624 E626:G634 E636:G644 E646:G654 E656:G664 E666:G674 E676:G684 E686:G694 E696:G704 E7:E56 E58:E72 E74:E101 E103:E114 E116:E132 E134:E158 E160:E177 E179:E207 E209:E225 E227:E332 E587:E599">
    <cfRule type="cellIs" dxfId="603" priority="214" operator="equal">
      <formula>"Lowong"</formula>
    </cfRule>
  </conditionalFormatting>
  <conditionalFormatting sqref="E590:G596 E598:G599 E797:G1048576 E601:G614 E616:G624 H626:J626 E626:G634 E636:G644 E646:G654 E656:G664 E666:G674 E676:G684 E686:G694 E696:G704 E706:G795 H736:I736 H739:I739 H786:J786 E796:F796 E597 G597:J597">
    <cfRule type="cellIs" dxfId="602" priority="232" operator="equal">
      <formula>"Pelaksana tugas"</formula>
    </cfRule>
  </conditionalFormatting>
  <conditionalFormatting sqref="E590:G596 E597:J597 E598:G599 E601:G614 E616:G624 H626:J626 E626:G634 E636:G644 E646:G654 E656:G664 E666:G674 E676:G684 E686:G694 E696:G704 E706:G795 H736:I736 H739:I739 H786:J786 E796:F796 E797:G1048576">
    <cfRule type="cellIs" dxfId="601" priority="233" operator="equal">
      <formula>"lowong"</formula>
    </cfRule>
    <cfRule type="cellIs" dxfId="600" priority="234" operator="equal">
      <formula>"lowong"</formula>
    </cfRule>
  </conditionalFormatting>
  <conditionalFormatting sqref="E590:G596 F597:J597 E598:G599 H626:J626 E706:G795 H736:I736 H739:I739 H786:J786 E796:F796">
    <cfRule type="cellIs" dxfId="599" priority="231" operator="equal">
      <formula>"Lowong"</formula>
    </cfRule>
  </conditionalFormatting>
  <conditionalFormatting sqref="E4:I5 E7:I28 F23:F37 E29:J29 E74:I79 E80 G80:I80 E82:E83 G82:I83 E84:I101 E103:I114 E116:I132 E134:I141 E154 E174 J209:K209 J221:K225 H505:I511 E513:I513 F515 E590:I596 E598:I599 E898:J1026 E57 E73 E102 E115 E159 E178 E208 E226 K227:K259 E468 K513:K533 E534 K535:K541 K706:K1026 M837:M1026">
    <cfRule type="containsText" dxfId="598" priority="228" operator="containsText" text="Lowong">
      <formula>NOT(ISERROR(SEARCH("Lowong",E4)))</formula>
    </cfRule>
  </conditionalFormatting>
  <conditionalFormatting sqref="E148:I158 E160:I177 E179:I207 E209:I225 E227:I232 F235 F239:F241 F243:F250 F252 F256 F261:F270 F274 F278:F281 F283:F288 F290:F299 F301">
    <cfRule type="containsText" dxfId="597" priority="241" operator="containsText" text="Lowong">
      <formula>NOT(ISERROR(SEARCH("Lowong",E148)))</formula>
    </cfRule>
  </conditionalFormatting>
  <conditionalFormatting sqref="E234:I259 E260:K296 F301 E298:K300 E378:I379 E399:I452 G454:J454 E454:F467 G455:I467 H475:I491 G475:G495 E475:F511 H492:J492 G497:G511 H504:J504 J513:J514 E543:I544 H546:I551 G546:G559 E546:F571 J548 H552:J552 G561:G571 E573:G576 E578:I585 E601:K601 E602:I602 E603:J603 E604:I608 E627:J634 E706:I795 I63:K63 I67:K67 J84:K84 K85 K147 K152 K155:K158 J161:K161 J211:K211 K297 K301:K332 K334:K358 K360:K370 K390:K397 K399:K405 K407:K430 K432:K452 K454:K467 K469:K485 K487:K511 K543:K555 K557:K571 K573:K576 K578:K585 K587:K599 K602:K603 J604:K604 J597 J706:J835 E796:F796 E797:I897 E30:I41 E42:J42 E43:I56 E58:H72 F74:F83 F85:F101 F103:F109 F111:F114 F116:F118 F121:F130 H142:I143 E142:G146 E147:H147 F148:F152 F154:F158 F160:F165 F167:F177 I58:I62 I64:I66 I68:I72 H144:H146 I144:I147 J227:J257 J259 J302:J315 J317 J360 J396 J463 H493:I503 H553:I571 H573:J573 H574:I576 J581 J605:J608 J696:J700 J702:J704 J837:J897 M740:M835 M706:M738 M67 M63 M84 M147 M209 M211 M220:M225 M227:M231 M233:M315 M317 M360 M398 M573 M577 M581 M601 M603:M614 M616:M624 M636:M644 M646:M654 M656:M664 M666:M674 M676:M684 M686:M694 M696:M700 M702:M704">
    <cfRule type="containsText" dxfId="596" priority="370" operator="containsText" text="Lowong">
      <formula>NOT(ISERROR(SEARCH("Lowong",E30)))</formula>
    </cfRule>
  </conditionalFormatting>
  <conditionalFormatting sqref="E301:I332 E334:I371 F372:F373 F375 F383:F384 F386:F388 F390:F395 E398:K398 F399:F404 F407:F417 F419:F420 F423:F425 F432:F437 F441 F445 F448:F449 F452 F454:F462 F465:F467 F469:F480 F482:F483 F487:F493 F495:F500 F503:F511 F518 F520 F522:F531 F547:F550 F552 F557:F565 F567:F571 F573:F578 E577:K577 F580 F582:F584 E587:I588 F590:F599 F601:F614 F616:F624 F626:F634 E636:K644 E646:K654 E656:K664 F666:F670 F672:F674 E676:K684 E686:K694 E696:I704 F706:F708 F710:F714 F716:F724 F726:F734">
    <cfRule type="containsText" dxfId="595" priority="270" operator="containsText" text="Lowong">
      <formula>NOT(ISERROR(SEARCH("Lowong",E301)))</formula>
    </cfRule>
  </conditionalFormatting>
  <conditionalFormatting sqref="E381:I388 E390:I397">
    <cfRule type="containsText" dxfId="594" priority="252" operator="containsText" text="Lowong">
      <formula>NOT(ISERROR(SEARCH("Lowong",E381)))</formula>
    </cfRule>
  </conditionalFormatting>
  <conditionalFormatting sqref="E469:I474">
    <cfRule type="containsText" dxfId="593" priority="261" operator="containsText" text="Lowong">
      <formula>NOT(ISERROR(SEARCH("Lowong",E469)))</formula>
    </cfRule>
  </conditionalFormatting>
  <conditionalFormatting sqref="E515:I529 J518 J522 E530:J530 E531:I533 E535:J537">
    <cfRule type="containsText" dxfId="592" priority="280" operator="containsText" text="Lowong">
      <formula>NOT(ISERROR(SEARCH("Lowong",E515)))</formula>
    </cfRule>
  </conditionalFormatting>
  <conditionalFormatting sqref="E377:J377">
    <cfRule type="containsText" dxfId="591" priority="246" operator="containsText" text="Lowong">
      <formula>NOT(ISERROR(SEARCH("Lowong",E377)))</formula>
    </cfRule>
  </conditionalFormatting>
  <conditionalFormatting sqref="E380:J380">
    <cfRule type="containsText" dxfId="590" priority="254" operator="containsText" text="Lowong">
      <formula>NOT(ISERROR(SEARCH("Lowong",E380)))</formula>
    </cfRule>
  </conditionalFormatting>
  <conditionalFormatting sqref="E539:J541 F540:F545">
    <cfRule type="containsText" dxfId="589" priority="258" operator="containsText" text="Lowong">
      <formula>NOT(ISERROR(SEARCH("Lowong",E539)))</formula>
    </cfRule>
  </conditionalFormatting>
  <conditionalFormatting sqref="E545:J545">
    <cfRule type="containsText" dxfId="588" priority="272" operator="containsText" text="Lowong">
      <formula>NOT(ISERROR(SEARCH("Lowong",E545)))</formula>
    </cfRule>
  </conditionalFormatting>
  <conditionalFormatting sqref="E609:J614 E616:J624 E626:J626">
    <cfRule type="containsText" dxfId="587" priority="236" operator="containsText" text="Lowong">
      <formula>NOT(ISERROR(SEARCH("Lowong",E609)))</formula>
    </cfRule>
  </conditionalFormatting>
  <conditionalFormatting sqref="E372:K372 E373:I376">
    <cfRule type="containsText" dxfId="586" priority="248" operator="containsText" text="Lowong">
      <formula>NOT(ISERROR(SEARCH("Lowong",E372)))</formula>
    </cfRule>
  </conditionalFormatting>
  <conditionalFormatting sqref="E542:K542 M542">
    <cfRule type="containsText" dxfId="585" priority="295" operator="containsText" text="Lowong">
      <formula>NOT(ISERROR(SEARCH("Lowong",E542)))</formula>
    </cfRule>
  </conditionalFormatting>
  <conditionalFormatting sqref="E666:K674 E133 K605:K614 E615 K616:K624 E625 K626:K634 E635 E645 E655 E665 E675 E685 E695 K696:K704 E705">
    <cfRule type="containsText" dxfId="584" priority="305" operator="containsText" text="Lowong">
      <formula>NOT(ISERROR(SEARCH("Lowong",E133)))</formula>
    </cfRule>
  </conditionalFormatting>
  <conditionalFormatting sqref="F7:F18">
    <cfRule type="containsText" dxfId="583" priority="143" operator="containsText" text="Lowong">
      <formula>NOT(ISERROR(SEARCH("Lowong",F7)))</formula>
    </cfRule>
    <cfRule type="duplicateValues" dxfId="582" priority="144"/>
  </conditionalFormatting>
  <conditionalFormatting sqref="F9 F14">
    <cfRule type="duplicateValues" dxfId="581" priority="227"/>
  </conditionalFormatting>
  <conditionalFormatting sqref="F20:F21">
    <cfRule type="containsText" dxfId="580" priority="139" operator="containsText" text="Lowong">
      <formula>NOT(ISERROR(SEARCH("Lowong",F20)))</formula>
    </cfRule>
    <cfRule type="duplicateValues" dxfId="579" priority="140"/>
    <cfRule type="duplicateValues" dxfId="578" priority="142"/>
  </conditionalFormatting>
  <conditionalFormatting sqref="F23:F37">
    <cfRule type="containsText" dxfId="577" priority="135" operator="containsText" text="Lowong">
      <formula>NOT(ISERROR(SEARCH("Lowong",F23)))</formula>
    </cfRule>
    <cfRule type="duplicateValues" dxfId="576" priority="136"/>
    <cfRule type="duplicateValues" dxfId="575" priority="138"/>
  </conditionalFormatting>
  <conditionalFormatting sqref="F41:F44 F46:F47 F49:F51 F53:F56 F58:F65 F67:F71 F74:F83 F85:F101 F103:F109 F111:F114 F116:F118 F121:F130">
    <cfRule type="containsText" dxfId="574" priority="200" operator="containsText" text="Lowong">
      <formula>NOT(ISERROR(SEARCH("Lowong",F41)))</formula>
    </cfRule>
  </conditionalFormatting>
  <conditionalFormatting sqref="F116:F118 F41:F44 F46:F47 F49:F51 F53:F56 F58:F65 F67:F71 F103:F109 F111:F114 F121:F130 F74:F83 F85:F101">
    <cfRule type="duplicateValues" dxfId="573" priority="201"/>
  </conditionalFormatting>
  <conditionalFormatting sqref="F117">
    <cfRule type="duplicateValues" dxfId="572" priority="45"/>
  </conditionalFormatting>
  <conditionalFormatting sqref="F134:F136">
    <cfRule type="duplicateValues" dxfId="571" priority="133"/>
  </conditionalFormatting>
  <conditionalFormatting sqref="F134:F141">
    <cfRule type="containsText" dxfId="570" priority="127" operator="containsText" text="Lowong">
      <formula>NOT(ISERROR(SEARCH("Lowong",F134)))</formula>
    </cfRule>
  </conditionalFormatting>
  <conditionalFormatting sqref="F135:F136">
    <cfRule type="duplicateValues" dxfId="569" priority="264"/>
  </conditionalFormatting>
  <conditionalFormatting sqref="F137:F141">
    <cfRule type="duplicateValues" dxfId="568" priority="128"/>
    <cfRule type="duplicateValues" dxfId="567" priority="130"/>
    <cfRule type="duplicateValues" dxfId="566" priority="131"/>
  </conditionalFormatting>
  <conditionalFormatting sqref="F143:F145">
    <cfRule type="duplicateValues" dxfId="565" priority="120"/>
    <cfRule type="duplicateValues" dxfId="564" priority="122"/>
    <cfRule type="duplicateValues" dxfId="563" priority="123"/>
    <cfRule type="duplicateValues" dxfId="562" priority="124"/>
    <cfRule type="duplicateValues" dxfId="561" priority="126"/>
  </conditionalFormatting>
  <conditionalFormatting sqref="F143:F152">
    <cfRule type="containsText" dxfId="560" priority="111" operator="containsText" text="Lowong">
      <formula>NOT(ISERROR(SEARCH("Lowong",F143)))</formula>
    </cfRule>
  </conditionalFormatting>
  <conditionalFormatting sqref="F146">
    <cfRule type="duplicateValues" dxfId="559" priority="112"/>
    <cfRule type="duplicateValues" dxfId="558" priority="114"/>
    <cfRule type="duplicateValues" dxfId="557" priority="115"/>
    <cfRule type="duplicateValues" dxfId="556" priority="116"/>
    <cfRule type="duplicateValues" dxfId="555" priority="118"/>
  </conditionalFormatting>
  <conditionalFormatting sqref="F154:F158 F160:F165 F167:F177 F146:F152">
    <cfRule type="duplicateValues" dxfId="554" priority="199"/>
  </conditionalFormatting>
  <conditionalFormatting sqref="F154:F158 F160:F165 F167:F177">
    <cfRule type="containsText" dxfId="553" priority="198" operator="containsText" text="Lowong">
      <formula>NOT(ISERROR(SEARCH("Lowong",F154)))</formula>
    </cfRule>
  </conditionalFormatting>
  <conditionalFormatting sqref="F167">
    <cfRule type="duplicateValues" dxfId="552" priority="110"/>
  </conditionalFormatting>
  <conditionalFormatting sqref="F179">
    <cfRule type="duplicateValues" dxfId="551" priority="196"/>
    <cfRule type="duplicateValues" dxfId="550" priority="197"/>
  </conditionalFormatting>
  <conditionalFormatting sqref="F179:F185 F187:F188 F199:F207 F209:F220 F222:F224 F227:F231 F235 F239:F241 F243:F250 F252 F261:F270 F283:F288 F290:F299">
    <cfRule type="containsText" dxfId="549" priority="193" operator="containsText" text="Lowong">
      <formula>NOT(ISERROR(SEARCH("Lowong",F179)))</formula>
    </cfRule>
  </conditionalFormatting>
  <conditionalFormatting sqref="F190:F193">
    <cfRule type="containsText" dxfId="548" priority="107" operator="containsText" text="Lowong">
      <formula>NOT(ISERROR(SEARCH("Lowong",F190)))</formula>
    </cfRule>
    <cfRule type="duplicateValues" dxfId="547" priority="108"/>
    <cfRule type="duplicateValues" dxfId="546" priority="109"/>
  </conditionalFormatting>
  <conditionalFormatting sqref="F195:F197">
    <cfRule type="containsText" dxfId="545" priority="104" operator="containsText" text="Lowong">
      <formula>NOT(ISERROR(SEARCH("Lowong",F195)))</formula>
    </cfRule>
    <cfRule type="duplicateValues" dxfId="544" priority="105"/>
    <cfRule type="duplicateValues" dxfId="543" priority="106"/>
  </conditionalFormatting>
  <conditionalFormatting sqref="F196 F227:F231 F235 F252 F256 F274 F179:F185 F187:F188 F199:F207 F209:F220 F222:F224 F239:F241 F243:F250 F261:F270 F278:F281 F283:F288 F290:F299 F301">
    <cfRule type="duplicateValues" dxfId="542" priority="194"/>
    <cfRule type="duplicateValues" dxfId="541" priority="195"/>
  </conditionalFormatting>
  <conditionalFormatting sqref="F254:F256">
    <cfRule type="containsText" dxfId="540" priority="86" operator="containsText" text="Lowong">
      <formula>NOT(ISERROR(SEARCH("Lowong",F254)))</formula>
    </cfRule>
    <cfRule type="duplicateValues" dxfId="539" priority="87"/>
    <cfRule type="duplicateValues" dxfId="538" priority="88"/>
    <cfRule type="cellIs" dxfId="537" priority="89" operator="equal">
      <formula>"lowong"</formula>
    </cfRule>
    <cfRule type="cellIs" dxfId="536" priority="90" operator="equal">
      <formula>"lowong"</formula>
    </cfRule>
    <cfRule type="containsText" dxfId="535" priority="91" operator="containsText" text="Lowong">
      <formula>NOT(ISERROR(SEARCH("Lowong",F254)))</formula>
    </cfRule>
  </conditionalFormatting>
  <conditionalFormatting sqref="F272:F277">
    <cfRule type="containsText" dxfId="534" priority="80" operator="containsText" text="Lowong">
      <formula>NOT(ISERROR(SEARCH("Lowong",F272)))</formula>
    </cfRule>
    <cfRule type="duplicateValues" dxfId="533" priority="81"/>
    <cfRule type="duplicateValues" dxfId="532" priority="82"/>
    <cfRule type="cellIs" dxfId="531" priority="83" operator="equal">
      <formula>"lowong"</formula>
    </cfRule>
    <cfRule type="cellIs" dxfId="530" priority="84" operator="equal">
      <formula>"lowong"</formula>
    </cfRule>
  </conditionalFormatting>
  <conditionalFormatting sqref="F272:F281">
    <cfRule type="containsText" dxfId="529" priority="85" operator="containsText" text="Lowong">
      <formula>NOT(ISERROR(SEARCH("Lowong",F272)))</formula>
    </cfRule>
  </conditionalFormatting>
  <conditionalFormatting sqref="F301 E234:G296 H288:J288">
    <cfRule type="cellIs" dxfId="528" priority="267" operator="equal">
      <formula>"lowong"</formula>
    </cfRule>
  </conditionalFormatting>
  <conditionalFormatting sqref="F301">
    <cfRule type="duplicateValues" dxfId="527" priority="269"/>
  </conditionalFormatting>
  <conditionalFormatting sqref="F301:F303 F305:F313 F315:F321 F324 F327 F330 F334:F336 F338:F339 F341:F348 F351 F355 F360:F362 F372:F373 F375 F377 F380 F383:F384 F386:F388 F390:F395 F398:F404 F407:F417 F419:F420 F423:F425 F432:F437 F441 F445 F448:F449 F452 F454:F462 F465:F467 F469:F480 F482:F483 F487:F493 F495:F500 F503:F511 F518 F520 F522:F531 F540:F545 F547:F550 F552 F557:F565 F567:F571 F573:F578 F580 F582:F584 F587:F588 F590:F596 E597:I597 F598:F599 F601:F614 F616:F624 F626:F634 F636:F644 F646:F654 F656:F664 F666:F670 F672:F674 F676:F684 F686:F694 F696:F704 F706:F708 F710:F714 F716:F724 F726:F734">
    <cfRule type="containsText" dxfId="526" priority="192" operator="containsText" text="Lowong">
      <formula>NOT(ISERROR(SEARCH("Lowong",E301)))</formula>
    </cfRule>
  </conditionalFormatting>
  <conditionalFormatting sqref="F302:F303 F305:F313 F315:F321 F324 F327 F330 F334:F336 F338:F339 F341:F348 F351 F355 F360:F362 F372:F373 F375 F377 F380 F383:F384 F386:F388 F390:F395 F398:F404 F407:F417 F419:F420 F423:F425 F432:F437 F441 F445 F448:F449 F452 F454:F462 F465:F467 F469:F480 F482:F483 F487:F493 F495:F500 F503:F511 F513 F515 F518 F520 F522:F531 F540:F545 F547:F550 F552 F557:F565 F567:F571 F573:F578 F580 F582:F584 F587:F588 F590:F599 F601:F614 F616:F624 F626:F634 F636:F644 F646:F654 F656:F664 F666:F670 F672:F674 F676:F684 F686:F694 F696:F704 F706:F708 F710:F714 F716:F724 F726:F734">
    <cfRule type="cellIs" dxfId="525" priority="191" operator="equal">
      <formula>"lowong"</formula>
    </cfRule>
  </conditionalFormatting>
  <conditionalFormatting sqref="F302:F303 F305:F313 F315:F321 F324 F327 F330 F334:F336 F338:F339 F341:F348 F351 F355 F360:F362 F372:F373 F375 F377 F380 F383:F384 F386:F388 F390:F395 F398:F404 F407:F417 F419:F420 F423:F425 F432:F437 F454:F462 F465:F467 F469:F480 F482:F483 F487:F493 F495:F500 F503:F511 F513 F515 F518 F520 F522:F531 F540:F545 F547:F550 F552 F557:F565 F567:F571 F573:F578 F580 F582:F584 F587:F588 F601:F614 F616:F624 F626:F634 F636:F644 F646:F654 F656:F664 F666:F670 F672:F674 F676:F684 F686:F694 F696:F704 F706:F708 F710:F714 F716:F724 F726:F734">
    <cfRule type="containsText" dxfId="524" priority="187" operator="containsText" text="Lowong">
      <formula>NOT(ISERROR(SEARCH("Lowong",F302)))</formula>
    </cfRule>
  </conditionalFormatting>
  <conditionalFormatting sqref="F302:F303 F305:F313 F324 F327 F330 F334:F336 F338:F339 F351 F355 F360:F362 F375 F377 F380 F441 F445 F515 F513 F518 F520 F552 F580 F587:F588 F616:F624 F636:F644 F646:F654 F656:F664 F672:F674 F676:F684 F696:F704 F706:F708 F710:F714 F716:F724 F726:F734 F315:F321 F383:F384 F386:F388 F390:F395 F398:F404 F407:F417 F419:F420 F423:F425 F448:F449 F452 F465:F467 F469:F480 F482:F483 F487:F493 F495:F500 F503:F511 F522:F531 F540:F545 F547:F550 F557:F565 F567:F571 F573:F578 F582:F584 F590:F599 F626:F634 F372:F373 F341:F348 F454:F462 F686:F694 F666:F670 F601:F614 F432:F437">
    <cfRule type="duplicateValues" dxfId="523" priority="506"/>
    <cfRule type="duplicateValues" dxfId="522" priority="507"/>
  </conditionalFormatting>
  <conditionalFormatting sqref="F372">
    <cfRule type="duplicateValues" dxfId="521" priority="28"/>
  </conditionalFormatting>
  <conditionalFormatting sqref="F380">
    <cfRule type="duplicateValues" dxfId="520" priority="212"/>
    <cfRule type="containsText" dxfId="519" priority="213" operator="containsText" text="Lowong">
      <formula>NOT(ISERROR(SEARCH("Lowong",F380)))</formula>
    </cfRule>
  </conditionalFormatting>
  <conditionalFormatting sqref="F427:F429">
    <cfRule type="containsText" dxfId="518" priority="72" operator="containsText" text="Lowong">
      <formula>NOT(ISERROR(SEARCH("Lowong",F427)))</formula>
    </cfRule>
    <cfRule type="cellIs" dxfId="517" priority="73" operator="equal">
      <formula>"lowong"</formula>
    </cfRule>
    <cfRule type="cellIs" dxfId="516" priority="74" operator="equal">
      <formula>"lowong"</formula>
    </cfRule>
    <cfRule type="containsText" dxfId="515" priority="75" operator="containsText" text="Lowong">
      <formula>NOT(ISERROR(SEARCH("Lowong",F427)))</formula>
    </cfRule>
    <cfRule type="duplicateValues" dxfId="514" priority="77"/>
    <cfRule type="duplicateValues" dxfId="513" priority="78"/>
    <cfRule type="duplicateValues" dxfId="512" priority="79"/>
  </conditionalFormatting>
  <conditionalFormatting sqref="F439:F452">
    <cfRule type="containsText" dxfId="511" priority="64" operator="containsText" text="Lowong">
      <formula>NOT(ISERROR(SEARCH("Lowong",F439)))</formula>
    </cfRule>
    <cfRule type="cellIs" dxfId="510" priority="65" operator="equal">
      <formula>"lowong"</formula>
    </cfRule>
    <cfRule type="cellIs" dxfId="509" priority="66" operator="equal">
      <formula>"lowong"</formula>
    </cfRule>
    <cfRule type="containsText" dxfId="508" priority="67" operator="containsText" text="Lowong">
      <formula>NOT(ISERROR(SEARCH("Lowong",F439)))</formula>
    </cfRule>
    <cfRule type="duplicateValues" dxfId="507" priority="69"/>
    <cfRule type="duplicateValues" dxfId="506" priority="70"/>
    <cfRule type="duplicateValues" dxfId="505" priority="71"/>
  </conditionalFormatting>
  <conditionalFormatting sqref="F441 F445 F448:F449 F452 F590:F599 F302:F303 F305:F313 F315:F321 F324 F327 F330 F334:F336 F338:F339 F341:F348 F351 F355 F360:F362 F372:F373 F375 F377 F380 F383:F384 F386:F388 F390:F395 F398:F404 F407:F417 F419:F420 F423:F425 F432:F437 F454:F462 F465:F467 F469:F480 F482:F483 F487:F493 F495:F500 F503:F511 F513 F515 F518 F520 F522:F531 F540:F545 F547:F550 F552 F557:F565 F567:F571 F573:F578 F580 F582:F584 F587:F588 F601:F614 F616:F624 F626:F634 F636:F644 F646:F654 F656:F664 F666:F670 F672:F674 F676:F684 F686:F694 F696:F704 F706:F708 F710:F714 F716:F724 F726:F734">
    <cfRule type="cellIs" dxfId="504" priority="190" operator="equal">
      <formula>"lowong"</formula>
    </cfRule>
  </conditionalFormatting>
  <conditionalFormatting sqref="F535:F537">
    <cfRule type="duplicateValues" dxfId="503" priority="63"/>
  </conditionalFormatting>
  <conditionalFormatting sqref="F590:F596 F601:F614 F616:F624 F626:F634 F636:F644 F646:F654 F656:F664 F666:F670 F672:F674 F676:F684 F686:F694 F696:F704 F706:F708 F710:F714 F716:F724 F726:F734 H408:I408 H454:J454 H483:I483 I492:J492 H504:J504 J513 H518:J518 H522:J522 H530:J530 H535:J537 H548:J548 H552:J552">
    <cfRule type="cellIs" dxfId="502" priority="243" operator="equal">
      <formula>"lowong"</formula>
    </cfRule>
  </conditionalFormatting>
  <conditionalFormatting sqref="F590:F599">
    <cfRule type="containsText" dxfId="501" priority="58" operator="containsText" text="Lowong">
      <formula>NOT(ISERROR(SEARCH("Lowong",F590)))</formula>
    </cfRule>
  </conditionalFormatting>
  <conditionalFormatting sqref="F599">
    <cfRule type="containsText" dxfId="500" priority="47" operator="containsText" text="Lowong">
      <formula>NOT(ISERROR(SEARCH("Lowong",F599)))</formula>
    </cfRule>
    <cfRule type="cellIs" dxfId="499" priority="48" operator="equal">
      <formula>"lowong"</formula>
    </cfRule>
    <cfRule type="cellIs" dxfId="498" priority="49" operator="equal">
      <formula>"lowong"</formula>
    </cfRule>
    <cfRule type="containsText" dxfId="497" priority="50" operator="containsText" text="Lowong">
      <formula>NOT(ISERROR(SEARCH("Lowong",F599)))</formula>
    </cfRule>
    <cfRule type="duplicateValues" dxfId="496" priority="52"/>
    <cfRule type="duplicateValues" dxfId="495" priority="53"/>
    <cfRule type="duplicateValues" dxfId="494" priority="54"/>
    <cfRule type="cellIs" dxfId="493" priority="56" operator="equal">
      <formula>"lowong"</formula>
    </cfRule>
    <cfRule type="cellIs" dxfId="492" priority="57" operator="equal">
      <formula>"lowong"</formula>
    </cfRule>
    <cfRule type="duplicateValues" dxfId="491" priority="60"/>
    <cfRule type="duplicateValues" dxfId="490" priority="61"/>
    <cfRule type="duplicateValues" dxfId="489" priority="62"/>
  </conditionalFormatting>
  <conditionalFormatting sqref="F736:F738 F740:F744 F746:F754 F756:F759 F761:F764 F766:F768 F770:F774 F776:F784 F786:F788 F790:F794 F796:F802 F806:F811 F813:F814 F816:F817 F819:F820 F822:F826 F828 F830:F832 F838:F840 F843 F845:F847 F850 F855 F857:F859 F861:F863 F867 F869 F875 F879 F881 F883 F885 F888:F890 F892:F893 F897 F899 F903 F905 F907 F909 F911 F913 F915 F917 F919 F921 F923 F925 F927 F929 F931 F933 F935">
    <cfRule type="containsText" dxfId="488" priority="176" operator="containsText" text="Lowong">
      <formula>NOT(ISERROR(SEARCH("Lowong",F736)))</formula>
    </cfRule>
    <cfRule type="cellIs" dxfId="487" priority="179" operator="equal">
      <formula>"lowong"</formula>
    </cfRule>
    <cfRule type="cellIs" dxfId="486" priority="180" operator="equal">
      <formula>"lowong"</formula>
    </cfRule>
    <cfRule type="containsText" dxfId="485" priority="181" operator="containsText" text="Lowong">
      <formula>NOT(ISERROR(SEARCH("Lowong",F736)))</formula>
    </cfRule>
    <cfRule type="cellIs" dxfId="484" priority="182" operator="equal">
      <formula>"Lowong"</formula>
    </cfRule>
    <cfRule type="cellIs" dxfId="483" priority="183" operator="equal">
      <formula>"lowong"</formula>
    </cfRule>
    <cfRule type="cellIs" dxfId="482" priority="184" operator="equal">
      <formula>"lowong"</formula>
    </cfRule>
    <cfRule type="containsText" dxfId="481" priority="185" operator="containsText" text="Lowong">
      <formula>NOT(ISERROR(SEARCH("Lowong",F736)))</formula>
    </cfRule>
  </conditionalFormatting>
  <conditionalFormatting sqref="F740:F744 F746:F754 F756:F759 F761:F764 F766:F768 F770:F774 F786:F788 F790:F794 F796:F802 F806:F811 F816:F817 F819:F820 F822:F826 F828 F830:F832 F838:F840 F843 F845:F847 F850 F855 F857:F859 F861:F863 F867 F869 F875 F879 F881 F883 F885 F897 F899 F903 F905 F907 F909 F911 F913 F915 F917 F919 F921 F923 F925 F927 F929 F931 F933 F935 F736:F738 F813:F814 F892:F893 F888:F890 F776:F784">
    <cfRule type="duplicateValues" dxfId="480" priority="177"/>
    <cfRule type="duplicateValues" dxfId="479" priority="178"/>
    <cfRule type="duplicateValues" dxfId="478" priority="186"/>
  </conditionalFormatting>
  <conditionalFormatting sqref="F865">
    <cfRule type="containsText" dxfId="477" priority="1" operator="containsText" text="Lowong">
      <formula>NOT(ISERROR(SEARCH("Lowong",F865)))</formula>
    </cfRule>
    <cfRule type="duplicateValues" dxfId="476" priority="2"/>
    <cfRule type="duplicateValues" dxfId="475" priority="3"/>
    <cfRule type="cellIs" dxfId="474" priority="4" operator="equal">
      <formula>"lowong"</formula>
    </cfRule>
    <cfRule type="cellIs" dxfId="473" priority="5" operator="equal">
      <formula>"lowong"</formula>
    </cfRule>
    <cfRule type="containsText" dxfId="472" priority="6" operator="containsText" text="Lowong">
      <formula>NOT(ISERROR(SEARCH("Lowong",F865)))</formula>
    </cfRule>
    <cfRule type="cellIs" dxfId="471" priority="7" operator="equal">
      <formula>"Lowong"</formula>
    </cfRule>
    <cfRule type="cellIs" dxfId="470" priority="8" operator="equal">
      <formula>"lowong"</formula>
    </cfRule>
    <cfRule type="cellIs" dxfId="469" priority="9" operator="equal">
      <formula>"lowong"</formula>
    </cfRule>
    <cfRule type="containsText" dxfId="468" priority="10" operator="containsText" text="Lowong">
      <formula>NOT(ISERROR(SEARCH("Lowong",F865)))</formula>
    </cfRule>
    <cfRule type="duplicateValues" dxfId="467" priority="11"/>
    <cfRule type="duplicateValues" dxfId="466" priority="13"/>
    <cfRule type="duplicateValues" dxfId="465" priority="14"/>
    <cfRule type="cellIs" dxfId="464" priority="15" operator="equal">
      <formula>"lowong"</formula>
    </cfRule>
    <cfRule type="cellIs" dxfId="463" priority="16" operator="equal">
      <formula>"lowong"</formula>
    </cfRule>
    <cfRule type="containsText" dxfId="462" priority="17" operator="containsText" text="Lowong">
      <formula>NOT(ISERROR(SEARCH("Lowong",F865)))</formula>
    </cfRule>
    <cfRule type="cellIs" dxfId="461" priority="19" operator="equal">
      <formula>"lowong"</formula>
    </cfRule>
    <cfRule type="cellIs" dxfId="460" priority="20" operator="equal">
      <formula>"lowong"</formula>
    </cfRule>
    <cfRule type="containsText" dxfId="459" priority="21" operator="containsText" text="Lowong">
      <formula>NOT(ISERROR(SEARCH("Lowong",F865)))</formula>
    </cfRule>
    <cfRule type="duplicateValues" dxfId="458" priority="22"/>
  </conditionalFormatting>
  <conditionalFormatting sqref="F939 F941 F943 F945 F947 F949 F951 F955:F957 F959:F966 F970:F971 F973:F974 F977:F979">
    <cfRule type="containsText" dxfId="457" priority="564" operator="containsText" text="Lowong">
      <formula>NOT(ISERROR(SEARCH("Lowong",F939)))</formula>
    </cfRule>
    <cfRule type="duplicateValues" dxfId="456" priority="565"/>
    <cfRule type="cellIs" dxfId="455" priority="566" operator="equal">
      <formula>"lowong"</formula>
    </cfRule>
    <cfRule type="cellIs" dxfId="454" priority="567" operator="equal">
      <formula>"lowong"</formula>
    </cfRule>
    <cfRule type="containsText" dxfId="453" priority="568" operator="containsText" text="Lowong">
      <formula>NOT(ISERROR(SEARCH("Lowong",F939)))</formula>
    </cfRule>
    <cfRule type="cellIs" dxfId="452" priority="569" operator="equal">
      <formula>"Lowong"</formula>
    </cfRule>
    <cfRule type="cellIs" dxfId="451" priority="570" operator="equal">
      <formula>"lowong"</formula>
    </cfRule>
    <cfRule type="cellIs" dxfId="450" priority="571" operator="equal">
      <formula>"lowong"</formula>
    </cfRule>
    <cfRule type="containsText" dxfId="449" priority="572" operator="containsText" text="Lowong">
      <formula>NOT(ISERROR(SEARCH("Lowong",F939)))</formula>
    </cfRule>
    <cfRule type="duplicateValues" dxfId="448" priority="573"/>
  </conditionalFormatting>
  <conditionalFormatting sqref="F179:J207 F7:J56 F58:J72 F74:J78 F78:F83 F84:J101 F103:J114 F116:J132 F134:J158 F160:J177 F209:J225 F227:J332 F334:J388 F390:J452 F454:J467 F469:J511 F515:J533 F535:J571 F573:J585 F587:J596 F597:F599 F599:J599 F601:J614 F616:J624 F626:J634 F636:J644 F646:J654 F656:J664 F666:J674 F676:J684 F686:J694 F696:J704 F706:J795 F513:J513 F796 F797:J1026 J79 G80:J80 J81 G82:J83 J514 H598:J598">
    <cfRule type="expression" dxfId="447" priority="211">
      <formula>$F7="Pelaksana Tugas"</formula>
    </cfRule>
  </conditionalFormatting>
  <conditionalFormatting sqref="G85">
    <cfRule type="duplicateValues" dxfId="446" priority="385"/>
  </conditionalFormatting>
  <conditionalFormatting sqref="G179">
    <cfRule type="cellIs" dxfId="445" priority="207" operator="equal">
      <formula>"Lowong"</formula>
    </cfRule>
    <cfRule type="cellIs" dxfId="444" priority="208" operator="equal">
      <formula>"lowong"</formula>
    </cfRule>
    <cfRule type="cellIs" dxfId="443" priority="209" operator="equal">
      <formula>"lowong"</formula>
    </cfRule>
  </conditionalFormatting>
  <conditionalFormatting sqref="G227">
    <cfRule type="duplicateValues" dxfId="442" priority="386"/>
  </conditionalFormatting>
  <conditionalFormatting sqref="G360">
    <cfRule type="duplicateValues" dxfId="441" priority="381"/>
  </conditionalFormatting>
  <conditionalFormatting sqref="G432">
    <cfRule type="duplicateValues" dxfId="440" priority="382"/>
  </conditionalFormatting>
  <conditionalFormatting sqref="G455">
    <cfRule type="duplicateValues" dxfId="439" priority="383"/>
  </conditionalFormatting>
  <conditionalFormatting sqref="G487">
    <cfRule type="duplicateValues" dxfId="438" priority="384"/>
  </conditionalFormatting>
  <conditionalFormatting sqref="G598">
    <cfRule type="expression" dxfId="437" priority="390">
      <formula>$G598="Pelaksana Tugas"</formula>
    </cfRule>
  </conditionalFormatting>
  <conditionalFormatting sqref="G796">
    <cfRule type="cellIs" dxfId="436" priority="24" operator="equal">
      <formula>"Lowong"</formula>
    </cfRule>
    <cfRule type="cellIs" dxfId="435" priority="25" operator="equal">
      <formula>"lowong"</formula>
    </cfRule>
    <cfRule type="cellIs" dxfId="434" priority="26" operator="equal">
      <formula>"lowong"</formula>
    </cfRule>
  </conditionalFormatting>
  <conditionalFormatting sqref="G79:I79">
    <cfRule type="expression" dxfId="433" priority="392">
      <formula>$F81="Pelaksana Tugas"</formula>
    </cfRule>
  </conditionalFormatting>
  <conditionalFormatting sqref="G179:I179">
    <cfRule type="containsText" dxfId="432" priority="210" operator="containsText" text="Lowong">
      <formula>NOT(ISERROR(SEARCH("Lowong",G179)))</formula>
    </cfRule>
  </conditionalFormatting>
  <conditionalFormatting sqref="G796:I796">
    <cfRule type="containsText" dxfId="431" priority="27" operator="containsText" text="Lowong">
      <formula>NOT(ISERROR(SEARCH("Lowong",G796)))</formula>
    </cfRule>
  </conditionalFormatting>
  <conditionalFormatting sqref="G597:J597 F598">
    <cfRule type="expression" dxfId="430" priority="391">
      <formula>$G598="Pelaksana Tugas"</formula>
    </cfRule>
  </conditionalFormatting>
  <conditionalFormatting sqref="G796:J796">
    <cfRule type="expression" dxfId="429" priority="23">
      <formula>$F796="Pelaksana Tugas"</formula>
    </cfRule>
  </conditionalFormatting>
  <conditionalFormatting sqref="H436">
    <cfRule type="containsText" dxfId="428" priority="307" operator="containsText" text="Lowong">
      <formula>NOT(ISERROR(SEARCH("Lowong",H436)))</formula>
    </cfRule>
  </conditionalFormatting>
  <conditionalFormatting sqref="H457">
    <cfRule type="containsText" dxfId="427" priority="306" operator="containsText" text="Lowong">
      <formula>NOT(ISERROR(SEARCH("Lowong",H457)))</formula>
    </cfRule>
  </conditionalFormatting>
  <conditionalFormatting sqref="H408:I408 H454:J454 H483:I483 I492:J492 H504:J504 J513 H518:J518 H522:J522 H530:J530 H535:J537 H548:J548 H552:J552 F590:F596 F601:F614 F616:F624 F626:F634 F636:F644 F646:F654 F656:F664 F666:F670 F672:F674 F676:F684 F686:F694 F696:F704 F706:F708 F710:F714 F716:F724 F726:F734 E298:G332 E513:G513 E515:G533 E334:G388 E390:G452 E454:G467 E469:G511 E535:G571 E573:G585 E587:G588">
    <cfRule type="cellIs" dxfId="426" priority="244" operator="equal">
      <formula>"lowong"</formula>
    </cfRule>
  </conditionalFormatting>
  <conditionalFormatting sqref="H288:J288">
    <cfRule type="cellIs" dxfId="425" priority="266" operator="equal">
      <formula>"Pelaksana tugas"</formula>
    </cfRule>
  </conditionalFormatting>
  <conditionalFormatting sqref="I2 G2 K2 M2 O2 Q2 S2 U2 W2 Y2:AF2">
    <cfRule type="duplicateValues" dxfId="424" priority="393"/>
  </conditionalFormatting>
  <conditionalFormatting sqref="I532">
    <cfRule type="containsText" dxfId="423" priority="283" operator="containsText" text="Lowong">
      <formula>NOT(ISERROR(SEARCH("Lowong",I532)))</formula>
    </cfRule>
  </conditionalFormatting>
  <conditionalFormatting sqref="J630">
    <cfRule type="cellIs" dxfId="422" priority="36" operator="equal">
      <formula>"Lowong"</formula>
    </cfRule>
    <cfRule type="cellIs" dxfId="421" priority="37" operator="equal">
      <formula>"lowong"</formula>
    </cfRule>
    <cfRule type="cellIs" dxfId="420" priority="38" operator="equal">
      <formula>"lowong"</formula>
    </cfRule>
    <cfRule type="containsText" dxfId="419" priority="39" operator="containsText" text="Lowong">
      <formula>NOT(ISERROR(SEARCH("Lowong",J630)))</formula>
    </cfRule>
  </conditionalFormatting>
  <conditionalFormatting sqref="K4:K5 K7:K56 E57 K58:K72 E73 K74:K101 E102 K103:K114 E115 K116:K132 E133 K134:K158 E159 K160:K177 E178 K179:K207 E208 K209:K225 E226 K227:K332 K334:K388 E389 K390:K452 E453 K454:K467 E468 K469:K511 E512 K513:K533 E534 K535:K571 E572 K573:K585 E586 K587:K599 E600 K601:K614 E615 K616:K624 E625 K626:K634 E635 K636:K644 E645 K646:K654 E655 K656:K664 E665 K666:K674 E675 K676:K684 E685 K686:K694 E695 K696:K704 E705 K706:K1026 N706:N1026">
    <cfRule type="cellIs" dxfId="418" priority="237" operator="greaterThan">
      <formula>"4 TAHUN 6 BULAN"</formula>
    </cfRule>
  </conditionalFormatting>
  <conditionalFormatting sqref="K4:K5 N7:N56 N58:N72 N74:N101 N103:N114 N116:N132 N134:N158 N160:N177 N179:N207 N209:N225 N227:N332 N334:N388 N390:N452 N454:N467 N469:N511 N513:N533 N535:N571 N573:N585 N587:N599 N601:N614 N616:N624 N626:N634 N636:N644 N646:N654 N656:N664 N666:N674 N676:N684 N686:N694 N696:N704">
    <cfRule type="cellIs" dxfId="417" priority="326" operator="equal">
      <formula>"2 Tahun 0 bulan &lt;=&gt; 5 tahun 0 bulan"</formula>
    </cfRule>
    <cfRule type="cellIs" dxfId="416" priority="328" operator="between">
      <formula>"2 TAHUN"</formula>
      <formula>"4 TAHUN"</formula>
    </cfRule>
  </conditionalFormatting>
  <conditionalFormatting sqref="K7:K56 E57 K58:K72 E73 K74:K101 E102 K103:K114 E115 K116:K132 E133 K134:K158 E159 K160:K177 E178 K179:K207 E208 K209:K225 E226 K227:K332 K334:K388 E389 K390:K452 E453 K454:K467 E468 K469:K511 E512 K513:K533 E534 K535:K571 E572 K573:K585 E586 K587:K599 E600 K601:K614 E615 K616:K624 E625 K626:K634 E635 K636:K644 E645 K646:K654 E655 K656:K664 E665 K666:K674 E675 K676:K684 E685 K686:K694 E695 K696:K704 E705 K706:K1026 N706:N1026">
    <cfRule type="cellIs" dxfId="415" priority="239" operator="greaterThan">
      <formula>"2 TAHUN"</formula>
    </cfRule>
  </conditionalFormatting>
  <conditionalFormatting sqref="K373:K388">
    <cfRule type="containsText" dxfId="414" priority="291" operator="containsText" text="Lowong">
      <formula>NOT(ISERROR(SEARCH("Lowong",K373)))</formula>
    </cfRule>
  </conditionalFormatting>
  <conditionalFormatting sqref="L136:M136 O136:P136 R136:V136">
    <cfRule type="containsText" dxfId="413" priority="226" operator="containsText" text="Lowong">
      <formula>NOT(ISERROR(SEARCH("Lowong",L136)))</formula>
    </cfRule>
  </conditionalFormatting>
  <conditionalFormatting sqref="M41">
    <cfRule type="expression" dxfId="412" priority="155">
      <formula>$F41="Pelaksana Tugas"</formula>
    </cfRule>
  </conditionalFormatting>
  <conditionalFormatting sqref="M63">
    <cfRule type="expression" dxfId="411" priority="148">
      <formula>$F63="Pelaksana Tugas"</formula>
    </cfRule>
  </conditionalFormatting>
  <conditionalFormatting sqref="M67">
    <cfRule type="expression" dxfId="410" priority="149">
      <formula>$F67="Pelaksana Tugas"</formula>
    </cfRule>
  </conditionalFormatting>
  <conditionalFormatting sqref="M74">
    <cfRule type="expression" dxfId="409" priority="162">
      <formula>$F74="Pelaksana Tugas"</formula>
    </cfRule>
  </conditionalFormatting>
  <conditionalFormatting sqref="M103">
    <cfRule type="expression" dxfId="408" priority="164">
      <formula>$F103="Pelaksana Tugas"</formula>
    </cfRule>
  </conditionalFormatting>
  <conditionalFormatting sqref="M135">
    <cfRule type="expression" dxfId="407" priority="147">
      <formula>$F135="Pelaksana Tugas"</formula>
    </cfRule>
  </conditionalFormatting>
  <conditionalFormatting sqref="M139">
    <cfRule type="expression" dxfId="406" priority="158">
      <formula>$F139="Pelaksana Tugas"</formula>
    </cfRule>
  </conditionalFormatting>
  <conditionalFormatting sqref="M143">
    <cfRule type="expression" dxfId="405" priority="159">
      <formula>$F143="Pelaksana Tugas"</formula>
    </cfRule>
  </conditionalFormatting>
  <conditionalFormatting sqref="M160:M161">
    <cfRule type="expression" dxfId="404" priority="163">
      <formula>$F160="Pelaksana Tugas"</formula>
    </cfRule>
  </conditionalFormatting>
  <conditionalFormatting sqref="M316">
    <cfRule type="expression" dxfId="403" priority="156">
      <formula>$F316="Pelaksana Tugas"</formula>
    </cfRule>
  </conditionalFormatting>
  <conditionalFormatting sqref="M372">
    <cfRule type="expression" dxfId="402" priority="161">
      <formula>$F372="Pelaksana Tugas"</formula>
    </cfRule>
    <cfRule type="containsText" dxfId="401" priority="293" operator="containsText" text="Lowong">
      <formula>NOT(ISERROR(SEARCH("Lowong",M372)))</formula>
    </cfRule>
  </conditionalFormatting>
  <conditionalFormatting sqref="M427">
    <cfRule type="expression" dxfId="400" priority="157">
      <formula>$F427="Pelaksana Tugas"</formula>
    </cfRule>
  </conditionalFormatting>
  <conditionalFormatting sqref="M513">
    <cfRule type="expression" dxfId="399" priority="150">
      <formula>$F513="Pelaksana Tugas"</formula>
    </cfRule>
    <cfRule type="cellIs" dxfId="398" priority="151" operator="equal">
      <formula>"Lowong"</formula>
    </cfRule>
    <cfRule type="cellIs" dxfId="397" priority="152" operator="equal">
      <formula>"lowong"</formula>
    </cfRule>
    <cfRule type="cellIs" dxfId="396" priority="153" operator="equal">
      <formula>"lowong"</formula>
    </cfRule>
    <cfRule type="containsText" dxfId="395" priority="154" operator="containsText" text="Lowong">
      <formula>NOT(ISERROR(SEARCH("Lowong",M513)))</formula>
    </cfRule>
  </conditionalFormatting>
  <conditionalFormatting sqref="M537">
    <cfRule type="expression" dxfId="394" priority="40">
      <formula>$F537="Pelaksana Tugas"</formula>
    </cfRule>
    <cfRule type="cellIs" dxfId="393" priority="41" operator="equal">
      <formula>"Lowong"</formula>
    </cfRule>
    <cfRule type="cellIs" dxfId="392" priority="42" operator="equal">
      <formula>"lowong"</formula>
    </cfRule>
    <cfRule type="cellIs" dxfId="391" priority="43" operator="equal">
      <formula>"lowong"</formula>
    </cfRule>
    <cfRule type="containsText" dxfId="390" priority="44" operator="containsText" text="Lowong">
      <formula>NOT(ISERROR(SEARCH("Lowong",M537)))</formula>
    </cfRule>
  </conditionalFormatting>
  <conditionalFormatting sqref="M539">
    <cfRule type="containsText" dxfId="389" priority="302" operator="containsText" text="Lowong">
      <formula>NOT(ISERROR(SEARCH("Lowong",M539)))</formula>
    </cfRule>
  </conditionalFormatting>
  <conditionalFormatting sqref="M626:M634">
    <cfRule type="containsText" dxfId="388" priority="35" operator="containsText" text="Lowong">
      <formula>NOT(ISERROR(SEARCH("Lowong",M626)))</formula>
    </cfRule>
  </conditionalFormatting>
  <conditionalFormatting sqref="M630">
    <cfRule type="expression" dxfId="387" priority="31">
      <formula>$F630="Pelaksana Tugas"</formula>
    </cfRule>
    <cfRule type="cellIs" dxfId="386" priority="32" operator="equal">
      <formula>"Lowong"</formula>
    </cfRule>
    <cfRule type="cellIs" dxfId="385" priority="33" operator="equal">
      <formula>"lowong"</formula>
    </cfRule>
    <cfRule type="cellIs" dxfId="384" priority="34" operator="equal">
      <formula>"lowong"</formula>
    </cfRule>
  </conditionalFormatting>
  <conditionalFormatting sqref="M701">
    <cfRule type="expression" dxfId="383" priority="30">
      <formula>$F701="Pelaksana Tugas"</formula>
    </cfRule>
  </conditionalFormatting>
  <conditionalFormatting sqref="M708">
    <cfRule type="expression" dxfId="382" priority="29">
      <formula>$F708="Pelaksana Tugas"</formula>
    </cfRule>
  </conditionalFormatting>
  <conditionalFormatting sqref="M734">
    <cfRule type="expression" dxfId="381" priority="146">
      <formula>$F734="Pelaksana Tugas"</formula>
    </cfRule>
  </conditionalFormatting>
  <conditionalFormatting sqref="M736">
    <cfRule type="expression" dxfId="380" priority="160">
      <formula>$F736="Pelaksana Tugas"</formula>
    </cfRule>
  </conditionalFormatting>
  <conditionalFormatting sqref="M786">
    <cfRule type="expression" dxfId="379" priority="202">
      <formula>$F786="Pelaksana Tugas"</formula>
    </cfRule>
    <cfRule type="cellIs" dxfId="378" priority="203" operator="equal">
      <formula>"Lowong"</formula>
    </cfRule>
    <cfRule type="cellIs" dxfId="377" priority="204" operator="equal">
      <formula>"Pelaksana tugas"</formula>
    </cfRule>
    <cfRule type="cellIs" dxfId="376" priority="205" operator="equal">
      <formula>"lowong"</formula>
    </cfRule>
    <cfRule type="cellIs" dxfId="375" priority="206" operator="equal">
      <formula>"lowong"</formula>
    </cfRule>
  </conditionalFormatting>
  <conditionalFormatting sqref="M829">
    <cfRule type="expression" dxfId="374" priority="46">
      <formula>$F829="Pelaksana Tugas"</formula>
    </cfRule>
  </conditionalFormatting>
  <conditionalFormatting sqref="N7:N56 N58:N72 N74:N101 N103:N114 N116:N132 N134:N158 N160:N177 N179:N207 N209:N225 N227:N332 N334:N388 N390:N452 N454:N467 N469:N511 N513:N533 N535:N571 N573:N585 N587:N599 N601:N614 N616:N624 N626:N634 N636:N644 N646:N654 N656:N664 N666:N674 N676:N684 N686:N694 N696:N704 K4:K5">
    <cfRule type="cellIs" dxfId="373" priority="327" operator="greaterThan">
      <formula>"2 TAHUN"</formula>
    </cfRule>
  </conditionalFormatting>
  <conditionalFormatting sqref="N7:N56 N58:N72 N74:N101 N103:N114 N116:N132 N134:N158 N160:N177 N179:N207 N209:N225 N227:N332 N334:N388 N390:N452 N454:N467 N469:N511 N513:N533 N535:N571 N573:N585 N587:N599 N601:N614 N616:N624 N626:N634 N636:N644 N646:N654 N656:N664 N666:N674 N676:N684 N686:N694 N696:N704">
    <cfRule type="cellIs" dxfId="372" priority="325" operator="greaterThan">
      <formula>"4 TAHUN 6 BULAN"</formula>
    </cfRule>
  </conditionalFormatting>
  <conditionalFormatting sqref="AE7:AE56 AE58:AE72 AE74:AE101 AE103:AE114 AE116:AE132 AE134:AE158 AE160:AE207 AE209:AE225 AE227:AE332 AE334:AE452 AE454:AE467 AE469:AE511 AE513:AE533 AE535:AE571 AE573:AE585 AE587:AE599 AE601:AE614 AE616:AE624 AE626:AE634 AE636:AE644 AE646:AE654 AE656:AE664 AE666:AE674 AE676:AE684 AE686:AE694 AE696:AE704 AE706:AE1026">
    <cfRule type="cellIs" dxfId="371" priority="324" operator="greaterThan">
      <formula>"55 TAHUN"</formula>
    </cfRule>
  </conditionalFormatting>
  <printOptions horizontalCentered="1"/>
  <pageMargins left="0.15748031496062992" right="0.11811023622047245" top="0.27559055118110237" bottom="0.19685039370078741" header="7.874015748031496E-2" footer="0.11811023622047245"/>
  <pageSetup paperSize="258" scale="73" orientation="landscape" horizontalDpi="4294967294" verticalDpi="300" r:id="rId1"/>
  <headerFooter alignWithMargins="0">
    <oddFooter>&amp;C&amp;P</oddFooter>
  </headerFooter>
  <rowBreaks count="4" manualBreakCount="4">
    <brk id="225" max="13" man="1"/>
    <brk id="888" max="13" man="1"/>
    <brk id="911" max="13" man="1"/>
    <brk id="987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0F2D-26A7-4CFD-B97C-E4780124D447}">
  <sheetPr>
    <tabColor rgb="FFFF0000"/>
  </sheetPr>
  <dimension ref="A1:AG1041"/>
  <sheetViews>
    <sheetView zoomScale="89" zoomScaleNormal="89" zoomScaleSheetLayoutView="70" workbookViewId="0">
      <pane xSplit="5" ySplit="3" topLeftCell="AG901" activePane="bottomRight" state="frozen"/>
      <selection pane="topRight" activeCell="F1" sqref="F1"/>
      <selection pane="bottomLeft" activeCell="A4" sqref="A4"/>
      <selection pane="bottomRight" activeCell="AG903" sqref="AG903"/>
    </sheetView>
  </sheetViews>
  <sheetFormatPr defaultColWidth="9.1796875" defaultRowHeight="10.5" x14ac:dyDescent="0.35"/>
  <cols>
    <col min="1" max="1" width="5.453125" style="7" customWidth="1"/>
    <col min="2" max="2" width="10.81640625" style="7" customWidth="1"/>
    <col min="3" max="3" width="5.81640625" style="7" customWidth="1"/>
    <col min="4" max="4" width="50.08984375" style="6" customWidth="1"/>
    <col min="5" max="5" width="35.54296875" style="6" customWidth="1"/>
    <col min="6" max="6" width="11.08984375" style="9" hidden="1" customWidth="1"/>
    <col min="7" max="7" width="19.1796875" style="10" hidden="1" customWidth="1"/>
    <col min="8" max="8" width="15.54296875" style="6" hidden="1" customWidth="1"/>
    <col min="9" max="9" width="18.81640625" style="10" hidden="1" customWidth="1"/>
    <col min="10" max="10" width="11.453125" style="7" hidden="1" customWidth="1"/>
    <col min="11" max="11" width="8.453125" style="7" hidden="1" customWidth="1"/>
    <col min="12" max="12" width="8.1796875" style="10" hidden="1" customWidth="1"/>
    <col min="13" max="13" width="9" style="10" hidden="1" customWidth="1"/>
    <col min="14" max="14" width="8.1796875" style="10" hidden="1" customWidth="1"/>
    <col min="15" max="15" width="9.1796875" style="6" hidden="1" customWidth="1"/>
    <col min="16" max="16" width="8" style="1" hidden="1" customWidth="1"/>
    <col min="17" max="17" width="9.1796875" style="1" hidden="1" customWidth="1"/>
    <col min="18" max="20" width="10.1796875" style="1" hidden="1" customWidth="1"/>
    <col min="21" max="21" width="8.81640625" style="1" hidden="1" customWidth="1"/>
    <col min="22" max="22" width="8.81640625" style="2" hidden="1" customWidth="1"/>
    <col min="23" max="23" width="10.453125" style="11" hidden="1" customWidth="1"/>
    <col min="24" max="24" width="9.1796875" style="11" hidden="1" customWidth="1"/>
    <col min="25" max="27" width="11.453125" style="11" hidden="1" customWidth="1"/>
    <col min="28" max="28" width="12.81640625" style="7" hidden="1" customWidth="1"/>
    <col min="29" max="29" width="13.1796875" style="7" hidden="1" customWidth="1"/>
    <col min="30" max="30" width="17.1796875" style="7" hidden="1" customWidth="1"/>
    <col min="31" max="31" width="25.453125" style="7" hidden="1" customWidth="1"/>
    <col min="32" max="32" width="15.81640625" style="12" hidden="1" customWidth="1"/>
    <col min="33" max="33" width="22.36328125" style="11" customWidth="1"/>
    <col min="34" max="16384" width="9.1796875" style="7"/>
  </cols>
  <sheetData>
    <row r="1" spans="1:33" ht="39" customHeight="1" x14ac:dyDescent="0.35">
      <c r="A1" s="266" t="s">
        <v>3141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18">
        <f>193-31</f>
        <v>162</v>
      </c>
      <c r="R1" s="18"/>
      <c r="S1" s="18"/>
      <c r="T1" s="18"/>
      <c r="U1" s="7"/>
      <c r="V1" s="11"/>
    </row>
    <row r="2" spans="1:33" s="178" customFormat="1" ht="7.5" customHeight="1" x14ac:dyDescent="0.35">
      <c r="A2" s="19"/>
      <c r="B2" s="19"/>
      <c r="C2" s="19"/>
      <c r="D2" s="19"/>
      <c r="E2" s="20">
        <v>4</v>
      </c>
      <c r="F2" s="21"/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  <c r="R2" s="20">
        <v>16</v>
      </c>
      <c r="S2" s="20">
        <v>17</v>
      </c>
      <c r="T2" s="20">
        <v>18</v>
      </c>
      <c r="U2" s="20">
        <v>19</v>
      </c>
      <c r="V2" s="20">
        <v>20</v>
      </c>
      <c r="W2" s="20">
        <v>21</v>
      </c>
      <c r="X2" s="20">
        <v>22</v>
      </c>
      <c r="Y2" s="20">
        <v>23</v>
      </c>
      <c r="Z2" s="22">
        <v>45946.308217592596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3">
        <v>30</v>
      </c>
      <c r="AG2" s="217"/>
    </row>
    <row r="3" spans="1:33" s="179" customFormat="1" ht="33.75" customHeight="1" x14ac:dyDescent="0.35">
      <c r="A3" s="198" t="s">
        <v>0</v>
      </c>
      <c r="B3" s="199" t="s">
        <v>1</v>
      </c>
      <c r="C3" s="267" t="s">
        <v>2</v>
      </c>
      <c r="D3" s="268"/>
      <c r="E3" s="200" t="s">
        <v>3</v>
      </c>
      <c r="F3" s="200" t="s">
        <v>4</v>
      </c>
      <c r="G3" s="200" t="s">
        <v>5</v>
      </c>
      <c r="H3" s="201" t="s">
        <v>6</v>
      </c>
      <c r="I3" s="200" t="s">
        <v>7</v>
      </c>
      <c r="J3" s="200" t="s">
        <v>8</v>
      </c>
      <c r="K3" s="202" t="s">
        <v>9</v>
      </c>
      <c r="L3" s="200" t="s">
        <v>10</v>
      </c>
      <c r="M3" s="200" t="s">
        <v>11</v>
      </c>
      <c r="N3" s="200" t="s">
        <v>12</v>
      </c>
      <c r="O3" s="200" t="s">
        <v>13</v>
      </c>
      <c r="P3" s="200" t="s">
        <v>14</v>
      </c>
      <c r="Q3" s="200" t="s">
        <v>15</v>
      </c>
      <c r="R3" s="200" t="s">
        <v>16</v>
      </c>
      <c r="S3" s="200" t="s">
        <v>17</v>
      </c>
      <c r="T3" s="200" t="s">
        <v>15</v>
      </c>
      <c r="U3" s="202" t="s">
        <v>18</v>
      </c>
      <c r="V3" s="202" t="s">
        <v>19</v>
      </c>
      <c r="W3" s="203" t="s">
        <v>20</v>
      </c>
      <c r="X3" s="203" t="s">
        <v>21</v>
      </c>
      <c r="Y3" s="203" t="s">
        <v>22</v>
      </c>
      <c r="Z3" s="203" t="s">
        <v>23</v>
      </c>
      <c r="AA3" s="203" t="s">
        <v>24</v>
      </c>
      <c r="AB3" s="203" t="s">
        <v>25</v>
      </c>
      <c r="AC3" s="203" t="s">
        <v>26</v>
      </c>
      <c r="AD3" s="203" t="s">
        <v>27</v>
      </c>
      <c r="AE3" s="203" t="s">
        <v>28</v>
      </c>
      <c r="AF3" s="204" t="s">
        <v>29</v>
      </c>
      <c r="AG3" s="218"/>
    </row>
    <row r="4" spans="1:33" ht="32.15" customHeight="1" x14ac:dyDescent="0.35">
      <c r="A4" s="26"/>
      <c r="B4" s="27"/>
      <c r="C4" s="269" t="s">
        <v>30</v>
      </c>
      <c r="D4" s="270"/>
      <c r="E4" s="24" t="s">
        <v>31</v>
      </c>
      <c r="F4" s="24"/>
      <c r="G4" s="28" t="s">
        <v>32</v>
      </c>
      <c r="H4" s="3" t="s">
        <v>32</v>
      </c>
      <c r="I4" s="4" t="s">
        <v>33</v>
      </c>
      <c r="J4" s="5" t="s">
        <v>34</v>
      </c>
      <c r="K4" s="3" t="str">
        <f ca="1">CONCATENATE(DATEDIF(J4,NOW(),"Y")," Tahun ",DATEDIF(J4,NOW(),"YM")," bulan ")</f>
        <v xml:space="preserve">1 Tahun 6 bulan </v>
      </c>
      <c r="L4" s="4"/>
      <c r="M4" s="4"/>
      <c r="N4" s="4"/>
      <c r="O4" s="4"/>
      <c r="P4" s="4" t="s">
        <v>35</v>
      </c>
      <c r="Q4" s="4" t="s">
        <v>36</v>
      </c>
      <c r="R4" s="4"/>
      <c r="S4" s="4"/>
      <c r="T4" s="4"/>
      <c r="U4" s="29"/>
      <c r="V4" s="30"/>
      <c r="W4" s="30"/>
      <c r="X4" s="30"/>
      <c r="Y4" s="30"/>
      <c r="Z4" s="25"/>
      <c r="AA4" s="30"/>
      <c r="AB4" s="29"/>
      <c r="AC4" s="29"/>
      <c r="AD4" s="29"/>
      <c r="AE4" s="29"/>
      <c r="AF4" s="31"/>
      <c r="AG4" s="7"/>
    </row>
    <row r="5" spans="1:33" ht="32.15" customHeight="1" x14ac:dyDescent="0.35">
      <c r="A5" s="26"/>
      <c r="B5" s="27"/>
      <c r="C5" s="269" t="s">
        <v>37</v>
      </c>
      <c r="D5" s="270"/>
      <c r="E5" s="24" t="s">
        <v>38</v>
      </c>
      <c r="F5" s="24"/>
      <c r="G5" s="28"/>
      <c r="H5" s="4"/>
      <c r="I5" s="4"/>
      <c r="J5" s="5" t="s">
        <v>34</v>
      </c>
      <c r="K5" s="3" t="str">
        <f ca="1">CONCATENATE(DATEDIF(J5,NOW(),"Y")," Tahun ",DATEDIF(J5,NOW(),"YM")," bulan ")</f>
        <v xml:space="preserve">1 Tahun 6 bulan </v>
      </c>
      <c r="L5" s="4"/>
      <c r="M5" s="4"/>
      <c r="N5" s="4"/>
      <c r="O5" s="4"/>
      <c r="P5" s="4" t="s">
        <v>35</v>
      </c>
      <c r="Q5" s="4" t="s">
        <v>36</v>
      </c>
      <c r="R5" s="4"/>
      <c r="S5" s="4"/>
      <c r="T5" s="4"/>
      <c r="U5" s="29"/>
      <c r="V5" s="30"/>
      <c r="W5" s="30"/>
      <c r="X5" s="30"/>
      <c r="Y5" s="30"/>
      <c r="Z5" s="25"/>
      <c r="AA5" s="30"/>
      <c r="AB5" s="29"/>
      <c r="AC5" s="29"/>
      <c r="AD5" s="29"/>
      <c r="AE5" s="29"/>
      <c r="AF5" s="31"/>
      <c r="AG5" s="7"/>
    </row>
    <row r="6" spans="1:33" s="6" customFormat="1" ht="32.15" customHeight="1" x14ac:dyDescent="0.35">
      <c r="A6" s="4"/>
      <c r="B6" s="32" t="s">
        <v>39</v>
      </c>
      <c r="C6" s="269" t="s">
        <v>40</v>
      </c>
      <c r="D6" s="270"/>
      <c r="E6" s="269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270"/>
    </row>
    <row r="7" spans="1:33" ht="31.5" customHeight="1" x14ac:dyDescent="0.35">
      <c r="A7" s="26">
        <v>1</v>
      </c>
      <c r="B7" s="4" t="s">
        <v>39</v>
      </c>
      <c r="C7" s="264" t="s">
        <v>41</v>
      </c>
      <c r="D7" s="265"/>
      <c r="E7" s="24" t="s">
        <v>42</v>
      </c>
      <c r="F7" s="24" t="s">
        <v>43</v>
      </c>
      <c r="G7" s="3" t="s">
        <v>44</v>
      </c>
      <c r="H7" s="4" t="s">
        <v>45</v>
      </c>
      <c r="I7" s="36" t="s">
        <v>46</v>
      </c>
      <c r="J7" s="5" t="s">
        <v>47</v>
      </c>
      <c r="K7" s="3" t="str">
        <f t="shared" ref="K7:K70" ca="1" si="0">IF(J7="","",CONCATENATE(DATEDIF(J7,NOW(),"Y")," Tahun ",DATEDIF(J7,NOW(),"YM")," bulan "))</f>
        <v xml:space="preserve">1 Tahun 9 bulan </v>
      </c>
      <c r="L7" s="30" t="s">
        <v>48</v>
      </c>
      <c r="M7" s="5" t="s">
        <v>47</v>
      </c>
      <c r="N7" s="3" t="str">
        <f t="shared" ref="N7:N70" ca="1" si="1">IF(M7="","",CONCATENATE(DATEDIF(M7,NOW(),"Y")," Tahun ",DATEDIF(M7,NOW(),"YM")," bulan "))</f>
        <v xml:space="preserve">1 Tahun 9 bulan </v>
      </c>
      <c r="O7" s="4" t="s">
        <v>49</v>
      </c>
      <c r="P7" s="4" t="s">
        <v>35</v>
      </c>
      <c r="Q7" s="4" t="str">
        <f t="shared" ref="Q7:Q70" si="2">CONCATENATE(IF(MID(G7,17,1)="1","Laki-Laki",IF(MID(G7,17,1)="2","Perempuan",)))</f>
        <v>Laki-Laki</v>
      </c>
      <c r="R7" s="4">
        <v>1</v>
      </c>
      <c r="S7" s="4" t="str">
        <f t="shared" ref="S7:S41" si="3">IF(E7="LOWONG","0","1")</f>
        <v>1</v>
      </c>
      <c r="T7" s="4">
        <f>R7-S7</f>
        <v>0</v>
      </c>
      <c r="U7" s="29"/>
      <c r="V7" s="30" t="s">
        <v>50</v>
      </c>
      <c r="W7" s="30">
        <v>78</v>
      </c>
      <c r="X7" s="30">
        <v>79</v>
      </c>
      <c r="Y7" s="30">
        <v>80</v>
      </c>
      <c r="Z7" s="25"/>
      <c r="AA7" s="30">
        <v>2022</v>
      </c>
      <c r="AB7" s="29" t="s">
        <v>51</v>
      </c>
      <c r="AC7" s="35"/>
      <c r="AD7" s="37">
        <f>IF(TRIM(G7)="", "", DATE(LEFT(G7,4),MID(G7,5,2),MID(G7,7,2)))</f>
        <v>24826</v>
      </c>
      <c r="AE7" s="3" t="str">
        <f t="shared" ref="AE7:AE70" ca="1" si="4">IF(TRIM(AD7)="", "", CONCATENATE(DATEDIF(AD7,NOW(),"Y")," Tahun ",DATEDIF(AD7,NOW(),"YM")," bulan ",DATEDIF(AD7,NOW(),"MD")," Hari"))</f>
        <v>58 Tahun 8 bulan 12 Hari</v>
      </c>
      <c r="AF7" s="38">
        <f>IF(TRIM(AD7)="","",DATE(YEAR(AD7)+60,MONTH(AD7)+1,1))</f>
        <v>46753</v>
      </c>
      <c r="AG7" s="7"/>
    </row>
    <row r="8" spans="1:33" s="306" customFormat="1" ht="32.15" customHeight="1" x14ac:dyDescent="0.35">
      <c r="A8" s="180">
        <f t="shared" ref="A8:A71" si="5">A7+1</f>
        <v>2</v>
      </c>
      <c r="B8" s="181" t="s">
        <v>39</v>
      </c>
      <c r="C8" s="260" t="s">
        <v>52</v>
      </c>
      <c r="D8" s="261"/>
      <c r="E8" s="194" t="s">
        <v>53</v>
      </c>
      <c r="F8" s="182" t="s">
        <v>43</v>
      </c>
      <c r="G8" s="195" t="s">
        <v>54</v>
      </c>
      <c r="H8" s="181" t="s">
        <v>2983</v>
      </c>
      <c r="I8" s="196" t="s">
        <v>55</v>
      </c>
      <c r="J8" s="185">
        <v>45917</v>
      </c>
      <c r="K8" s="183" t="str">
        <f t="shared" ca="1" si="0"/>
        <v xml:space="preserve">0 Tahun 11 bulan </v>
      </c>
      <c r="L8" s="186" t="s">
        <v>56</v>
      </c>
      <c r="M8" s="185">
        <v>45917</v>
      </c>
      <c r="N8" s="183" t="str">
        <f t="shared" ca="1" si="1"/>
        <v xml:space="preserve">0 Tahun 11 bulan </v>
      </c>
      <c r="O8" s="181" t="s">
        <v>2984</v>
      </c>
      <c r="P8" s="181" t="s">
        <v>35</v>
      </c>
      <c r="Q8" s="181" t="str">
        <f t="shared" si="2"/>
        <v>Laki-Laki</v>
      </c>
      <c r="R8" s="181">
        <f t="shared" ref="R8:R22" si="6">R7</f>
        <v>1</v>
      </c>
      <c r="S8" s="181" t="str">
        <f t="shared" si="3"/>
        <v>1</v>
      </c>
      <c r="T8" s="181">
        <f t="shared" ref="T8:T77" si="7">R8-S8</f>
        <v>0</v>
      </c>
      <c r="U8" s="188"/>
      <c r="V8" s="189" t="s">
        <v>50</v>
      </c>
      <c r="W8" s="189"/>
      <c r="X8" s="189"/>
      <c r="Y8" s="189"/>
      <c r="Z8" s="189"/>
      <c r="AA8" s="189"/>
      <c r="AB8" s="188"/>
      <c r="AC8" s="188"/>
      <c r="AD8" s="190">
        <f t="shared" ref="AD8:AD71" si="8">IF(TRIM(G8)="", "", DATE(LEFT(G8,4),MID(G8,5,2),MID(G8,7,2)))</f>
        <v>24734</v>
      </c>
      <c r="AE8" s="183" t="str">
        <f t="shared" ca="1" si="4"/>
        <v>58 Tahun 11 bulan 13 Hari</v>
      </c>
      <c r="AF8" s="191">
        <f t="shared" ref="AF8:AF71" si="9">IF(TRIM(AD8)="","",DATE(YEAR(AD8)+60,MONTH(AD8)+1,1))</f>
        <v>46661</v>
      </c>
    </row>
    <row r="9" spans="1:33" s="306" customFormat="1" ht="32.15" customHeight="1" x14ac:dyDescent="0.35">
      <c r="A9" s="180">
        <f t="shared" si="5"/>
        <v>3</v>
      </c>
      <c r="B9" s="181" t="s">
        <v>39</v>
      </c>
      <c r="C9" s="260" t="s">
        <v>57</v>
      </c>
      <c r="D9" s="261"/>
      <c r="E9" s="192" t="s">
        <v>878</v>
      </c>
      <c r="F9" s="182" t="s">
        <v>43</v>
      </c>
      <c r="G9" s="193" t="s">
        <v>879</v>
      </c>
      <c r="H9" s="181" t="s">
        <v>880</v>
      </c>
      <c r="I9" s="184" t="s">
        <v>46</v>
      </c>
      <c r="J9" s="185">
        <v>46260</v>
      </c>
      <c r="K9" s="183" t="str">
        <f t="shared" ca="1" si="0"/>
        <v xml:space="preserve">0 Tahun 0 bulan </v>
      </c>
      <c r="L9" s="189" t="s">
        <v>56</v>
      </c>
      <c r="M9" s="185" t="s">
        <v>711</v>
      </c>
      <c r="N9" s="183" t="str">
        <f t="shared" ca="1" si="1"/>
        <v xml:space="preserve">4 Tahun 11 bulan </v>
      </c>
      <c r="O9" s="186" t="s">
        <v>49</v>
      </c>
      <c r="P9" s="181" t="s">
        <v>35</v>
      </c>
      <c r="Q9" s="181" t="str">
        <f t="shared" si="2"/>
        <v>Laki-Laki</v>
      </c>
      <c r="R9" s="181">
        <f t="shared" si="6"/>
        <v>1</v>
      </c>
      <c r="S9" s="181" t="str">
        <f t="shared" si="3"/>
        <v>1</v>
      </c>
      <c r="T9" s="181">
        <f t="shared" si="7"/>
        <v>0</v>
      </c>
      <c r="U9" s="188"/>
      <c r="V9" s="189" t="s">
        <v>50</v>
      </c>
      <c r="W9" s="189"/>
      <c r="X9" s="189"/>
      <c r="Y9" s="189"/>
      <c r="Z9" s="189"/>
      <c r="AA9" s="189"/>
      <c r="AB9" s="188"/>
      <c r="AC9" s="188"/>
      <c r="AD9" s="190">
        <f t="shared" si="8"/>
        <v>25082</v>
      </c>
      <c r="AE9" s="183" t="str">
        <f t="shared" ca="1" si="4"/>
        <v>58 Tahun 0 bulan 0 Hari</v>
      </c>
      <c r="AF9" s="191">
        <f t="shared" si="9"/>
        <v>47027</v>
      </c>
    </row>
    <row r="10" spans="1:33" s="306" customFormat="1" ht="32.15" customHeight="1" x14ac:dyDescent="0.35">
      <c r="A10" s="180">
        <f t="shared" si="5"/>
        <v>4</v>
      </c>
      <c r="B10" s="181" t="s">
        <v>39</v>
      </c>
      <c r="C10" s="260" t="s">
        <v>63</v>
      </c>
      <c r="D10" s="261"/>
      <c r="E10" s="182" t="s">
        <v>731</v>
      </c>
      <c r="F10" s="182" t="s">
        <v>43</v>
      </c>
      <c r="G10" s="183" t="s">
        <v>732</v>
      </c>
      <c r="H10" s="181" t="s">
        <v>303</v>
      </c>
      <c r="I10" s="184" t="s">
        <v>383</v>
      </c>
      <c r="J10" s="185">
        <v>46260</v>
      </c>
      <c r="K10" s="183" t="str">
        <f t="shared" ca="1" si="0"/>
        <v xml:space="preserve">0 Tahun 0 bulan </v>
      </c>
      <c r="L10" s="186" t="s">
        <v>56</v>
      </c>
      <c r="M10" s="185" t="s">
        <v>325</v>
      </c>
      <c r="N10" s="183" t="str">
        <f t="shared" ca="1" si="1"/>
        <v xml:space="preserve">1 Tahun 9 bulan </v>
      </c>
      <c r="O10" s="187" t="s">
        <v>2987</v>
      </c>
      <c r="P10" s="181" t="s">
        <v>35</v>
      </c>
      <c r="Q10" s="181" t="str">
        <f t="shared" si="2"/>
        <v>Laki-Laki</v>
      </c>
      <c r="R10" s="181">
        <f t="shared" si="6"/>
        <v>1</v>
      </c>
      <c r="S10" s="181" t="str">
        <f t="shared" si="3"/>
        <v>1</v>
      </c>
      <c r="T10" s="181">
        <f t="shared" si="7"/>
        <v>0</v>
      </c>
      <c r="U10" s="188"/>
      <c r="V10" s="189" t="s">
        <v>50</v>
      </c>
      <c r="W10" s="189"/>
      <c r="X10" s="189"/>
      <c r="Y10" s="189"/>
      <c r="Z10" s="189"/>
      <c r="AA10" s="189"/>
      <c r="AB10" s="188"/>
      <c r="AC10" s="188"/>
      <c r="AD10" s="190">
        <f t="shared" si="8"/>
        <v>27633</v>
      </c>
      <c r="AE10" s="183" t="str">
        <f t="shared" ca="1" si="4"/>
        <v>51 Tahun 0 bulan 5 Hari</v>
      </c>
      <c r="AF10" s="191">
        <f t="shared" si="9"/>
        <v>49553</v>
      </c>
    </row>
    <row r="11" spans="1:33" s="306" customFormat="1" ht="32.15" customHeight="1" x14ac:dyDescent="0.35">
      <c r="A11" s="26">
        <f t="shared" si="5"/>
        <v>5</v>
      </c>
      <c r="B11" s="4" t="s">
        <v>39</v>
      </c>
      <c r="C11" s="264" t="s">
        <v>70</v>
      </c>
      <c r="D11" s="265"/>
      <c r="E11" s="24" t="s">
        <v>2864</v>
      </c>
      <c r="F11" s="24" t="s">
        <v>43</v>
      </c>
      <c r="G11" s="3" t="s">
        <v>2865</v>
      </c>
      <c r="H11" s="3" t="s">
        <v>988</v>
      </c>
      <c r="I11" s="33" t="s">
        <v>2920</v>
      </c>
      <c r="J11" s="5">
        <v>46087</v>
      </c>
      <c r="K11" s="3" t="str">
        <f t="shared" ca="1" si="0"/>
        <v xml:space="preserve">0 Tahun 5 bulan </v>
      </c>
      <c r="L11" s="30" t="s">
        <v>56</v>
      </c>
      <c r="M11" s="5">
        <v>46087</v>
      </c>
      <c r="N11" s="3" t="str">
        <f t="shared" ca="1" si="1"/>
        <v xml:space="preserve">0 Tahun 5 bulan </v>
      </c>
      <c r="O11" s="44" t="s">
        <v>81</v>
      </c>
      <c r="P11" s="4" t="s">
        <v>35</v>
      </c>
      <c r="Q11" s="4" t="str">
        <f t="shared" si="2"/>
        <v>Laki-Laki</v>
      </c>
      <c r="R11" s="4">
        <f t="shared" si="6"/>
        <v>1</v>
      </c>
      <c r="S11" s="4" t="str">
        <f t="shared" si="3"/>
        <v>1</v>
      </c>
      <c r="T11" s="4">
        <f t="shared" si="7"/>
        <v>0</v>
      </c>
      <c r="U11" s="29"/>
      <c r="V11" s="30" t="s">
        <v>50</v>
      </c>
      <c r="W11" s="30"/>
      <c r="X11" s="30"/>
      <c r="Y11" s="30"/>
      <c r="Z11" s="30"/>
      <c r="AA11" s="30"/>
      <c r="AB11" s="29"/>
      <c r="AC11" s="29"/>
      <c r="AD11" s="37">
        <f t="shared" si="8"/>
        <v>29380</v>
      </c>
      <c r="AE11" s="3" t="str">
        <f t="shared" ca="1" si="4"/>
        <v>46 Tahun 2 bulan 24 Hari</v>
      </c>
      <c r="AF11" s="38">
        <f t="shared" si="9"/>
        <v>51318</v>
      </c>
    </row>
    <row r="12" spans="1:33" s="306" customFormat="1" ht="32.15" customHeight="1" x14ac:dyDescent="0.35">
      <c r="A12" s="180">
        <f t="shared" si="5"/>
        <v>6</v>
      </c>
      <c r="B12" s="181" t="s">
        <v>39</v>
      </c>
      <c r="C12" s="274" t="s">
        <v>73</v>
      </c>
      <c r="D12" s="275"/>
      <c r="E12" s="197" t="s">
        <v>74</v>
      </c>
      <c r="F12" s="182" t="s">
        <v>43</v>
      </c>
      <c r="G12" s="187" t="s">
        <v>75</v>
      </c>
      <c r="H12" s="186" t="s">
        <v>76</v>
      </c>
      <c r="I12" s="186" t="s">
        <v>77</v>
      </c>
      <c r="J12" s="185" t="s">
        <v>78</v>
      </c>
      <c r="K12" s="183" t="str">
        <f t="shared" ca="1" si="0"/>
        <v xml:space="preserve">5 Tahun 11 bulan </v>
      </c>
      <c r="L12" s="186" t="s">
        <v>79</v>
      </c>
      <c r="M12" s="185" t="s">
        <v>80</v>
      </c>
      <c r="N12" s="183" t="str">
        <f t="shared" ca="1" si="1"/>
        <v xml:space="preserve">13 Tahun 7 bulan </v>
      </c>
      <c r="O12" s="186" t="s">
        <v>81</v>
      </c>
      <c r="P12" s="181" t="s">
        <v>35</v>
      </c>
      <c r="Q12" s="181" t="str">
        <f t="shared" si="2"/>
        <v>Laki-Laki</v>
      </c>
      <c r="R12" s="181">
        <f t="shared" si="6"/>
        <v>1</v>
      </c>
      <c r="S12" s="181" t="str">
        <f t="shared" si="3"/>
        <v>1</v>
      </c>
      <c r="T12" s="181">
        <f t="shared" si="7"/>
        <v>0</v>
      </c>
      <c r="U12" s="188"/>
      <c r="V12" s="189" t="s">
        <v>50</v>
      </c>
      <c r="W12" s="189"/>
      <c r="X12" s="189"/>
      <c r="Y12" s="189"/>
      <c r="Z12" s="189"/>
      <c r="AA12" s="189"/>
      <c r="AB12" s="188"/>
      <c r="AC12" s="188"/>
      <c r="AD12" s="190">
        <f t="shared" si="8"/>
        <v>29829</v>
      </c>
      <c r="AE12" s="183" t="str">
        <f t="shared" ca="1" si="4"/>
        <v>45 Tahun 0 bulan 1 Hari</v>
      </c>
      <c r="AF12" s="191">
        <f t="shared" si="9"/>
        <v>51745</v>
      </c>
    </row>
    <row r="13" spans="1:33" s="306" customFormat="1" ht="32.15" customHeight="1" x14ac:dyDescent="0.35">
      <c r="A13" s="180">
        <f t="shared" si="5"/>
        <v>7</v>
      </c>
      <c r="B13" s="181" t="s">
        <v>39</v>
      </c>
      <c r="C13" s="262" t="s">
        <v>82</v>
      </c>
      <c r="D13" s="263"/>
      <c r="E13" s="194" t="s">
        <v>83</v>
      </c>
      <c r="F13" s="182" t="s">
        <v>43</v>
      </c>
      <c r="G13" s="195" t="s">
        <v>84</v>
      </c>
      <c r="H13" s="181" t="s">
        <v>2988</v>
      </c>
      <c r="I13" s="186" t="s">
        <v>2965</v>
      </c>
      <c r="J13" s="185" t="s">
        <v>87</v>
      </c>
      <c r="K13" s="183" t="str">
        <f t="shared" ca="1" si="0"/>
        <v xml:space="preserve">4 Tahun 8 bulan </v>
      </c>
      <c r="L13" s="189" t="s">
        <v>88</v>
      </c>
      <c r="M13" s="185">
        <v>44561</v>
      </c>
      <c r="N13" s="183" t="str">
        <f t="shared" ca="1" si="1"/>
        <v xml:space="preserve">4 Tahun 8 bulan </v>
      </c>
      <c r="O13" s="188"/>
      <c r="P13" s="181" t="s">
        <v>35</v>
      </c>
      <c r="Q13" s="181" t="str">
        <f t="shared" si="2"/>
        <v>Laki-Laki</v>
      </c>
      <c r="R13" s="181">
        <f t="shared" si="6"/>
        <v>1</v>
      </c>
      <c r="S13" s="181" t="str">
        <f t="shared" si="3"/>
        <v>1</v>
      </c>
      <c r="T13" s="181">
        <f t="shared" si="7"/>
        <v>0</v>
      </c>
      <c r="U13" s="188"/>
      <c r="V13" s="189" t="s">
        <v>50</v>
      </c>
      <c r="W13" s="189"/>
      <c r="X13" s="189"/>
      <c r="Y13" s="189"/>
      <c r="Z13" s="189"/>
      <c r="AA13" s="189"/>
      <c r="AB13" s="188"/>
      <c r="AC13" s="188"/>
      <c r="AD13" s="190">
        <f t="shared" si="8"/>
        <v>27250</v>
      </c>
      <c r="AE13" s="183" t="str">
        <f t="shared" ca="1" si="4"/>
        <v>52 Tahun 0 bulan 23 Hari</v>
      </c>
      <c r="AF13" s="191">
        <f t="shared" si="9"/>
        <v>49188</v>
      </c>
    </row>
    <row r="14" spans="1:33" s="306" customFormat="1" ht="32.15" customHeight="1" x14ac:dyDescent="0.35">
      <c r="A14" s="180">
        <f t="shared" si="5"/>
        <v>8</v>
      </c>
      <c r="B14" s="181" t="s">
        <v>39</v>
      </c>
      <c r="C14" s="262" t="s">
        <v>82</v>
      </c>
      <c r="D14" s="263"/>
      <c r="E14" s="197" t="s">
        <v>89</v>
      </c>
      <c r="F14" s="182" t="s">
        <v>43</v>
      </c>
      <c r="G14" s="187" t="s">
        <v>90</v>
      </c>
      <c r="H14" s="181" t="s">
        <v>91</v>
      </c>
      <c r="I14" s="186" t="s">
        <v>86</v>
      </c>
      <c r="J14" s="185" t="s">
        <v>515</v>
      </c>
      <c r="K14" s="183" t="str">
        <f t="shared" ca="1" si="0"/>
        <v xml:space="preserve">4 Tahun 8 bulan </v>
      </c>
      <c r="L14" s="189" t="s">
        <v>88</v>
      </c>
      <c r="M14" s="185" t="s">
        <v>515</v>
      </c>
      <c r="N14" s="183" t="str">
        <f t="shared" ca="1" si="1"/>
        <v xml:space="preserve">4 Tahun 8 bulan </v>
      </c>
      <c r="O14" s="186"/>
      <c r="P14" s="181" t="s">
        <v>35</v>
      </c>
      <c r="Q14" s="181" t="str">
        <f t="shared" si="2"/>
        <v>Laki-Laki</v>
      </c>
      <c r="R14" s="181">
        <f t="shared" si="6"/>
        <v>1</v>
      </c>
      <c r="S14" s="181" t="str">
        <f t="shared" si="3"/>
        <v>1</v>
      </c>
      <c r="T14" s="181">
        <f t="shared" si="7"/>
        <v>0</v>
      </c>
      <c r="U14" s="188"/>
      <c r="V14" s="189" t="s">
        <v>50</v>
      </c>
      <c r="W14" s="189"/>
      <c r="X14" s="189"/>
      <c r="Y14" s="189"/>
      <c r="Z14" s="189"/>
      <c r="AA14" s="189"/>
      <c r="AB14" s="188"/>
      <c r="AC14" s="188"/>
      <c r="AD14" s="190">
        <f>IF(TRIM(G14)="", "", DATE(LEFT(G14,4),MID(G14,5,2),MID(G14,7,2)))</f>
        <v>25105</v>
      </c>
      <c r="AE14" s="183" t="str">
        <f t="shared" ca="1" si="4"/>
        <v>57 Tahun 11 bulan 8 Hari</v>
      </c>
      <c r="AF14" s="191">
        <f t="shared" si="9"/>
        <v>47027</v>
      </c>
      <c r="AG14" s="307" t="s">
        <v>3145</v>
      </c>
    </row>
    <row r="15" spans="1:33" s="306" customFormat="1" ht="32.15" customHeight="1" x14ac:dyDescent="0.35">
      <c r="A15" s="180">
        <f t="shared" si="5"/>
        <v>9</v>
      </c>
      <c r="B15" s="181" t="s">
        <v>39</v>
      </c>
      <c r="C15" s="262" t="s">
        <v>82</v>
      </c>
      <c r="D15" s="263"/>
      <c r="E15" s="194" t="s">
        <v>92</v>
      </c>
      <c r="F15" s="182" t="s">
        <v>43</v>
      </c>
      <c r="G15" s="195" t="s">
        <v>93</v>
      </c>
      <c r="H15" s="181" t="s">
        <v>2989</v>
      </c>
      <c r="I15" s="186" t="s">
        <v>86</v>
      </c>
      <c r="J15" s="185" t="s">
        <v>87</v>
      </c>
      <c r="K15" s="183" t="str">
        <f t="shared" ca="1" si="0"/>
        <v xml:space="preserve">4 Tahun 8 bulan </v>
      </c>
      <c r="L15" s="189" t="s">
        <v>88</v>
      </c>
      <c r="M15" s="185">
        <v>44561</v>
      </c>
      <c r="N15" s="183" t="str">
        <f t="shared" ca="1" si="1"/>
        <v xml:space="preserve">4 Tahun 8 bulan </v>
      </c>
      <c r="O15" s="188"/>
      <c r="P15" s="181" t="s">
        <v>35</v>
      </c>
      <c r="Q15" s="181" t="str">
        <f t="shared" si="2"/>
        <v>Perempuan</v>
      </c>
      <c r="R15" s="181">
        <f t="shared" si="6"/>
        <v>1</v>
      </c>
      <c r="S15" s="181" t="str">
        <f t="shared" si="3"/>
        <v>1</v>
      </c>
      <c r="T15" s="181">
        <f t="shared" si="7"/>
        <v>0</v>
      </c>
      <c r="U15" s="188"/>
      <c r="V15" s="189"/>
      <c r="W15" s="189"/>
      <c r="X15" s="189"/>
      <c r="Y15" s="189"/>
      <c r="Z15" s="189"/>
      <c r="AA15" s="189"/>
      <c r="AB15" s="188"/>
      <c r="AC15" s="188"/>
      <c r="AD15" s="190">
        <f t="shared" si="8"/>
        <v>29411</v>
      </c>
      <c r="AE15" s="183" t="str">
        <f t="shared" ca="1" si="4"/>
        <v>46 Tahun 1 bulan 23 Hari</v>
      </c>
      <c r="AF15" s="191">
        <f t="shared" si="9"/>
        <v>51349</v>
      </c>
    </row>
    <row r="16" spans="1:33" s="306" customFormat="1" ht="32.15" customHeight="1" x14ac:dyDescent="0.35">
      <c r="A16" s="180">
        <f t="shared" si="5"/>
        <v>10</v>
      </c>
      <c r="B16" s="181" t="s">
        <v>39</v>
      </c>
      <c r="C16" s="274" t="s">
        <v>95</v>
      </c>
      <c r="D16" s="275"/>
      <c r="E16" s="182" t="s">
        <v>96</v>
      </c>
      <c r="F16" s="182" t="s">
        <v>43</v>
      </c>
      <c r="G16" s="183" t="s">
        <v>2990</v>
      </c>
      <c r="H16" s="181" t="s">
        <v>97</v>
      </c>
      <c r="I16" s="186" t="s">
        <v>46</v>
      </c>
      <c r="J16" s="185" t="s">
        <v>98</v>
      </c>
      <c r="K16" s="183" t="str">
        <f t="shared" ca="1" si="0"/>
        <v xml:space="preserve">3 Tahun 0 bulan </v>
      </c>
      <c r="L16" s="186" t="s">
        <v>79</v>
      </c>
      <c r="M16" s="185" t="s">
        <v>354</v>
      </c>
      <c r="N16" s="183" t="str">
        <f t="shared" ca="1" si="1"/>
        <v xml:space="preserve">6 Tahun 9 bulan </v>
      </c>
      <c r="O16" s="181" t="s">
        <v>81</v>
      </c>
      <c r="P16" s="181" t="s">
        <v>35</v>
      </c>
      <c r="Q16" s="181" t="str">
        <f t="shared" si="2"/>
        <v>Laki-Laki</v>
      </c>
      <c r="R16" s="181">
        <f>R32</f>
        <v>1</v>
      </c>
      <c r="S16" s="181" t="str">
        <f t="shared" si="3"/>
        <v>1</v>
      </c>
      <c r="T16" s="181">
        <f>R16-S16</f>
        <v>0</v>
      </c>
      <c r="U16" s="188"/>
      <c r="V16" s="189" t="s">
        <v>50</v>
      </c>
      <c r="W16" s="189"/>
      <c r="X16" s="189"/>
      <c r="Y16" s="189"/>
      <c r="Z16" s="189"/>
      <c r="AA16" s="189"/>
      <c r="AB16" s="188"/>
      <c r="AC16" s="188"/>
      <c r="AD16" s="190">
        <f t="shared" si="8"/>
        <v>31382</v>
      </c>
      <c r="AE16" s="183" t="str">
        <f t="shared" ca="1" si="4"/>
        <v>40 Tahun 9 bulan 0 Hari</v>
      </c>
      <c r="AF16" s="191">
        <f t="shared" si="9"/>
        <v>53328</v>
      </c>
    </row>
    <row r="17" spans="1:32" s="306" customFormat="1" ht="32.15" customHeight="1" x14ac:dyDescent="0.35">
      <c r="A17" s="180">
        <f>A16+1</f>
        <v>11</v>
      </c>
      <c r="B17" s="181" t="s">
        <v>39</v>
      </c>
      <c r="C17" s="262" t="s">
        <v>99</v>
      </c>
      <c r="D17" s="263"/>
      <c r="E17" s="182" t="s">
        <v>100</v>
      </c>
      <c r="F17" s="182" t="s">
        <v>43</v>
      </c>
      <c r="G17" s="183" t="s">
        <v>101</v>
      </c>
      <c r="H17" s="181" t="s">
        <v>102</v>
      </c>
      <c r="I17" s="205" t="s">
        <v>103</v>
      </c>
      <c r="J17" s="185" t="s">
        <v>515</v>
      </c>
      <c r="K17" s="183" t="str">
        <f t="shared" ca="1" si="0"/>
        <v xml:space="preserve">4 Tahun 8 bulan </v>
      </c>
      <c r="L17" s="189" t="s">
        <v>88</v>
      </c>
      <c r="M17" s="185" t="s">
        <v>515</v>
      </c>
      <c r="N17" s="183" t="str">
        <f t="shared" ca="1" si="1"/>
        <v xml:space="preserve">4 Tahun 8 bulan </v>
      </c>
      <c r="O17" s="181"/>
      <c r="P17" s="181" t="s">
        <v>35</v>
      </c>
      <c r="Q17" s="181" t="str">
        <f t="shared" si="2"/>
        <v>Laki-Laki</v>
      </c>
      <c r="R17" s="181">
        <f>R16</f>
        <v>1</v>
      </c>
      <c r="S17" s="181" t="str">
        <f t="shared" si="3"/>
        <v>1</v>
      </c>
      <c r="T17" s="181">
        <f>R17-S17</f>
        <v>0</v>
      </c>
      <c r="U17" s="188"/>
      <c r="V17" s="189" t="s">
        <v>50</v>
      </c>
      <c r="W17" s="189"/>
      <c r="X17" s="189"/>
      <c r="Y17" s="189"/>
      <c r="Z17" s="189"/>
      <c r="AA17" s="189"/>
      <c r="AB17" s="188"/>
      <c r="AC17" s="188"/>
      <c r="AD17" s="190">
        <f t="shared" si="8"/>
        <v>31250</v>
      </c>
      <c r="AE17" s="183" t="str">
        <f t="shared" ca="1" si="4"/>
        <v>41 Tahun 1 bulan 10 Hari</v>
      </c>
      <c r="AF17" s="191">
        <f t="shared" si="9"/>
        <v>53175</v>
      </c>
    </row>
    <row r="18" spans="1:32" s="306" customFormat="1" ht="32.15" customHeight="1" x14ac:dyDescent="0.35">
      <c r="A18" s="26">
        <f>A17+1</f>
        <v>12</v>
      </c>
      <c r="B18" s="4" t="s">
        <v>39</v>
      </c>
      <c r="C18" s="258" t="s">
        <v>99</v>
      </c>
      <c r="D18" s="259"/>
      <c r="E18" s="24" t="s">
        <v>104</v>
      </c>
      <c r="F18" s="24" t="s">
        <v>43</v>
      </c>
      <c r="G18" s="4" t="s">
        <v>105</v>
      </c>
      <c r="H18" s="36" t="s">
        <v>106</v>
      </c>
      <c r="I18" s="4" t="s">
        <v>107</v>
      </c>
      <c r="J18" s="5" t="s">
        <v>87</v>
      </c>
      <c r="K18" s="3" t="str">
        <f t="shared" ca="1" si="0"/>
        <v xml:space="preserve">4 Tahun 8 bulan </v>
      </c>
      <c r="L18" s="30" t="s">
        <v>88</v>
      </c>
      <c r="M18" s="5" t="s">
        <v>87</v>
      </c>
      <c r="N18" s="3" t="str">
        <f t="shared" ca="1" si="1"/>
        <v xml:space="preserve">4 Tahun 8 bulan </v>
      </c>
      <c r="O18" s="36"/>
      <c r="P18" s="4" t="s">
        <v>35</v>
      </c>
      <c r="Q18" s="4" t="str">
        <f t="shared" si="2"/>
        <v>Laki-Laki</v>
      </c>
      <c r="R18" s="4">
        <f>R17</f>
        <v>1</v>
      </c>
      <c r="S18" s="4" t="str">
        <f t="shared" si="3"/>
        <v>1</v>
      </c>
      <c r="T18" s="4">
        <f>R18-S18</f>
        <v>0</v>
      </c>
      <c r="U18" s="29"/>
      <c r="V18" s="30" t="s">
        <v>50</v>
      </c>
      <c r="W18" s="30"/>
      <c r="X18" s="30"/>
      <c r="Y18" s="30"/>
      <c r="Z18" s="30"/>
      <c r="AA18" s="30"/>
      <c r="AB18" s="29"/>
      <c r="AC18" s="29"/>
      <c r="AD18" s="37">
        <f t="shared" si="8"/>
        <v>27903</v>
      </c>
      <c r="AE18" s="3" t="str">
        <f t="shared" ca="1" si="4"/>
        <v>50 Tahun 3 bulan 9 Hari</v>
      </c>
      <c r="AF18" s="38">
        <f t="shared" si="9"/>
        <v>49827</v>
      </c>
    </row>
    <row r="19" spans="1:32" s="306" customFormat="1" ht="32.15" customHeight="1" x14ac:dyDescent="0.35">
      <c r="A19" s="26">
        <f>A18+1</f>
        <v>13</v>
      </c>
      <c r="B19" s="4" t="s">
        <v>39</v>
      </c>
      <c r="C19" s="258" t="s">
        <v>99</v>
      </c>
      <c r="D19" s="259"/>
      <c r="E19" s="45" t="s">
        <v>108</v>
      </c>
      <c r="F19" s="45"/>
      <c r="G19" s="44"/>
      <c r="H19" s="36"/>
      <c r="I19" s="48"/>
      <c r="J19" s="5"/>
      <c r="K19" s="3" t="str">
        <f t="shared" ca="1" si="0"/>
        <v/>
      </c>
      <c r="L19" s="30" t="s">
        <v>88</v>
      </c>
      <c r="M19" s="49"/>
      <c r="N19" s="3" t="str">
        <f t="shared" ca="1" si="1"/>
        <v/>
      </c>
      <c r="O19" s="36"/>
      <c r="P19" s="4"/>
      <c r="Q19" s="4" t="str">
        <f t="shared" si="2"/>
        <v/>
      </c>
      <c r="R19" s="4">
        <f>R18</f>
        <v>1</v>
      </c>
      <c r="S19" s="4" t="str">
        <f t="shared" si="3"/>
        <v>0</v>
      </c>
      <c r="T19" s="4">
        <f>R19-S19</f>
        <v>1</v>
      </c>
      <c r="U19" s="29"/>
      <c r="V19" s="30"/>
      <c r="W19" s="30"/>
      <c r="X19" s="30"/>
      <c r="Y19" s="30"/>
      <c r="Z19" s="30"/>
      <c r="AA19" s="30"/>
      <c r="AB19" s="29"/>
      <c r="AC19" s="29"/>
      <c r="AD19" s="37" t="str">
        <f t="shared" si="8"/>
        <v/>
      </c>
      <c r="AE19" s="3" t="str">
        <f t="shared" ca="1" si="4"/>
        <v/>
      </c>
      <c r="AF19" s="38" t="str">
        <f t="shared" si="9"/>
        <v/>
      </c>
    </row>
    <row r="20" spans="1:32" s="306" customFormat="1" ht="32.15" customHeight="1" x14ac:dyDescent="0.35">
      <c r="A20" s="180">
        <f>A19+1</f>
        <v>14</v>
      </c>
      <c r="B20" s="181" t="s">
        <v>39</v>
      </c>
      <c r="C20" s="260" t="s">
        <v>109</v>
      </c>
      <c r="D20" s="261"/>
      <c r="E20" s="182" t="s">
        <v>110</v>
      </c>
      <c r="F20" s="182" t="s">
        <v>43</v>
      </c>
      <c r="G20" s="183" t="s">
        <v>111</v>
      </c>
      <c r="H20" s="181" t="s">
        <v>112</v>
      </c>
      <c r="I20" s="181" t="s">
        <v>113</v>
      </c>
      <c r="J20" s="185" t="s">
        <v>114</v>
      </c>
      <c r="K20" s="183" t="str">
        <f t="shared" ca="1" si="0"/>
        <v xml:space="preserve">6 Tahun 8 bulan </v>
      </c>
      <c r="L20" s="186" t="s">
        <v>79</v>
      </c>
      <c r="M20" s="185" t="s">
        <v>114</v>
      </c>
      <c r="N20" s="183" t="str">
        <f t="shared" ca="1" si="1"/>
        <v xml:space="preserve">6 Tahun 8 bulan </v>
      </c>
      <c r="O20" s="181"/>
      <c r="P20" s="181" t="s">
        <v>35</v>
      </c>
      <c r="Q20" s="181" t="str">
        <f t="shared" si="2"/>
        <v>Laki-Laki</v>
      </c>
      <c r="R20" s="181">
        <f>R15</f>
        <v>1</v>
      </c>
      <c r="S20" s="181" t="str">
        <f t="shared" si="3"/>
        <v>1</v>
      </c>
      <c r="T20" s="181">
        <f t="shared" si="7"/>
        <v>0</v>
      </c>
      <c r="U20" s="188"/>
      <c r="V20" s="189" t="s">
        <v>50</v>
      </c>
      <c r="W20" s="189"/>
      <c r="X20" s="189"/>
      <c r="Y20" s="189"/>
      <c r="Z20" s="189"/>
      <c r="AA20" s="189"/>
      <c r="AB20" s="188"/>
      <c r="AC20" s="188"/>
      <c r="AD20" s="190">
        <f t="shared" si="8"/>
        <v>29114</v>
      </c>
      <c r="AE20" s="183" t="str">
        <f t="shared" ca="1" si="4"/>
        <v>46 Tahun 11 bulan 16 Hari</v>
      </c>
      <c r="AF20" s="191">
        <f t="shared" si="9"/>
        <v>51044</v>
      </c>
    </row>
    <row r="21" spans="1:32" s="306" customFormat="1" ht="32.15" customHeight="1" x14ac:dyDescent="0.35">
      <c r="A21" s="180">
        <f t="shared" si="5"/>
        <v>15</v>
      </c>
      <c r="B21" s="181" t="s">
        <v>39</v>
      </c>
      <c r="C21" s="262" t="s">
        <v>115</v>
      </c>
      <c r="D21" s="263"/>
      <c r="E21" s="182" t="s">
        <v>116</v>
      </c>
      <c r="F21" s="182" t="s">
        <v>43</v>
      </c>
      <c r="G21" s="181" t="s">
        <v>117</v>
      </c>
      <c r="H21" s="186" t="s">
        <v>85</v>
      </c>
      <c r="I21" s="186" t="s">
        <v>118</v>
      </c>
      <c r="J21" s="185" t="s">
        <v>87</v>
      </c>
      <c r="K21" s="183" t="str">
        <f t="shared" ca="1" si="0"/>
        <v xml:space="preserve">4 Tahun 8 bulan </v>
      </c>
      <c r="L21" s="189" t="s">
        <v>88</v>
      </c>
      <c r="M21" s="185" t="s">
        <v>87</v>
      </c>
      <c r="N21" s="183" t="str">
        <f t="shared" ca="1" si="1"/>
        <v xml:space="preserve">4 Tahun 8 bulan </v>
      </c>
      <c r="O21" s="186"/>
      <c r="P21" s="181" t="s">
        <v>35</v>
      </c>
      <c r="Q21" s="181" t="str">
        <f t="shared" si="2"/>
        <v>Laki-Laki</v>
      </c>
      <c r="R21" s="181">
        <f t="shared" si="6"/>
        <v>1</v>
      </c>
      <c r="S21" s="181" t="str">
        <f t="shared" si="3"/>
        <v>1</v>
      </c>
      <c r="T21" s="181">
        <f t="shared" si="7"/>
        <v>0</v>
      </c>
      <c r="U21" s="188"/>
      <c r="V21" s="189" t="s">
        <v>50</v>
      </c>
      <c r="W21" s="189"/>
      <c r="X21" s="189"/>
      <c r="Y21" s="189"/>
      <c r="Z21" s="189"/>
      <c r="AA21" s="189"/>
      <c r="AB21" s="188"/>
      <c r="AC21" s="188"/>
      <c r="AD21" s="190">
        <f t="shared" si="8"/>
        <v>30670</v>
      </c>
      <c r="AE21" s="183" t="str">
        <f t="shared" ca="1" si="4"/>
        <v>42 Tahun 8 bulan 12 Hari</v>
      </c>
      <c r="AF21" s="191">
        <f t="shared" si="9"/>
        <v>52597</v>
      </c>
    </row>
    <row r="22" spans="1:32" s="306" customFormat="1" ht="32.15" customHeight="1" x14ac:dyDescent="0.35">
      <c r="A22" s="26">
        <f t="shared" si="5"/>
        <v>16</v>
      </c>
      <c r="B22" s="4" t="s">
        <v>39</v>
      </c>
      <c r="C22" s="258" t="s">
        <v>119</v>
      </c>
      <c r="D22" s="259"/>
      <c r="E22" s="39" t="s">
        <v>108</v>
      </c>
      <c r="F22" s="39"/>
      <c r="G22" s="25"/>
      <c r="H22" s="35"/>
      <c r="I22" s="25"/>
      <c r="J22" s="49"/>
      <c r="K22" s="3" t="str">
        <f t="shared" ca="1" si="0"/>
        <v/>
      </c>
      <c r="L22" s="30" t="s">
        <v>88</v>
      </c>
      <c r="M22" s="49"/>
      <c r="N22" s="3" t="str">
        <f t="shared" ca="1" si="1"/>
        <v/>
      </c>
      <c r="O22" s="35"/>
      <c r="P22" s="29"/>
      <c r="Q22" s="4" t="str">
        <f t="shared" si="2"/>
        <v/>
      </c>
      <c r="R22" s="4">
        <f t="shared" si="6"/>
        <v>1</v>
      </c>
      <c r="S22" s="4" t="str">
        <f t="shared" si="3"/>
        <v>0</v>
      </c>
      <c r="T22" s="4">
        <f t="shared" si="7"/>
        <v>1</v>
      </c>
      <c r="U22" s="29"/>
      <c r="V22" s="30"/>
      <c r="W22" s="30"/>
      <c r="X22" s="30"/>
      <c r="Y22" s="30"/>
      <c r="Z22" s="30"/>
      <c r="AA22" s="30"/>
      <c r="AB22" s="29"/>
      <c r="AC22" s="29"/>
      <c r="AD22" s="37" t="str">
        <f t="shared" si="8"/>
        <v/>
      </c>
      <c r="AE22" s="3" t="str">
        <f t="shared" ca="1" si="4"/>
        <v/>
      </c>
      <c r="AF22" s="38" t="str">
        <f t="shared" si="9"/>
        <v/>
      </c>
    </row>
    <row r="23" spans="1:32" s="306" customFormat="1" ht="32.15" customHeight="1" x14ac:dyDescent="0.35">
      <c r="A23" s="180">
        <f t="shared" si="5"/>
        <v>17</v>
      </c>
      <c r="B23" s="181" t="s">
        <v>39</v>
      </c>
      <c r="C23" s="262" t="s">
        <v>120</v>
      </c>
      <c r="D23" s="263"/>
      <c r="E23" s="182" t="s">
        <v>121</v>
      </c>
      <c r="F23" s="182" t="s">
        <v>43</v>
      </c>
      <c r="G23" s="181" t="s">
        <v>2992</v>
      </c>
      <c r="H23" s="186" t="s">
        <v>2991</v>
      </c>
      <c r="I23" s="186" t="s">
        <v>122</v>
      </c>
      <c r="J23" s="185" t="s">
        <v>87</v>
      </c>
      <c r="K23" s="183" t="str">
        <f t="shared" ca="1" si="0"/>
        <v xml:space="preserve">4 Tahun 8 bulan </v>
      </c>
      <c r="L23" s="189" t="s">
        <v>88</v>
      </c>
      <c r="M23" s="185" t="s">
        <v>87</v>
      </c>
      <c r="N23" s="183" t="str">
        <f t="shared" ca="1" si="1"/>
        <v xml:space="preserve">4 Tahun 8 bulan </v>
      </c>
      <c r="O23" s="186"/>
      <c r="P23" s="181" t="s">
        <v>35</v>
      </c>
      <c r="Q23" s="181" t="str">
        <f t="shared" si="2"/>
        <v>Perempuan</v>
      </c>
      <c r="R23" s="181">
        <f>R291</f>
        <v>1</v>
      </c>
      <c r="S23" s="181" t="str">
        <f t="shared" si="3"/>
        <v>1</v>
      </c>
      <c r="T23" s="181">
        <f t="shared" si="7"/>
        <v>0</v>
      </c>
      <c r="U23" s="188"/>
      <c r="V23" s="189"/>
      <c r="W23" s="189"/>
      <c r="X23" s="189"/>
      <c r="Y23" s="189"/>
      <c r="Z23" s="189"/>
      <c r="AA23" s="189"/>
      <c r="AB23" s="188"/>
      <c r="AC23" s="188"/>
      <c r="AD23" s="190">
        <f t="shared" si="8"/>
        <v>29099</v>
      </c>
      <c r="AE23" s="183" t="str">
        <f t="shared" ca="1" si="4"/>
        <v>47 Tahun 0 bulan 0 Hari</v>
      </c>
      <c r="AF23" s="191">
        <f t="shared" si="9"/>
        <v>51044</v>
      </c>
    </row>
    <row r="24" spans="1:32" s="306" customFormat="1" ht="32.15" customHeight="1" x14ac:dyDescent="0.35">
      <c r="A24" s="180">
        <f t="shared" si="5"/>
        <v>18</v>
      </c>
      <c r="B24" s="181" t="s">
        <v>39</v>
      </c>
      <c r="C24" s="274" t="s">
        <v>123</v>
      </c>
      <c r="D24" s="275"/>
      <c r="E24" s="182" t="s">
        <v>124</v>
      </c>
      <c r="F24" s="182" t="s">
        <v>43</v>
      </c>
      <c r="G24" s="183" t="s">
        <v>125</v>
      </c>
      <c r="H24" s="181" t="s">
        <v>126</v>
      </c>
      <c r="I24" s="184" t="s">
        <v>46</v>
      </c>
      <c r="J24" s="185" t="s">
        <v>127</v>
      </c>
      <c r="K24" s="183" t="str">
        <f t="shared" ca="1" si="0"/>
        <v xml:space="preserve">5 Tahun 6 bulan </v>
      </c>
      <c r="L24" s="186" t="s">
        <v>79</v>
      </c>
      <c r="M24" s="185" t="s">
        <v>2993</v>
      </c>
      <c r="N24" s="183" t="str">
        <f t="shared" ca="1" si="1"/>
        <v xml:space="preserve">6 Tahun 9 bulan </v>
      </c>
      <c r="O24" s="181" t="s">
        <v>128</v>
      </c>
      <c r="P24" s="181" t="s">
        <v>35</v>
      </c>
      <c r="Q24" s="181" t="str">
        <f t="shared" si="2"/>
        <v>Perempuan</v>
      </c>
      <c r="R24" s="181">
        <f>R23</f>
        <v>1</v>
      </c>
      <c r="S24" s="181" t="str">
        <f t="shared" si="3"/>
        <v>1</v>
      </c>
      <c r="T24" s="181">
        <f t="shared" si="7"/>
        <v>0</v>
      </c>
      <c r="U24" s="188"/>
      <c r="V24" s="189"/>
      <c r="W24" s="189"/>
      <c r="X24" s="189"/>
      <c r="Y24" s="189"/>
      <c r="Z24" s="189"/>
      <c r="AA24" s="189"/>
      <c r="AB24" s="188"/>
      <c r="AC24" s="188"/>
      <c r="AD24" s="190">
        <f t="shared" si="8"/>
        <v>25263</v>
      </c>
      <c r="AE24" s="183" t="str">
        <f t="shared" ca="1" si="4"/>
        <v>57 Tahun 6 bulan 0 Hari</v>
      </c>
      <c r="AF24" s="191">
        <f t="shared" si="9"/>
        <v>47209</v>
      </c>
    </row>
    <row r="25" spans="1:32" s="306" customFormat="1" ht="32.15" customHeight="1" x14ac:dyDescent="0.35">
      <c r="A25" s="26">
        <f t="shared" si="5"/>
        <v>19</v>
      </c>
      <c r="B25" s="4" t="s">
        <v>39</v>
      </c>
      <c r="C25" s="258" t="s">
        <v>129</v>
      </c>
      <c r="D25" s="259"/>
      <c r="E25" s="24" t="s">
        <v>130</v>
      </c>
      <c r="F25" s="24" t="s">
        <v>43</v>
      </c>
      <c r="G25" s="3" t="s">
        <v>131</v>
      </c>
      <c r="H25" s="4" t="s">
        <v>132</v>
      </c>
      <c r="I25" s="33" t="s">
        <v>46</v>
      </c>
      <c r="J25" s="5" t="s">
        <v>114</v>
      </c>
      <c r="K25" s="3" t="str">
        <f t="shared" ca="1" si="0"/>
        <v xml:space="preserve">6 Tahun 8 bulan </v>
      </c>
      <c r="L25" s="30" t="s">
        <v>88</v>
      </c>
      <c r="M25" s="5" t="s">
        <v>114</v>
      </c>
      <c r="N25" s="3" t="str">
        <f t="shared" ca="1" si="1"/>
        <v xml:space="preserve">6 Tahun 8 bulan </v>
      </c>
      <c r="O25" s="50"/>
      <c r="P25" s="4" t="s">
        <v>35</v>
      </c>
      <c r="Q25" s="4" t="str">
        <f t="shared" si="2"/>
        <v>Laki-Laki</v>
      </c>
      <c r="R25" s="4">
        <v>1</v>
      </c>
      <c r="S25" s="4" t="str">
        <f t="shared" si="3"/>
        <v>1</v>
      </c>
      <c r="T25" s="4">
        <f t="shared" si="7"/>
        <v>0</v>
      </c>
      <c r="U25" s="29"/>
      <c r="V25" s="30" t="s">
        <v>50</v>
      </c>
      <c r="W25" s="30"/>
      <c r="X25" s="30"/>
      <c r="Y25" s="30"/>
      <c r="Z25" s="30"/>
      <c r="AA25" s="30"/>
      <c r="AB25" s="29"/>
      <c r="AC25" s="29"/>
      <c r="AD25" s="37">
        <f t="shared" si="8"/>
        <v>27957</v>
      </c>
      <c r="AE25" s="3" t="str">
        <f t="shared" ca="1" si="4"/>
        <v>50 Tahun 1 bulan 16 Hari</v>
      </c>
      <c r="AF25" s="38">
        <f t="shared" si="9"/>
        <v>49888</v>
      </c>
    </row>
    <row r="26" spans="1:32" s="306" customFormat="1" ht="32.15" customHeight="1" x14ac:dyDescent="0.35">
      <c r="A26" s="180">
        <f t="shared" si="5"/>
        <v>20</v>
      </c>
      <c r="B26" s="181" t="s">
        <v>39</v>
      </c>
      <c r="C26" s="262" t="s">
        <v>129</v>
      </c>
      <c r="D26" s="263"/>
      <c r="E26" s="182" t="s">
        <v>133</v>
      </c>
      <c r="F26" s="182" t="s">
        <v>43</v>
      </c>
      <c r="G26" s="181" t="s">
        <v>134</v>
      </c>
      <c r="H26" s="181" t="s">
        <v>135</v>
      </c>
      <c r="I26" s="184" t="s">
        <v>86</v>
      </c>
      <c r="J26" s="185" t="s">
        <v>114</v>
      </c>
      <c r="K26" s="183" t="str">
        <f t="shared" ca="1" si="0"/>
        <v xml:space="preserve">6 Tahun 8 bulan </v>
      </c>
      <c r="L26" s="189" t="s">
        <v>88</v>
      </c>
      <c r="M26" s="185" t="s">
        <v>114</v>
      </c>
      <c r="N26" s="183" t="str">
        <f t="shared" ca="1" si="1"/>
        <v xml:space="preserve">6 Tahun 8 bulan </v>
      </c>
      <c r="O26" s="181"/>
      <c r="P26" s="181" t="s">
        <v>35</v>
      </c>
      <c r="Q26" s="181" t="str">
        <f t="shared" si="2"/>
        <v>Perempuan</v>
      </c>
      <c r="R26" s="181">
        <f t="shared" ref="R26:R49" si="10">R25</f>
        <v>1</v>
      </c>
      <c r="S26" s="181" t="str">
        <f t="shared" si="3"/>
        <v>1</v>
      </c>
      <c r="T26" s="181">
        <f t="shared" si="7"/>
        <v>0</v>
      </c>
      <c r="U26" s="188"/>
      <c r="V26" s="189"/>
      <c r="W26" s="189"/>
      <c r="X26" s="189"/>
      <c r="Y26" s="189"/>
      <c r="Z26" s="189"/>
      <c r="AA26" s="189"/>
      <c r="AB26" s="188"/>
      <c r="AC26" s="188"/>
      <c r="AD26" s="190">
        <f t="shared" si="8"/>
        <v>29144</v>
      </c>
      <c r="AE26" s="183" t="str">
        <f t="shared" ca="1" si="4"/>
        <v>46 Tahun 10 bulan 16 Hari</v>
      </c>
      <c r="AF26" s="191">
        <f t="shared" si="9"/>
        <v>51075</v>
      </c>
    </row>
    <row r="27" spans="1:32" s="306" customFormat="1" ht="32.15" customHeight="1" x14ac:dyDescent="0.35">
      <c r="A27" s="180">
        <f t="shared" si="5"/>
        <v>21</v>
      </c>
      <c r="B27" s="181" t="s">
        <v>39</v>
      </c>
      <c r="C27" s="262" t="s">
        <v>129</v>
      </c>
      <c r="D27" s="263"/>
      <c r="E27" s="206" t="s">
        <v>136</v>
      </c>
      <c r="F27" s="182" t="s">
        <v>43</v>
      </c>
      <c r="G27" s="207" t="s">
        <v>137</v>
      </c>
      <c r="H27" s="186" t="s">
        <v>249</v>
      </c>
      <c r="I27" s="184" t="s">
        <v>138</v>
      </c>
      <c r="J27" s="185">
        <v>44561</v>
      </c>
      <c r="K27" s="183" t="str">
        <f t="shared" ca="1" si="0"/>
        <v xml:space="preserve">4 Tahun 8 bulan </v>
      </c>
      <c r="L27" s="189" t="s">
        <v>88</v>
      </c>
      <c r="M27" s="185">
        <v>44561</v>
      </c>
      <c r="N27" s="183" t="str">
        <f t="shared" ca="1" si="1"/>
        <v xml:space="preserve">4 Tahun 8 bulan </v>
      </c>
      <c r="O27" s="181"/>
      <c r="P27" s="181" t="s">
        <v>139</v>
      </c>
      <c r="Q27" s="181" t="str">
        <f t="shared" si="2"/>
        <v>Perempuan</v>
      </c>
      <c r="R27" s="181">
        <f t="shared" si="10"/>
        <v>1</v>
      </c>
      <c r="S27" s="181" t="str">
        <f t="shared" si="3"/>
        <v>1</v>
      </c>
      <c r="T27" s="181">
        <f t="shared" si="7"/>
        <v>0</v>
      </c>
      <c r="U27" s="188"/>
      <c r="V27" s="189"/>
      <c r="W27" s="189"/>
      <c r="X27" s="189"/>
      <c r="Y27" s="189"/>
      <c r="Z27" s="189"/>
      <c r="AA27" s="189"/>
      <c r="AB27" s="188"/>
      <c r="AC27" s="188"/>
      <c r="AD27" s="190">
        <f t="shared" si="8"/>
        <v>27295</v>
      </c>
      <c r="AE27" s="183" t="str">
        <f t="shared" ca="1" si="4"/>
        <v>51 Tahun 11 bulan 9 Hari</v>
      </c>
      <c r="AF27" s="191">
        <f t="shared" si="9"/>
        <v>49218</v>
      </c>
    </row>
    <row r="28" spans="1:32" s="306" customFormat="1" ht="33.75" customHeight="1" x14ac:dyDescent="0.35">
      <c r="A28" s="26">
        <f t="shared" si="5"/>
        <v>22</v>
      </c>
      <c r="B28" s="4" t="s">
        <v>39</v>
      </c>
      <c r="C28" s="256" t="s">
        <v>140</v>
      </c>
      <c r="D28" s="257"/>
      <c r="E28" s="24" t="s">
        <v>3034</v>
      </c>
      <c r="F28" s="24" t="s">
        <v>71</v>
      </c>
      <c r="G28" s="3" t="s">
        <v>436</v>
      </c>
      <c r="H28" s="4" t="s">
        <v>437</v>
      </c>
      <c r="I28" s="33" t="s">
        <v>438</v>
      </c>
      <c r="J28" s="5">
        <v>46260</v>
      </c>
      <c r="K28" s="3" t="str">
        <f t="shared" ca="1" si="0"/>
        <v xml:space="preserve">0 Tahun 0 bulan </v>
      </c>
      <c r="L28" s="30" t="s">
        <v>56</v>
      </c>
      <c r="M28" s="5" t="s">
        <v>439</v>
      </c>
      <c r="N28" s="3" t="str">
        <f t="shared" ca="1" si="1"/>
        <v xml:space="preserve">6 Tahun 7 bulan </v>
      </c>
      <c r="O28" s="4" t="s">
        <v>49</v>
      </c>
      <c r="P28" s="4" t="s">
        <v>35</v>
      </c>
      <c r="Q28" s="4" t="str">
        <f t="shared" si="2"/>
        <v>Laki-Laki</v>
      </c>
      <c r="R28" s="4">
        <f t="shared" si="10"/>
        <v>1</v>
      </c>
      <c r="S28" s="4" t="str">
        <f t="shared" si="3"/>
        <v>1</v>
      </c>
      <c r="T28" s="4">
        <f t="shared" si="7"/>
        <v>0</v>
      </c>
      <c r="U28" s="29"/>
      <c r="V28" s="30" t="s">
        <v>50</v>
      </c>
      <c r="W28" s="30"/>
      <c r="X28" s="30"/>
      <c r="Y28" s="30"/>
      <c r="Z28" s="30"/>
      <c r="AA28" s="30"/>
      <c r="AB28" s="29"/>
      <c r="AC28" s="29"/>
      <c r="AD28" s="37">
        <f t="shared" si="8"/>
        <v>29101</v>
      </c>
      <c r="AE28" s="3" t="str">
        <f t="shared" ca="1" si="4"/>
        <v>46 Tahun 11 bulan 29 Hari</v>
      </c>
      <c r="AF28" s="38">
        <f t="shared" si="9"/>
        <v>51044</v>
      </c>
    </row>
    <row r="29" spans="1:32" s="306" customFormat="1" ht="32.15" customHeight="1" x14ac:dyDescent="0.35">
      <c r="A29" s="26">
        <f t="shared" si="5"/>
        <v>23</v>
      </c>
      <c r="B29" s="4" t="s">
        <v>39</v>
      </c>
      <c r="C29" s="256" t="s">
        <v>145</v>
      </c>
      <c r="D29" s="257"/>
      <c r="E29" s="39" t="s">
        <v>146</v>
      </c>
      <c r="F29" s="24" t="s">
        <v>43</v>
      </c>
      <c r="G29" s="44" t="s">
        <v>147</v>
      </c>
      <c r="H29" s="36" t="s">
        <v>148</v>
      </c>
      <c r="I29" s="4" t="s">
        <v>46</v>
      </c>
      <c r="J29" s="53">
        <v>45916</v>
      </c>
      <c r="K29" s="3" t="str">
        <f t="shared" ca="1" si="0"/>
        <v xml:space="preserve">0 Tahun 11 bulan </v>
      </c>
      <c r="L29" s="36" t="s">
        <v>79</v>
      </c>
      <c r="M29" s="5" t="s">
        <v>114</v>
      </c>
      <c r="N29" s="3" t="str">
        <f t="shared" ca="1" si="1"/>
        <v xml:space="preserve">6 Tahun 8 bulan </v>
      </c>
      <c r="O29" s="4"/>
      <c r="P29" s="4" t="s">
        <v>35</v>
      </c>
      <c r="Q29" s="4" t="str">
        <f t="shared" si="2"/>
        <v>Perempuan</v>
      </c>
      <c r="R29" s="4">
        <f t="shared" si="10"/>
        <v>1</v>
      </c>
      <c r="S29" s="4" t="str">
        <f t="shared" si="3"/>
        <v>1</v>
      </c>
      <c r="T29" s="4">
        <f t="shared" si="7"/>
        <v>0</v>
      </c>
      <c r="U29" s="29"/>
      <c r="V29" s="30"/>
      <c r="W29" s="30"/>
      <c r="X29" s="30"/>
      <c r="Y29" s="30"/>
      <c r="Z29" s="30"/>
      <c r="AA29" s="30"/>
      <c r="AB29" s="29"/>
      <c r="AC29" s="29"/>
      <c r="AD29" s="37">
        <f t="shared" si="8"/>
        <v>25274</v>
      </c>
      <c r="AE29" s="3" t="str">
        <f t="shared" ca="1" si="4"/>
        <v>57 Tahun 5 bulan 20 Hari</v>
      </c>
      <c r="AF29" s="38">
        <f t="shared" si="9"/>
        <v>47209</v>
      </c>
    </row>
    <row r="30" spans="1:32" s="306" customFormat="1" ht="32.15" customHeight="1" x14ac:dyDescent="0.35">
      <c r="A30" s="26">
        <f t="shared" si="5"/>
        <v>24</v>
      </c>
      <c r="B30" s="4" t="s">
        <v>39</v>
      </c>
      <c r="C30" s="258" t="s">
        <v>149</v>
      </c>
      <c r="D30" s="259"/>
      <c r="E30" s="24" t="s">
        <v>150</v>
      </c>
      <c r="F30" s="24" t="s">
        <v>43</v>
      </c>
      <c r="G30" s="3" t="s">
        <v>151</v>
      </c>
      <c r="H30" s="4" t="s">
        <v>135</v>
      </c>
      <c r="I30" s="36" t="s">
        <v>107</v>
      </c>
      <c r="J30" s="5" t="s">
        <v>87</v>
      </c>
      <c r="K30" s="3" t="str">
        <f t="shared" ca="1" si="0"/>
        <v xml:space="preserve">4 Tahun 8 bulan </v>
      </c>
      <c r="L30" s="30" t="s">
        <v>88</v>
      </c>
      <c r="M30" s="5" t="s">
        <v>87</v>
      </c>
      <c r="N30" s="3" t="str">
        <f t="shared" ca="1" si="1"/>
        <v xml:space="preserve">4 Tahun 8 bulan </v>
      </c>
      <c r="O30" s="4"/>
      <c r="P30" s="4" t="s">
        <v>35</v>
      </c>
      <c r="Q30" s="4" t="str">
        <f t="shared" si="2"/>
        <v>Laki-Laki</v>
      </c>
      <c r="R30" s="4">
        <f t="shared" si="10"/>
        <v>1</v>
      </c>
      <c r="S30" s="4" t="str">
        <f t="shared" si="3"/>
        <v>1</v>
      </c>
      <c r="T30" s="4">
        <f t="shared" si="7"/>
        <v>0</v>
      </c>
      <c r="U30" s="29"/>
      <c r="V30" s="30" t="s">
        <v>50</v>
      </c>
      <c r="W30" s="30"/>
      <c r="X30" s="30"/>
      <c r="Y30" s="30"/>
      <c r="Z30" s="30"/>
      <c r="AA30" s="30"/>
      <c r="AB30" s="29"/>
      <c r="AC30" s="29"/>
      <c r="AD30" s="37">
        <f t="shared" si="8"/>
        <v>29187</v>
      </c>
      <c r="AE30" s="3" t="str">
        <f t="shared" ca="1" si="4"/>
        <v>46 Tahun 9 bulan 4 Hari</v>
      </c>
      <c r="AF30" s="38">
        <f t="shared" si="9"/>
        <v>51105</v>
      </c>
    </row>
    <row r="31" spans="1:32" s="306" customFormat="1" ht="32.15" customHeight="1" x14ac:dyDescent="0.35">
      <c r="A31" s="26">
        <f t="shared" si="5"/>
        <v>25</v>
      </c>
      <c r="B31" s="4" t="s">
        <v>39</v>
      </c>
      <c r="C31" s="258" t="s">
        <v>149</v>
      </c>
      <c r="D31" s="259"/>
      <c r="E31" s="24" t="s">
        <v>152</v>
      </c>
      <c r="F31" s="24" t="s">
        <v>43</v>
      </c>
      <c r="G31" s="3" t="s">
        <v>153</v>
      </c>
      <c r="H31" s="4" t="s">
        <v>154</v>
      </c>
      <c r="I31" s="4" t="s">
        <v>46</v>
      </c>
      <c r="J31" s="5" t="s">
        <v>87</v>
      </c>
      <c r="K31" s="3" t="str">
        <f t="shared" ca="1" si="0"/>
        <v xml:space="preserve">4 Tahun 8 bulan </v>
      </c>
      <c r="L31" s="30" t="s">
        <v>88</v>
      </c>
      <c r="M31" s="5" t="s">
        <v>87</v>
      </c>
      <c r="N31" s="3" t="str">
        <f t="shared" ca="1" si="1"/>
        <v xml:space="preserve">4 Tahun 8 bulan </v>
      </c>
      <c r="O31" s="4" t="s">
        <v>155</v>
      </c>
      <c r="P31" s="4" t="s">
        <v>35</v>
      </c>
      <c r="Q31" s="4" t="str">
        <f t="shared" si="2"/>
        <v>Laki-Laki</v>
      </c>
      <c r="R31" s="4">
        <f t="shared" si="10"/>
        <v>1</v>
      </c>
      <c r="S31" s="4" t="str">
        <f t="shared" si="3"/>
        <v>1</v>
      </c>
      <c r="T31" s="4">
        <f t="shared" si="7"/>
        <v>0</v>
      </c>
      <c r="U31" s="29"/>
      <c r="V31" s="30" t="s">
        <v>50</v>
      </c>
      <c r="W31" s="30"/>
      <c r="X31" s="30"/>
      <c r="Y31" s="30"/>
      <c r="Z31" s="30"/>
      <c r="AA31" s="30"/>
      <c r="AB31" s="29"/>
      <c r="AC31" s="29"/>
      <c r="AD31" s="37">
        <f t="shared" si="8"/>
        <v>29924</v>
      </c>
      <c r="AE31" s="3" t="str">
        <f t="shared" ca="1" si="4"/>
        <v>44 Tahun 8 bulan 28 Hari</v>
      </c>
      <c r="AF31" s="38">
        <f t="shared" si="9"/>
        <v>51867</v>
      </c>
    </row>
    <row r="32" spans="1:32" s="306" customFormat="1" ht="32.15" customHeight="1" x14ac:dyDescent="0.35">
      <c r="A32" s="26">
        <f t="shared" si="5"/>
        <v>26</v>
      </c>
      <c r="B32" s="4" t="s">
        <v>39</v>
      </c>
      <c r="C32" s="258" t="s">
        <v>156</v>
      </c>
      <c r="D32" s="259"/>
      <c r="E32" s="54" t="s">
        <v>157</v>
      </c>
      <c r="F32" s="24" t="s">
        <v>43</v>
      </c>
      <c r="G32" s="55" t="s">
        <v>158</v>
      </c>
      <c r="H32" s="4" t="s">
        <v>159</v>
      </c>
      <c r="I32" s="4" t="s">
        <v>46</v>
      </c>
      <c r="J32" s="5" t="s">
        <v>87</v>
      </c>
      <c r="K32" s="3" t="str">
        <f t="shared" ca="1" si="0"/>
        <v xml:space="preserve">4 Tahun 8 bulan </v>
      </c>
      <c r="L32" s="30" t="s">
        <v>88</v>
      </c>
      <c r="M32" s="5" t="s">
        <v>87</v>
      </c>
      <c r="N32" s="3" t="str">
        <f t="shared" ca="1" si="1"/>
        <v xml:space="preserve">4 Tahun 8 bulan </v>
      </c>
      <c r="O32" s="29"/>
      <c r="P32" s="4" t="s">
        <v>35</v>
      </c>
      <c r="Q32" s="4" t="str">
        <f t="shared" si="2"/>
        <v>Perempuan</v>
      </c>
      <c r="R32" s="4">
        <f t="shared" si="10"/>
        <v>1</v>
      </c>
      <c r="S32" s="4" t="str">
        <f t="shared" si="3"/>
        <v>1</v>
      </c>
      <c r="T32" s="4">
        <f t="shared" si="7"/>
        <v>0</v>
      </c>
      <c r="U32" s="29"/>
      <c r="V32" s="30"/>
      <c r="W32" s="30"/>
      <c r="X32" s="30"/>
      <c r="Y32" s="30"/>
      <c r="Z32" s="30"/>
      <c r="AA32" s="30"/>
      <c r="AB32" s="29"/>
      <c r="AC32" s="29"/>
      <c r="AD32" s="37">
        <f t="shared" si="8"/>
        <v>28393</v>
      </c>
      <c r="AE32" s="3" t="str">
        <f t="shared" ca="1" si="4"/>
        <v>48 Tahun 11 bulan 7 Hari</v>
      </c>
      <c r="AF32" s="38">
        <f t="shared" si="9"/>
        <v>50314</v>
      </c>
    </row>
    <row r="33" spans="1:32" s="306" customFormat="1" ht="32.15" customHeight="1" x14ac:dyDescent="0.35">
      <c r="A33" s="26">
        <f t="shared" si="5"/>
        <v>27</v>
      </c>
      <c r="B33" s="4" t="s">
        <v>39</v>
      </c>
      <c r="C33" s="256" t="s">
        <v>160</v>
      </c>
      <c r="D33" s="257"/>
      <c r="E33" s="39" t="s">
        <v>161</v>
      </c>
      <c r="F33" s="24" t="s">
        <v>43</v>
      </c>
      <c r="G33" s="25" t="s">
        <v>166</v>
      </c>
      <c r="H33" s="4" t="s">
        <v>274</v>
      </c>
      <c r="I33" s="25" t="s">
        <v>46</v>
      </c>
      <c r="J33" s="5">
        <v>45993</v>
      </c>
      <c r="K33" s="3" t="str">
        <f t="shared" ca="1" si="0"/>
        <v xml:space="preserve">0 Tahun 8 bulan </v>
      </c>
      <c r="L33" s="36" t="s">
        <v>79</v>
      </c>
      <c r="M33" s="5">
        <v>45993</v>
      </c>
      <c r="N33" s="3" t="str">
        <f t="shared" ca="1" si="1"/>
        <v xml:space="preserve">0 Tahun 8 bulan </v>
      </c>
      <c r="O33" s="4"/>
      <c r="P33" s="4" t="s">
        <v>35</v>
      </c>
      <c r="Q33" s="4" t="str">
        <f t="shared" si="2"/>
        <v>Laki-Laki</v>
      </c>
      <c r="R33" s="4">
        <f>R19</f>
        <v>1</v>
      </c>
      <c r="S33" s="4" t="str">
        <f t="shared" si="3"/>
        <v>1</v>
      </c>
      <c r="T33" s="4">
        <f t="shared" si="7"/>
        <v>0</v>
      </c>
      <c r="U33" s="29"/>
      <c r="V33" s="30" t="s">
        <v>50</v>
      </c>
      <c r="W33" s="30"/>
      <c r="X33" s="30"/>
      <c r="Y33" s="30"/>
      <c r="Z33" s="30"/>
      <c r="AA33" s="30"/>
      <c r="AB33" s="29"/>
      <c r="AC33" s="29"/>
      <c r="AD33" s="37">
        <f t="shared" si="8"/>
        <v>28918</v>
      </c>
      <c r="AE33" s="3" t="str">
        <f t="shared" ca="1" si="4"/>
        <v>47 Tahun 5 bulan 28 Hari</v>
      </c>
      <c r="AF33" s="38">
        <f t="shared" si="9"/>
        <v>50861</v>
      </c>
    </row>
    <row r="34" spans="1:32" s="306" customFormat="1" ht="32.15" customHeight="1" x14ac:dyDescent="0.35">
      <c r="A34" s="26">
        <f t="shared" si="5"/>
        <v>28</v>
      </c>
      <c r="B34" s="4" t="s">
        <v>39</v>
      </c>
      <c r="C34" s="258" t="s">
        <v>162</v>
      </c>
      <c r="D34" s="259"/>
      <c r="E34" s="39" t="s">
        <v>163</v>
      </c>
      <c r="F34" s="24" t="s">
        <v>43</v>
      </c>
      <c r="G34" s="40" t="s">
        <v>164</v>
      </c>
      <c r="H34" s="4" t="s">
        <v>165</v>
      </c>
      <c r="I34" s="4" t="s">
        <v>46</v>
      </c>
      <c r="J34" s="5" t="s">
        <v>87</v>
      </c>
      <c r="K34" s="3" t="str">
        <f t="shared" ca="1" si="0"/>
        <v xml:space="preserve">4 Tahun 8 bulan </v>
      </c>
      <c r="L34" s="30" t="s">
        <v>88</v>
      </c>
      <c r="M34" s="5" t="s">
        <v>87</v>
      </c>
      <c r="N34" s="3" t="str">
        <f t="shared" ca="1" si="1"/>
        <v xml:space="preserve">4 Tahun 8 bulan </v>
      </c>
      <c r="O34" s="4"/>
      <c r="P34" s="4" t="s">
        <v>35</v>
      </c>
      <c r="Q34" s="4" t="str">
        <f t="shared" si="2"/>
        <v>Laki-Laki</v>
      </c>
      <c r="R34" s="4">
        <f t="shared" si="10"/>
        <v>1</v>
      </c>
      <c r="S34" s="4" t="str">
        <f t="shared" si="3"/>
        <v>1</v>
      </c>
      <c r="T34" s="4">
        <f t="shared" si="7"/>
        <v>0</v>
      </c>
      <c r="U34" s="29"/>
      <c r="V34" s="30" t="s">
        <v>50</v>
      </c>
      <c r="W34" s="30"/>
      <c r="X34" s="30"/>
      <c r="Y34" s="30"/>
      <c r="Z34" s="30"/>
      <c r="AA34" s="30"/>
      <c r="AB34" s="29"/>
      <c r="AC34" s="29"/>
      <c r="AD34" s="37">
        <f t="shared" si="8"/>
        <v>29874</v>
      </c>
      <c r="AE34" s="3" t="str">
        <f t="shared" ca="1" si="4"/>
        <v>44 Tahun 10 bulan 17 Hari</v>
      </c>
      <c r="AF34" s="38">
        <f t="shared" si="9"/>
        <v>51806</v>
      </c>
    </row>
    <row r="35" spans="1:32" s="306" customFormat="1" ht="32.15" customHeight="1" x14ac:dyDescent="0.35">
      <c r="A35" s="26">
        <f t="shared" si="5"/>
        <v>29</v>
      </c>
      <c r="B35" s="4" t="s">
        <v>39</v>
      </c>
      <c r="C35" s="258" t="s">
        <v>162</v>
      </c>
      <c r="D35" s="259"/>
      <c r="E35" s="39" t="s">
        <v>108</v>
      </c>
      <c r="F35" s="24"/>
      <c r="G35" s="25"/>
      <c r="H35" s="4"/>
      <c r="I35" s="25"/>
      <c r="J35" s="5"/>
      <c r="K35" s="3" t="str">
        <f t="shared" ca="1" si="0"/>
        <v/>
      </c>
      <c r="L35" s="30" t="s">
        <v>88</v>
      </c>
      <c r="M35" s="5"/>
      <c r="N35" s="3" t="str">
        <f t="shared" ca="1" si="1"/>
        <v/>
      </c>
      <c r="O35" s="35"/>
      <c r="P35" s="4"/>
      <c r="Q35" s="4" t="str">
        <f t="shared" si="2"/>
        <v/>
      </c>
      <c r="R35" s="4">
        <f t="shared" si="10"/>
        <v>1</v>
      </c>
      <c r="S35" s="4" t="str">
        <f t="shared" si="3"/>
        <v>0</v>
      </c>
      <c r="T35" s="4">
        <f t="shared" si="7"/>
        <v>1</v>
      </c>
      <c r="U35" s="29"/>
      <c r="V35" s="30" t="s">
        <v>50</v>
      </c>
      <c r="W35" s="30"/>
      <c r="X35" s="30"/>
      <c r="Y35" s="30"/>
      <c r="Z35" s="30"/>
      <c r="AA35" s="30"/>
      <c r="AB35" s="29"/>
      <c r="AC35" s="29"/>
      <c r="AD35" s="37" t="str">
        <f t="shared" si="8"/>
        <v/>
      </c>
      <c r="AE35" s="3" t="str">
        <f t="shared" ca="1" si="4"/>
        <v/>
      </c>
      <c r="AF35" s="38" t="str">
        <f t="shared" si="9"/>
        <v/>
      </c>
    </row>
    <row r="36" spans="1:32" s="306" customFormat="1" ht="32.15" customHeight="1" x14ac:dyDescent="0.35">
      <c r="A36" s="26">
        <f t="shared" si="5"/>
        <v>30</v>
      </c>
      <c r="B36" s="4" t="s">
        <v>39</v>
      </c>
      <c r="C36" s="258" t="s">
        <v>162</v>
      </c>
      <c r="D36" s="259"/>
      <c r="E36" s="24" t="s">
        <v>167</v>
      </c>
      <c r="F36" s="24" t="s">
        <v>43</v>
      </c>
      <c r="G36" s="3" t="s">
        <v>168</v>
      </c>
      <c r="H36" s="4" t="s">
        <v>135</v>
      </c>
      <c r="I36" s="4" t="s">
        <v>46</v>
      </c>
      <c r="J36" s="5" t="s">
        <v>87</v>
      </c>
      <c r="K36" s="3" t="str">
        <f t="shared" ca="1" si="0"/>
        <v xml:space="preserve">4 Tahun 8 bulan </v>
      </c>
      <c r="L36" s="30" t="s">
        <v>88</v>
      </c>
      <c r="M36" s="5" t="s">
        <v>87</v>
      </c>
      <c r="N36" s="3" t="str">
        <f t="shared" ca="1" si="1"/>
        <v xml:space="preserve">4 Tahun 8 bulan </v>
      </c>
      <c r="O36" s="4"/>
      <c r="P36" s="4" t="s">
        <v>35</v>
      </c>
      <c r="Q36" s="4" t="str">
        <f t="shared" si="2"/>
        <v>Laki-Laki</v>
      </c>
      <c r="R36" s="4">
        <f t="shared" si="10"/>
        <v>1</v>
      </c>
      <c r="S36" s="4" t="str">
        <f t="shared" si="3"/>
        <v>1</v>
      </c>
      <c r="T36" s="4">
        <f t="shared" si="7"/>
        <v>0</v>
      </c>
      <c r="U36" s="29"/>
      <c r="V36" s="30" t="s">
        <v>50</v>
      </c>
      <c r="W36" s="30"/>
      <c r="X36" s="30"/>
      <c r="Y36" s="30"/>
      <c r="Z36" s="30"/>
      <c r="AA36" s="30"/>
      <c r="AB36" s="29"/>
      <c r="AC36" s="29"/>
      <c r="AD36" s="37">
        <f t="shared" si="8"/>
        <v>29887</v>
      </c>
      <c r="AE36" s="3" t="str">
        <f t="shared" ca="1" si="4"/>
        <v>44 Tahun 10 bulan 4 Hari</v>
      </c>
      <c r="AF36" s="38">
        <f t="shared" si="9"/>
        <v>51806</v>
      </c>
    </row>
    <row r="37" spans="1:32" s="306" customFormat="1" ht="32.15" customHeight="1" x14ac:dyDescent="0.35">
      <c r="A37" s="26">
        <f t="shared" si="5"/>
        <v>31</v>
      </c>
      <c r="B37" s="4" t="s">
        <v>39</v>
      </c>
      <c r="C37" s="256" t="s">
        <v>169</v>
      </c>
      <c r="D37" s="257"/>
      <c r="E37" s="24" t="s">
        <v>170</v>
      </c>
      <c r="F37" s="24" t="s">
        <v>43</v>
      </c>
      <c r="G37" s="40" t="s">
        <v>746</v>
      </c>
      <c r="H37" s="4" t="s">
        <v>2815</v>
      </c>
      <c r="I37" s="4" t="s">
        <v>1020</v>
      </c>
      <c r="J37" s="5">
        <v>45993</v>
      </c>
      <c r="K37" s="3" t="str">
        <f t="shared" ca="1" si="0"/>
        <v xml:space="preserve">0 Tahun 8 bulan </v>
      </c>
      <c r="L37" s="36" t="s">
        <v>79</v>
      </c>
      <c r="M37" s="5">
        <v>45993</v>
      </c>
      <c r="N37" s="3" t="str">
        <f ca="1">IF(M37="","",CONCATENATE(DATEDIF(M37,NOW(),"Y")," Tahun ",DATEDIF(M37,NOW(),"YM")," bulan "))</f>
        <v xml:space="preserve">0 Tahun 8 bulan </v>
      </c>
      <c r="O37" s="4"/>
      <c r="P37" s="4" t="s">
        <v>35</v>
      </c>
      <c r="Q37" s="4" t="s">
        <v>36</v>
      </c>
      <c r="R37" s="4">
        <f t="shared" si="10"/>
        <v>1</v>
      </c>
      <c r="S37" s="4" t="str">
        <f t="shared" si="3"/>
        <v>1</v>
      </c>
      <c r="T37" s="4">
        <f t="shared" si="7"/>
        <v>0</v>
      </c>
      <c r="U37" s="29"/>
      <c r="V37" s="30" t="s">
        <v>50</v>
      </c>
      <c r="W37" s="30"/>
      <c r="X37" s="30"/>
      <c r="Y37" s="30"/>
      <c r="Z37" s="30"/>
      <c r="AA37" s="30"/>
      <c r="AB37" s="29"/>
      <c r="AC37" s="29"/>
      <c r="AD37" s="37">
        <f t="shared" si="8"/>
        <v>27354</v>
      </c>
      <c r="AE37" s="3" t="str">
        <f t="shared" ca="1" si="4"/>
        <v>51 Tahun 9 bulan 11 Hari</v>
      </c>
      <c r="AF37" s="38">
        <f t="shared" si="9"/>
        <v>49279</v>
      </c>
    </row>
    <row r="38" spans="1:32" s="306" customFormat="1" ht="32.15" customHeight="1" x14ac:dyDescent="0.35">
      <c r="A38" s="26">
        <f t="shared" si="5"/>
        <v>32</v>
      </c>
      <c r="B38" s="4" t="s">
        <v>39</v>
      </c>
      <c r="C38" s="254" t="s">
        <v>32</v>
      </c>
      <c r="D38" s="255"/>
      <c r="E38" s="39" t="s">
        <v>171</v>
      </c>
      <c r="F38" s="39"/>
      <c r="G38" s="40"/>
      <c r="H38" s="4"/>
      <c r="I38" s="4"/>
      <c r="J38" s="5"/>
      <c r="K38" s="3" t="str">
        <f t="shared" ca="1" si="0"/>
        <v/>
      </c>
      <c r="L38" s="30" t="s">
        <v>32</v>
      </c>
      <c r="M38" s="5"/>
      <c r="N38" s="3" t="str">
        <f t="shared" ca="1" si="1"/>
        <v/>
      </c>
      <c r="O38" s="4"/>
      <c r="P38" s="4"/>
      <c r="Q38" s="4" t="str">
        <f t="shared" si="2"/>
        <v/>
      </c>
      <c r="R38" s="4">
        <f t="shared" si="10"/>
        <v>1</v>
      </c>
      <c r="S38" s="4" t="str">
        <f t="shared" si="3"/>
        <v>1</v>
      </c>
      <c r="T38" s="4">
        <f t="shared" si="7"/>
        <v>0</v>
      </c>
      <c r="U38" s="29"/>
      <c r="V38" s="30" t="s">
        <v>50</v>
      </c>
      <c r="W38" s="30"/>
      <c r="X38" s="30"/>
      <c r="Y38" s="30"/>
      <c r="Z38" s="30"/>
      <c r="AA38" s="30"/>
      <c r="AB38" s="29"/>
      <c r="AC38" s="29"/>
      <c r="AD38" s="37" t="str">
        <f t="shared" si="8"/>
        <v/>
      </c>
      <c r="AE38" s="3" t="str">
        <f t="shared" ca="1" si="4"/>
        <v/>
      </c>
      <c r="AF38" s="38" t="str">
        <f t="shared" si="9"/>
        <v/>
      </c>
    </row>
    <row r="39" spans="1:32" s="306" customFormat="1" ht="32.15" customHeight="1" x14ac:dyDescent="0.35">
      <c r="A39" s="26">
        <f>A38+1</f>
        <v>33</v>
      </c>
      <c r="B39" s="4" t="s">
        <v>39</v>
      </c>
      <c r="C39" s="254" t="s">
        <v>32</v>
      </c>
      <c r="D39" s="255"/>
      <c r="E39" s="39" t="s">
        <v>171</v>
      </c>
      <c r="F39" s="39"/>
      <c r="G39" s="25"/>
      <c r="H39" s="4"/>
      <c r="I39" s="25"/>
      <c r="J39" s="5"/>
      <c r="K39" s="3" t="str">
        <f t="shared" ca="1" si="0"/>
        <v/>
      </c>
      <c r="L39" s="30" t="s">
        <v>32</v>
      </c>
      <c r="M39" s="5"/>
      <c r="N39" s="3" t="str">
        <f t="shared" ca="1" si="1"/>
        <v/>
      </c>
      <c r="O39" s="35"/>
      <c r="P39" s="4"/>
      <c r="Q39" s="4" t="str">
        <f t="shared" si="2"/>
        <v/>
      </c>
      <c r="R39" s="4">
        <f>R38</f>
        <v>1</v>
      </c>
      <c r="S39" s="4" t="str">
        <f t="shared" si="3"/>
        <v>1</v>
      </c>
      <c r="T39" s="4">
        <f t="shared" si="7"/>
        <v>0</v>
      </c>
      <c r="U39" s="29"/>
      <c r="V39" s="30" t="s">
        <v>50</v>
      </c>
      <c r="W39" s="30"/>
      <c r="X39" s="30"/>
      <c r="Y39" s="30"/>
      <c r="Z39" s="30"/>
      <c r="AA39" s="30"/>
      <c r="AB39" s="29"/>
      <c r="AC39" s="29"/>
      <c r="AD39" s="37" t="str">
        <f t="shared" si="8"/>
        <v/>
      </c>
      <c r="AE39" s="3" t="str">
        <f t="shared" ca="1" si="4"/>
        <v/>
      </c>
      <c r="AF39" s="38" t="str">
        <f t="shared" si="9"/>
        <v/>
      </c>
    </row>
    <row r="40" spans="1:32" s="306" customFormat="1" ht="32.15" customHeight="1" x14ac:dyDescent="0.35">
      <c r="A40" s="26">
        <f t="shared" si="5"/>
        <v>34</v>
      </c>
      <c r="B40" s="4" t="s">
        <v>39</v>
      </c>
      <c r="C40" s="254" t="s">
        <v>32</v>
      </c>
      <c r="D40" s="255"/>
      <c r="E40" s="39" t="s">
        <v>171</v>
      </c>
      <c r="F40" s="39"/>
      <c r="G40" s="3"/>
      <c r="H40" s="4"/>
      <c r="I40" s="4"/>
      <c r="J40" s="5"/>
      <c r="K40" s="3" t="str">
        <f t="shared" ca="1" si="0"/>
        <v/>
      </c>
      <c r="L40" s="30" t="s">
        <v>32</v>
      </c>
      <c r="M40" s="5"/>
      <c r="N40" s="3" t="str">
        <f t="shared" ca="1" si="1"/>
        <v/>
      </c>
      <c r="O40" s="4"/>
      <c r="P40" s="4"/>
      <c r="Q40" s="4" t="str">
        <f t="shared" si="2"/>
        <v/>
      </c>
      <c r="R40" s="4">
        <f t="shared" si="10"/>
        <v>1</v>
      </c>
      <c r="S40" s="4" t="str">
        <f t="shared" si="3"/>
        <v>1</v>
      </c>
      <c r="T40" s="4">
        <f t="shared" si="7"/>
        <v>0</v>
      </c>
      <c r="U40" s="29"/>
      <c r="V40" s="30" t="s">
        <v>50</v>
      </c>
      <c r="W40" s="30"/>
      <c r="X40" s="30"/>
      <c r="Y40" s="30"/>
      <c r="Z40" s="30"/>
      <c r="AA40" s="30"/>
      <c r="AB40" s="29"/>
      <c r="AC40" s="29"/>
      <c r="AD40" s="37" t="str">
        <f t="shared" si="8"/>
        <v/>
      </c>
      <c r="AE40" s="3" t="str">
        <f t="shared" ca="1" si="4"/>
        <v/>
      </c>
      <c r="AF40" s="38" t="str">
        <f t="shared" si="9"/>
        <v/>
      </c>
    </row>
    <row r="41" spans="1:32" s="306" customFormat="1" ht="32.15" customHeight="1" x14ac:dyDescent="0.35">
      <c r="A41" s="26">
        <f>A40+1</f>
        <v>35</v>
      </c>
      <c r="B41" s="4" t="s">
        <v>39</v>
      </c>
      <c r="C41" s="256" t="s">
        <v>172</v>
      </c>
      <c r="D41" s="257"/>
      <c r="E41" s="24" t="s">
        <v>2866</v>
      </c>
      <c r="F41" s="24" t="s">
        <v>43</v>
      </c>
      <c r="G41" s="3" t="s">
        <v>2867</v>
      </c>
      <c r="H41" s="3" t="s">
        <v>231</v>
      </c>
      <c r="I41" s="4" t="s">
        <v>2921</v>
      </c>
      <c r="J41" s="5">
        <v>46087</v>
      </c>
      <c r="K41" s="3" t="str">
        <f t="shared" ca="1" si="0"/>
        <v xml:space="preserve">0 Tahun 5 bulan </v>
      </c>
      <c r="L41" s="30" t="s">
        <v>56</v>
      </c>
      <c r="M41" s="5">
        <v>46087</v>
      </c>
      <c r="N41" s="3" t="str">
        <f t="shared" ca="1" si="1"/>
        <v xml:space="preserve">0 Tahun 5 bulan </v>
      </c>
      <c r="O41" s="36"/>
      <c r="P41" s="4" t="s">
        <v>35</v>
      </c>
      <c r="Q41" s="4" t="str">
        <f t="shared" si="2"/>
        <v>Laki-Laki</v>
      </c>
      <c r="R41" s="4">
        <f>R36</f>
        <v>1</v>
      </c>
      <c r="S41" s="4" t="str">
        <f t="shared" si="3"/>
        <v>1</v>
      </c>
      <c r="T41" s="4">
        <f t="shared" si="7"/>
        <v>0</v>
      </c>
      <c r="U41" s="29"/>
      <c r="V41" s="30" t="s">
        <v>50</v>
      </c>
      <c r="W41" s="30"/>
      <c r="X41" s="30"/>
      <c r="Y41" s="30"/>
      <c r="Z41" s="30"/>
      <c r="AA41" s="30"/>
      <c r="AB41" s="29"/>
      <c r="AC41" s="29"/>
      <c r="AD41" s="37">
        <f t="shared" si="8"/>
        <v>29587</v>
      </c>
      <c r="AE41" s="3" t="str">
        <f t="shared" ca="1" si="4"/>
        <v>45 Tahun 8 bulan 0 Hari</v>
      </c>
      <c r="AF41" s="38">
        <f t="shared" si="9"/>
        <v>51533</v>
      </c>
    </row>
    <row r="42" spans="1:32" s="306" customFormat="1" ht="32.15" customHeight="1" x14ac:dyDescent="0.35">
      <c r="A42" s="26">
        <f t="shared" si="5"/>
        <v>36</v>
      </c>
      <c r="B42" s="4" t="s">
        <v>39</v>
      </c>
      <c r="C42" s="256" t="s">
        <v>173</v>
      </c>
      <c r="D42" s="257"/>
      <c r="E42" s="24" t="s">
        <v>174</v>
      </c>
      <c r="F42" s="24" t="s">
        <v>43</v>
      </c>
      <c r="G42" s="3" t="s">
        <v>175</v>
      </c>
      <c r="H42" s="56" t="s">
        <v>159</v>
      </c>
      <c r="I42" s="33" t="s">
        <v>46</v>
      </c>
      <c r="J42" s="47" t="s">
        <v>176</v>
      </c>
      <c r="K42" s="3" t="str">
        <f t="shared" ca="1" si="0"/>
        <v xml:space="preserve">1 Tahun 4 bulan </v>
      </c>
      <c r="L42" s="36" t="s">
        <v>79</v>
      </c>
      <c r="M42" s="5" t="s">
        <v>177</v>
      </c>
      <c r="N42" s="3" t="str">
        <f t="shared" ca="1" si="1"/>
        <v xml:space="preserve">2 Tahun 4 bulan </v>
      </c>
      <c r="O42" s="4"/>
      <c r="P42" s="4"/>
      <c r="Q42" s="4" t="str">
        <f t="shared" si="2"/>
        <v>Laki-Laki</v>
      </c>
      <c r="R42" s="4">
        <f t="shared" si="10"/>
        <v>1</v>
      </c>
      <c r="S42" s="4" t="e">
        <f>IF(#REF!="LOWONG","0","1")</f>
        <v>#REF!</v>
      </c>
      <c r="T42" s="4" t="e">
        <f t="shared" si="7"/>
        <v>#REF!</v>
      </c>
      <c r="U42" s="29"/>
      <c r="V42" s="30"/>
      <c r="W42" s="30"/>
      <c r="X42" s="30"/>
      <c r="Y42" s="30"/>
      <c r="Z42" s="30"/>
      <c r="AA42" s="30"/>
      <c r="AB42" s="29"/>
      <c r="AC42" s="29"/>
      <c r="AD42" s="37">
        <f t="shared" si="8"/>
        <v>28580</v>
      </c>
      <c r="AE42" s="3" t="str">
        <f t="shared" ca="1" si="4"/>
        <v>48 Tahun 5 bulan 1 Hari</v>
      </c>
      <c r="AF42" s="38">
        <f t="shared" si="9"/>
        <v>50496</v>
      </c>
    </row>
    <row r="43" spans="1:32" s="306" customFormat="1" ht="32.15" customHeight="1" x14ac:dyDescent="0.35">
      <c r="A43" s="26">
        <f t="shared" si="5"/>
        <v>37</v>
      </c>
      <c r="B43" s="4" t="s">
        <v>39</v>
      </c>
      <c r="C43" s="26"/>
      <c r="D43" s="46" t="s">
        <v>178</v>
      </c>
      <c r="E43" s="45" t="s">
        <v>179</v>
      </c>
      <c r="F43" s="24" t="s">
        <v>43</v>
      </c>
      <c r="G43" s="44" t="s">
        <v>180</v>
      </c>
      <c r="H43" s="4" t="s">
        <v>181</v>
      </c>
      <c r="I43" s="4" t="s">
        <v>46</v>
      </c>
      <c r="J43" s="5" t="s">
        <v>87</v>
      </c>
      <c r="K43" s="3" t="str">
        <f t="shared" ca="1" si="0"/>
        <v xml:space="preserve">4 Tahun 8 bulan </v>
      </c>
      <c r="L43" s="30" t="s">
        <v>88</v>
      </c>
      <c r="M43" s="5" t="s">
        <v>87</v>
      </c>
      <c r="N43" s="3" t="str">
        <f t="shared" ca="1" si="1"/>
        <v xml:space="preserve">4 Tahun 8 bulan </v>
      </c>
      <c r="O43" s="4"/>
      <c r="P43" s="4" t="s">
        <v>35</v>
      </c>
      <c r="Q43" s="4" t="str">
        <f t="shared" si="2"/>
        <v>Laki-Laki</v>
      </c>
      <c r="R43" s="4">
        <f t="shared" si="10"/>
        <v>1</v>
      </c>
      <c r="S43" s="4" t="str">
        <f>IF(E43="LOWONG","0","1")</f>
        <v>1</v>
      </c>
      <c r="T43" s="4">
        <f t="shared" si="7"/>
        <v>0</v>
      </c>
      <c r="U43" s="29"/>
      <c r="V43" s="30" t="s">
        <v>50</v>
      </c>
      <c r="W43" s="30"/>
      <c r="X43" s="30"/>
      <c r="Y43" s="30"/>
      <c r="Z43" s="30"/>
      <c r="AA43" s="30"/>
      <c r="AB43" s="29"/>
      <c r="AC43" s="29"/>
      <c r="AD43" s="37">
        <f t="shared" si="8"/>
        <v>30672</v>
      </c>
      <c r="AE43" s="3" t="str">
        <f t="shared" ca="1" si="4"/>
        <v>42 Tahun 8 bulan 10 Hari</v>
      </c>
      <c r="AF43" s="38">
        <f t="shared" si="9"/>
        <v>52597</v>
      </c>
    </row>
    <row r="44" spans="1:32" s="306" customFormat="1" ht="32.15" customHeight="1" x14ac:dyDescent="0.35">
      <c r="A44" s="26">
        <f t="shared" si="5"/>
        <v>38</v>
      </c>
      <c r="B44" s="4" t="s">
        <v>39</v>
      </c>
      <c r="C44" s="26"/>
      <c r="D44" s="46" t="s">
        <v>178</v>
      </c>
      <c r="E44" s="45" t="s">
        <v>182</v>
      </c>
      <c r="F44" s="24" t="s">
        <v>43</v>
      </c>
      <c r="G44" s="44" t="s">
        <v>183</v>
      </c>
      <c r="H44" s="36" t="s">
        <v>94</v>
      </c>
      <c r="I44" s="4" t="s">
        <v>184</v>
      </c>
      <c r="J44" s="5" t="s">
        <v>87</v>
      </c>
      <c r="K44" s="3" t="str">
        <f t="shared" ca="1" si="0"/>
        <v xml:space="preserve">4 Tahun 8 bulan </v>
      </c>
      <c r="L44" s="30" t="s">
        <v>88</v>
      </c>
      <c r="M44" s="5" t="s">
        <v>87</v>
      </c>
      <c r="N44" s="3" t="str">
        <f t="shared" ca="1" si="1"/>
        <v xml:space="preserve">4 Tahun 8 bulan </v>
      </c>
      <c r="O44" s="4"/>
      <c r="P44" s="4" t="s">
        <v>35</v>
      </c>
      <c r="Q44" s="4" t="str">
        <f t="shared" si="2"/>
        <v>Laki-Laki</v>
      </c>
      <c r="R44" s="4">
        <f t="shared" si="10"/>
        <v>1</v>
      </c>
      <c r="S44" s="4" t="str">
        <f>IF(E44="LOWONG","0","1")</f>
        <v>1</v>
      </c>
      <c r="T44" s="4">
        <f t="shared" si="7"/>
        <v>0</v>
      </c>
      <c r="U44" s="29"/>
      <c r="V44" s="30" t="s">
        <v>50</v>
      </c>
      <c r="W44" s="30"/>
      <c r="X44" s="30"/>
      <c r="Y44" s="30"/>
      <c r="Z44" s="30"/>
      <c r="AA44" s="30"/>
      <c r="AB44" s="29"/>
      <c r="AC44" s="29"/>
      <c r="AD44" s="37">
        <f t="shared" si="8"/>
        <v>27952</v>
      </c>
      <c r="AE44" s="3" t="str">
        <f t="shared" ca="1" si="4"/>
        <v>50 Tahun 1 bulan 21 Hari</v>
      </c>
      <c r="AF44" s="38">
        <f t="shared" si="9"/>
        <v>49888</v>
      </c>
    </row>
    <row r="45" spans="1:32" s="306" customFormat="1" ht="32.15" customHeight="1" x14ac:dyDescent="0.35">
      <c r="A45" s="26">
        <f t="shared" si="5"/>
        <v>39</v>
      </c>
      <c r="B45" s="4" t="s">
        <v>39</v>
      </c>
      <c r="C45" s="26"/>
      <c r="D45" s="46" t="s">
        <v>178</v>
      </c>
      <c r="E45" s="45" t="s">
        <v>108</v>
      </c>
      <c r="F45" s="45"/>
      <c r="G45" s="44"/>
      <c r="H45" s="4"/>
      <c r="I45" s="4"/>
      <c r="J45" s="5"/>
      <c r="K45" s="3" t="str">
        <f t="shared" ca="1" si="0"/>
        <v/>
      </c>
      <c r="L45" s="30" t="s">
        <v>88</v>
      </c>
      <c r="M45" s="5"/>
      <c r="N45" s="3" t="str">
        <f t="shared" ca="1" si="1"/>
        <v/>
      </c>
      <c r="O45" s="4"/>
      <c r="P45" s="4"/>
      <c r="Q45" s="4" t="str">
        <f t="shared" si="2"/>
        <v/>
      </c>
      <c r="R45" s="4">
        <f t="shared" si="10"/>
        <v>1</v>
      </c>
      <c r="S45" s="4" t="str">
        <f>IF(E45="LOWONG","0","1")</f>
        <v>0</v>
      </c>
      <c r="T45" s="4">
        <f t="shared" si="7"/>
        <v>1</v>
      </c>
      <c r="U45" s="29"/>
      <c r="V45" s="30"/>
      <c r="W45" s="30"/>
      <c r="X45" s="30"/>
      <c r="Y45" s="30"/>
      <c r="Z45" s="30"/>
      <c r="AA45" s="30"/>
      <c r="AB45" s="29"/>
      <c r="AC45" s="29"/>
      <c r="AD45" s="37" t="str">
        <f t="shared" si="8"/>
        <v/>
      </c>
      <c r="AE45" s="3" t="str">
        <f t="shared" ca="1" si="4"/>
        <v/>
      </c>
      <c r="AF45" s="38" t="str">
        <f t="shared" si="9"/>
        <v/>
      </c>
    </row>
    <row r="46" spans="1:32" s="306" customFormat="1" ht="32.15" customHeight="1" x14ac:dyDescent="0.35">
      <c r="A46" s="26">
        <f t="shared" si="5"/>
        <v>40</v>
      </c>
      <c r="B46" s="4" t="s">
        <v>39</v>
      </c>
      <c r="C46" s="256" t="s">
        <v>185</v>
      </c>
      <c r="D46" s="257"/>
      <c r="E46" s="24" t="s">
        <v>186</v>
      </c>
      <c r="F46" s="24" t="s">
        <v>43</v>
      </c>
      <c r="G46" s="4" t="s">
        <v>187</v>
      </c>
      <c r="H46" s="4" t="s">
        <v>188</v>
      </c>
      <c r="I46" s="41" t="s">
        <v>55</v>
      </c>
      <c r="J46" s="5" t="s">
        <v>176</v>
      </c>
      <c r="K46" s="3" t="str">
        <f t="shared" ca="1" si="0"/>
        <v xml:space="preserve">1 Tahun 4 bulan </v>
      </c>
      <c r="L46" s="36" t="s">
        <v>79</v>
      </c>
      <c r="M46" s="5" t="s">
        <v>78</v>
      </c>
      <c r="N46" s="3" t="str">
        <f t="shared" ca="1" si="1"/>
        <v xml:space="preserve">5 Tahun 11 bulan </v>
      </c>
      <c r="O46" s="4"/>
      <c r="P46" s="4" t="s">
        <v>35</v>
      </c>
      <c r="Q46" s="4" t="str">
        <f t="shared" si="2"/>
        <v>Laki-Laki</v>
      </c>
      <c r="R46" s="4">
        <f t="shared" si="10"/>
        <v>1</v>
      </c>
      <c r="S46" s="4" t="str">
        <f>IF(E220="LOWONG","0","1")</f>
        <v>1</v>
      </c>
      <c r="T46" s="4">
        <f t="shared" si="7"/>
        <v>0</v>
      </c>
      <c r="U46" s="29"/>
      <c r="V46" s="30"/>
      <c r="W46" s="30"/>
      <c r="X46" s="30"/>
      <c r="Y46" s="30"/>
      <c r="Z46" s="30"/>
      <c r="AA46" s="30"/>
      <c r="AB46" s="29"/>
      <c r="AC46" s="29"/>
      <c r="AD46" s="37">
        <f t="shared" si="8"/>
        <v>27353</v>
      </c>
      <c r="AE46" s="3" t="str">
        <f t="shared" ca="1" si="4"/>
        <v>51 Tahun 9 bulan 12 Hari</v>
      </c>
      <c r="AF46" s="38">
        <f t="shared" si="9"/>
        <v>49279</v>
      </c>
    </row>
    <row r="47" spans="1:32" s="306" customFormat="1" ht="32.15" customHeight="1" x14ac:dyDescent="0.35">
      <c r="A47" s="26">
        <f t="shared" si="5"/>
        <v>41</v>
      </c>
      <c r="B47" s="4" t="s">
        <v>39</v>
      </c>
      <c r="C47" s="26"/>
      <c r="D47" s="46" t="s">
        <v>189</v>
      </c>
      <c r="E47" s="57" t="s">
        <v>190</v>
      </c>
      <c r="F47" s="24" t="s">
        <v>43</v>
      </c>
      <c r="G47" s="4" t="s">
        <v>191</v>
      </c>
      <c r="H47" s="36" t="s">
        <v>192</v>
      </c>
      <c r="I47" s="4" t="s">
        <v>193</v>
      </c>
      <c r="J47" s="5" t="s">
        <v>87</v>
      </c>
      <c r="K47" s="3" t="str">
        <f t="shared" ca="1" si="0"/>
        <v xml:space="preserve">4 Tahun 8 bulan </v>
      </c>
      <c r="L47" s="30" t="s">
        <v>88</v>
      </c>
      <c r="M47" s="5" t="s">
        <v>87</v>
      </c>
      <c r="N47" s="3" t="str">
        <f t="shared" ca="1" si="1"/>
        <v xml:space="preserve">4 Tahun 8 bulan </v>
      </c>
      <c r="O47" s="4"/>
      <c r="P47" s="4" t="s">
        <v>35</v>
      </c>
      <c r="Q47" s="4" t="str">
        <f t="shared" si="2"/>
        <v>Laki-Laki</v>
      </c>
      <c r="R47" s="4">
        <f t="shared" si="10"/>
        <v>1</v>
      </c>
      <c r="S47" s="4" t="str">
        <f t="shared" ref="S47:S56" si="11">IF(E47="LOWONG","0","1")</f>
        <v>1</v>
      </c>
      <c r="T47" s="4">
        <f t="shared" si="7"/>
        <v>0</v>
      </c>
      <c r="U47" s="29"/>
      <c r="V47" s="30" t="s">
        <v>50</v>
      </c>
      <c r="W47" s="30"/>
      <c r="X47" s="30"/>
      <c r="Y47" s="30"/>
      <c r="Z47" s="30"/>
      <c r="AA47" s="30"/>
      <c r="AB47" s="29"/>
      <c r="AC47" s="29"/>
      <c r="AD47" s="37">
        <f t="shared" si="8"/>
        <v>28361</v>
      </c>
      <c r="AE47" s="3" t="str">
        <f t="shared" ca="1" si="4"/>
        <v>49 Tahun 0 bulan 8 Hari</v>
      </c>
      <c r="AF47" s="38">
        <f t="shared" si="9"/>
        <v>50284</v>
      </c>
    </row>
    <row r="48" spans="1:32" s="306" customFormat="1" ht="32.15" customHeight="1" x14ac:dyDescent="0.35">
      <c r="A48" s="26">
        <f t="shared" si="5"/>
        <v>42</v>
      </c>
      <c r="B48" s="4" t="s">
        <v>39</v>
      </c>
      <c r="C48" s="26"/>
      <c r="D48" s="46" t="s">
        <v>189</v>
      </c>
      <c r="E48" s="58" t="s">
        <v>108</v>
      </c>
      <c r="F48" s="58"/>
      <c r="G48" s="29"/>
      <c r="H48" s="29"/>
      <c r="I48" s="29"/>
      <c r="J48" s="5"/>
      <c r="K48" s="3" t="str">
        <f t="shared" ca="1" si="0"/>
        <v/>
      </c>
      <c r="L48" s="30" t="s">
        <v>88</v>
      </c>
      <c r="M48" s="5"/>
      <c r="N48" s="3" t="str">
        <f t="shared" ca="1" si="1"/>
        <v/>
      </c>
      <c r="O48" s="29"/>
      <c r="P48" s="29"/>
      <c r="Q48" s="4" t="str">
        <f t="shared" si="2"/>
        <v/>
      </c>
      <c r="R48" s="4">
        <f t="shared" si="10"/>
        <v>1</v>
      </c>
      <c r="S48" s="4" t="str">
        <f t="shared" si="11"/>
        <v>0</v>
      </c>
      <c r="T48" s="4">
        <f t="shared" si="7"/>
        <v>1</v>
      </c>
      <c r="U48" s="29"/>
      <c r="V48" s="30"/>
      <c r="W48" s="30"/>
      <c r="X48" s="30"/>
      <c r="Y48" s="30"/>
      <c r="Z48" s="30"/>
      <c r="AA48" s="30"/>
      <c r="AB48" s="29"/>
      <c r="AC48" s="29"/>
      <c r="AD48" s="37" t="str">
        <f t="shared" si="8"/>
        <v/>
      </c>
      <c r="AE48" s="3" t="str">
        <f t="shared" ca="1" si="4"/>
        <v/>
      </c>
      <c r="AF48" s="38" t="str">
        <f t="shared" si="9"/>
        <v/>
      </c>
    </row>
    <row r="49" spans="1:32" s="306" customFormat="1" ht="32.15" customHeight="1" x14ac:dyDescent="0.35">
      <c r="A49" s="26">
        <f t="shared" si="5"/>
        <v>43</v>
      </c>
      <c r="B49" s="4" t="s">
        <v>39</v>
      </c>
      <c r="C49" s="26"/>
      <c r="D49" s="50" t="s">
        <v>194</v>
      </c>
      <c r="E49" s="45" t="s">
        <v>195</v>
      </c>
      <c r="F49" s="24" t="s">
        <v>43</v>
      </c>
      <c r="G49" s="4" t="s">
        <v>196</v>
      </c>
      <c r="H49" s="36" t="s">
        <v>197</v>
      </c>
      <c r="I49" s="33" t="s">
        <v>198</v>
      </c>
      <c r="J49" s="5" t="s">
        <v>199</v>
      </c>
      <c r="K49" s="3" t="str">
        <f t="shared" ca="1" si="0"/>
        <v xml:space="preserve">3 Tahun 11 bulan </v>
      </c>
      <c r="L49" s="30" t="s">
        <v>200</v>
      </c>
      <c r="M49" s="5" t="s">
        <v>199</v>
      </c>
      <c r="N49" s="3" t="str">
        <f t="shared" ca="1" si="1"/>
        <v xml:space="preserve">3 Tahun 11 bulan </v>
      </c>
      <c r="O49" s="4"/>
      <c r="P49" s="4" t="s">
        <v>35</v>
      </c>
      <c r="Q49" s="4" t="str">
        <f t="shared" si="2"/>
        <v>Perempuan</v>
      </c>
      <c r="R49" s="4">
        <f t="shared" si="10"/>
        <v>1</v>
      </c>
      <c r="S49" s="4" t="str">
        <f t="shared" si="11"/>
        <v>1</v>
      </c>
      <c r="T49" s="4">
        <f t="shared" si="7"/>
        <v>0</v>
      </c>
      <c r="U49" s="29"/>
      <c r="V49" s="30"/>
      <c r="W49" s="30"/>
      <c r="X49" s="30"/>
      <c r="Y49" s="30"/>
      <c r="Z49" s="30"/>
      <c r="AA49" s="30"/>
      <c r="AB49" s="29"/>
      <c r="AC49" s="29"/>
      <c r="AD49" s="37">
        <f t="shared" si="8"/>
        <v>34208</v>
      </c>
      <c r="AE49" s="3" t="str">
        <f t="shared" ca="1" si="4"/>
        <v>33 Tahun 0 bulan 5 Hari</v>
      </c>
      <c r="AF49" s="38">
        <f t="shared" si="9"/>
        <v>56128</v>
      </c>
    </row>
    <row r="50" spans="1:32" s="306" customFormat="1" ht="30.75" customHeight="1" x14ac:dyDescent="0.35">
      <c r="A50" s="26">
        <f t="shared" si="5"/>
        <v>44</v>
      </c>
      <c r="B50" s="4" t="s">
        <v>39</v>
      </c>
      <c r="C50" s="256" t="s">
        <v>201</v>
      </c>
      <c r="D50" s="257"/>
      <c r="E50" s="45" t="s">
        <v>202</v>
      </c>
      <c r="F50" s="24" t="s">
        <v>43</v>
      </c>
      <c r="G50" s="44" t="s">
        <v>203</v>
      </c>
      <c r="H50" s="36" t="s">
        <v>204</v>
      </c>
      <c r="I50" s="36" t="s">
        <v>205</v>
      </c>
      <c r="J50" s="5" t="s">
        <v>206</v>
      </c>
      <c r="K50" s="3" t="str">
        <f t="shared" ca="1" si="0"/>
        <v xml:space="preserve">3 Tahun 10 bulan </v>
      </c>
      <c r="L50" s="36" t="s">
        <v>79</v>
      </c>
      <c r="M50" s="5" t="s">
        <v>206</v>
      </c>
      <c r="N50" s="3" t="str">
        <f t="shared" ca="1" si="1"/>
        <v xml:space="preserve">3 Tahun 10 bulan </v>
      </c>
      <c r="O50" s="4" t="s">
        <v>207</v>
      </c>
      <c r="P50" s="4" t="s">
        <v>35</v>
      </c>
      <c r="Q50" s="4" t="str">
        <f t="shared" si="2"/>
        <v>Perempuan</v>
      </c>
      <c r="R50" s="4">
        <f>R737</f>
        <v>1</v>
      </c>
      <c r="S50" s="4" t="str">
        <f t="shared" si="11"/>
        <v>1</v>
      </c>
      <c r="T50" s="4">
        <f t="shared" si="7"/>
        <v>0</v>
      </c>
      <c r="U50" s="29"/>
      <c r="V50" s="30"/>
      <c r="W50" s="30"/>
      <c r="X50" s="30"/>
      <c r="Y50" s="30"/>
      <c r="Z50" s="30"/>
      <c r="AA50" s="30"/>
      <c r="AB50" s="29"/>
      <c r="AC50" s="29"/>
      <c r="AD50" s="37">
        <f t="shared" si="8"/>
        <v>32018</v>
      </c>
      <c r="AE50" s="3" t="str">
        <f t="shared" ca="1" si="4"/>
        <v>39 Tahun 0 bulan 3 Hari</v>
      </c>
      <c r="AF50" s="38">
        <f t="shared" si="9"/>
        <v>53936</v>
      </c>
    </row>
    <row r="51" spans="1:32" s="306" customFormat="1" ht="32.15" customHeight="1" x14ac:dyDescent="0.35">
      <c r="A51" s="26">
        <f t="shared" si="5"/>
        <v>45</v>
      </c>
      <c r="B51" s="4" t="s">
        <v>39</v>
      </c>
      <c r="C51" s="26"/>
      <c r="D51" s="46" t="s">
        <v>208</v>
      </c>
      <c r="E51" s="24" t="s">
        <v>209</v>
      </c>
      <c r="F51" s="24" t="s">
        <v>43</v>
      </c>
      <c r="G51" s="4" t="s">
        <v>210</v>
      </c>
      <c r="H51" s="4" t="s">
        <v>159</v>
      </c>
      <c r="I51" s="33" t="s">
        <v>86</v>
      </c>
      <c r="J51" s="5" t="s">
        <v>87</v>
      </c>
      <c r="K51" s="3" t="str">
        <f t="shared" ca="1" si="0"/>
        <v xml:space="preserve">4 Tahun 8 bulan </v>
      </c>
      <c r="L51" s="30" t="s">
        <v>88</v>
      </c>
      <c r="M51" s="5" t="s">
        <v>87</v>
      </c>
      <c r="N51" s="3" t="str">
        <f t="shared" ca="1" si="1"/>
        <v xml:space="preserve">4 Tahun 8 bulan </v>
      </c>
      <c r="O51" s="36"/>
      <c r="P51" s="4" t="s">
        <v>35</v>
      </c>
      <c r="Q51" s="4" t="str">
        <f t="shared" si="2"/>
        <v>Perempuan</v>
      </c>
      <c r="R51" s="4">
        <f t="shared" ref="R51:R56" si="12">R50</f>
        <v>1</v>
      </c>
      <c r="S51" s="4" t="str">
        <f t="shared" si="11"/>
        <v>1</v>
      </c>
      <c r="T51" s="4">
        <f t="shared" si="7"/>
        <v>0</v>
      </c>
      <c r="U51" s="29"/>
      <c r="V51" s="30"/>
      <c r="W51" s="30"/>
      <c r="X51" s="30"/>
      <c r="Y51" s="30"/>
      <c r="Z51" s="30"/>
      <c r="AA51" s="30"/>
      <c r="AB51" s="29"/>
      <c r="AC51" s="29"/>
      <c r="AD51" s="37">
        <f t="shared" si="8"/>
        <v>30044</v>
      </c>
      <c r="AE51" s="3" t="str">
        <f t="shared" ca="1" si="4"/>
        <v>44 Tahun 4 bulan 29 Hari</v>
      </c>
      <c r="AF51" s="38">
        <f t="shared" si="9"/>
        <v>51987</v>
      </c>
    </row>
    <row r="52" spans="1:32" s="306" customFormat="1" ht="32.15" customHeight="1" x14ac:dyDescent="0.35">
      <c r="A52" s="26">
        <f t="shared" si="5"/>
        <v>46</v>
      </c>
      <c r="B52" s="4" t="s">
        <v>39</v>
      </c>
      <c r="C52" s="26"/>
      <c r="D52" s="46" t="s">
        <v>208</v>
      </c>
      <c r="E52" s="24" t="s">
        <v>108</v>
      </c>
      <c r="F52" s="24"/>
      <c r="G52" s="3"/>
      <c r="H52" s="4"/>
      <c r="I52" s="41"/>
      <c r="J52" s="5"/>
      <c r="K52" s="3" t="str">
        <f t="shared" ca="1" si="0"/>
        <v/>
      </c>
      <c r="L52" s="30" t="s">
        <v>88</v>
      </c>
      <c r="M52" s="5"/>
      <c r="N52" s="3" t="str">
        <f t="shared" ca="1" si="1"/>
        <v/>
      </c>
      <c r="O52" s="4"/>
      <c r="P52" s="4"/>
      <c r="Q52" s="4" t="str">
        <f t="shared" si="2"/>
        <v/>
      </c>
      <c r="R52" s="4">
        <f t="shared" si="12"/>
        <v>1</v>
      </c>
      <c r="S52" s="4" t="str">
        <f t="shared" si="11"/>
        <v>0</v>
      </c>
      <c r="T52" s="4">
        <f t="shared" si="7"/>
        <v>1</v>
      </c>
      <c r="U52" s="29"/>
      <c r="V52" s="30"/>
      <c r="W52" s="30"/>
      <c r="X52" s="30"/>
      <c r="Y52" s="30"/>
      <c r="Z52" s="30"/>
      <c r="AA52" s="30"/>
      <c r="AB52" s="29"/>
      <c r="AC52" s="29"/>
      <c r="AD52" s="37" t="str">
        <f t="shared" si="8"/>
        <v/>
      </c>
      <c r="AE52" s="3" t="str">
        <f t="shared" ca="1" si="4"/>
        <v/>
      </c>
      <c r="AF52" s="38" t="str">
        <f t="shared" si="9"/>
        <v/>
      </c>
    </row>
    <row r="53" spans="1:32" s="306" customFormat="1" ht="36.75" customHeight="1" x14ac:dyDescent="0.35">
      <c r="A53" s="26">
        <f t="shared" si="5"/>
        <v>47</v>
      </c>
      <c r="B53" s="4" t="s">
        <v>39</v>
      </c>
      <c r="C53" s="26"/>
      <c r="D53" s="46" t="s">
        <v>208</v>
      </c>
      <c r="E53" s="45" t="s">
        <v>211</v>
      </c>
      <c r="F53" s="24" t="s">
        <v>43</v>
      </c>
      <c r="G53" s="44" t="s">
        <v>212</v>
      </c>
      <c r="H53" s="4" t="s">
        <v>213</v>
      </c>
      <c r="I53" s="4" t="s">
        <v>214</v>
      </c>
      <c r="J53" s="5" t="s">
        <v>87</v>
      </c>
      <c r="K53" s="3" t="str">
        <f t="shared" ca="1" si="0"/>
        <v xml:space="preserve">4 Tahun 8 bulan </v>
      </c>
      <c r="L53" s="30" t="s">
        <v>88</v>
      </c>
      <c r="M53" s="5" t="s">
        <v>87</v>
      </c>
      <c r="N53" s="3" t="str">
        <f t="shared" ca="1" si="1"/>
        <v xml:space="preserve">4 Tahun 8 bulan </v>
      </c>
      <c r="O53" s="4"/>
      <c r="P53" s="4" t="s">
        <v>35</v>
      </c>
      <c r="Q53" s="4" t="str">
        <f t="shared" si="2"/>
        <v>Laki-Laki</v>
      </c>
      <c r="R53" s="4">
        <f t="shared" si="12"/>
        <v>1</v>
      </c>
      <c r="S53" s="4" t="str">
        <f t="shared" si="11"/>
        <v>1</v>
      </c>
      <c r="T53" s="4">
        <f t="shared" si="7"/>
        <v>0</v>
      </c>
      <c r="U53" s="29"/>
      <c r="V53" s="30" t="s">
        <v>50</v>
      </c>
      <c r="W53" s="30"/>
      <c r="X53" s="30"/>
      <c r="Y53" s="30"/>
      <c r="Z53" s="30"/>
      <c r="AA53" s="30"/>
      <c r="AB53" s="29"/>
      <c r="AC53" s="29"/>
      <c r="AD53" s="37">
        <f t="shared" si="8"/>
        <v>33775</v>
      </c>
      <c r="AE53" s="3" t="str">
        <f t="shared" ca="1" si="4"/>
        <v>34 Tahun 2 bulan 12 Hari</v>
      </c>
      <c r="AF53" s="38">
        <f t="shared" si="9"/>
        <v>55701</v>
      </c>
    </row>
    <row r="54" spans="1:32" s="306" customFormat="1" ht="32.15" customHeight="1" x14ac:dyDescent="0.35">
      <c r="A54" s="26">
        <f t="shared" si="5"/>
        <v>48</v>
      </c>
      <c r="B54" s="4" t="s">
        <v>39</v>
      </c>
      <c r="C54" s="256" t="s">
        <v>215</v>
      </c>
      <c r="D54" s="257"/>
      <c r="E54" s="24" t="s">
        <v>216</v>
      </c>
      <c r="F54" s="24" t="s">
        <v>43</v>
      </c>
      <c r="G54" s="3" t="s">
        <v>217</v>
      </c>
      <c r="H54" s="4" t="s">
        <v>218</v>
      </c>
      <c r="I54" s="36" t="s">
        <v>219</v>
      </c>
      <c r="J54" s="5" t="s">
        <v>220</v>
      </c>
      <c r="K54" s="3" t="str">
        <f t="shared" ca="1" si="0"/>
        <v xml:space="preserve">2 Tahun 11 bulan </v>
      </c>
      <c r="L54" s="36" t="s">
        <v>79</v>
      </c>
      <c r="M54" s="5" t="s">
        <v>220</v>
      </c>
      <c r="N54" s="3" t="str">
        <f t="shared" ca="1" si="1"/>
        <v xml:space="preserve">2 Tahun 11 bulan </v>
      </c>
      <c r="O54" s="4"/>
      <c r="P54" s="4" t="s">
        <v>35</v>
      </c>
      <c r="Q54" s="4" t="str">
        <f t="shared" si="2"/>
        <v>Laki-Laki</v>
      </c>
      <c r="R54" s="4">
        <f t="shared" si="12"/>
        <v>1</v>
      </c>
      <c r="S54" s="4" t="str">
        <f t="shared" si="11"/>
        <v>1</v>
      </c>
      <c r="T54" s="4">
        <f t="shared" si="7"/>
        <v>0</v>
      </c>
      <c r="U54" s="29"/>
      <c r="V54" s="30" t="s">
        <v>50</v>
      </c>
      <c r="W54" s="30"/>
      <c r="X54" s="30"/>
      <c r="Y54" s="30"/>
      <c r="Z54" s="30"/>
      <c r="AA54" s="30"/>
      <c r="AB54" s="29"/>
      <c r="AC54" s="29"/>
      <c r="AD54" s="37">
        <f t="shared" si="8"/>
        <v>31207</v>
      </c>
      <c r="AE54" s="3" t="str">
        <f t="shared" ca="1" si="4"/>
        <v>41 Tahun 2 bulan 23 Hari</v>
      </c>
      <c r="AF54" s="38">
        <f t="shared" si="9"/>
        <v>53144</v>
      </c>
    </row>
    <row r="55" spans="1:32" s="306" customFormat="1" ht="32.15" customHeight="1" x14ac:dyDescent="0.35">
      <c r="A55" s="26">
        <f t="shared" si="5"/>
        <v>49</v>
      </c>
      <c r="B55" s="4" t="s">
        <v>39</v>
      </c>
      <c r="C55" s="26"/>
      <c r="D55" s="46" t="s">
        <v>221</v>
      </c>
      <c r="E55" s="24" t="s">
        <v>222</v>
      </c>
      <c r="F55" s="24" t="s">
        <v>43</v>
      </c>
      <c r="G55" s="44" t="s">
        <v>223</v>
      </c>
      <c r="H55" s="4" t="s">
        <v>85</v>
      </c>
      <c r="I55" s="33" t="s">
        <v>46</v>
      </c>
      <c r="J55" s="5" t="s">
        <v>87</v>
      </c>
      <c r="K55" s="3" t="str">
        <f t="shared" ca="1" si="0"/>
        <v xml:space="preserve">4 Tahun 8 bulan </v>
      </c>
      <c r="L55" s="30" t="s">
        <v>88</v>
      </c>
      <c r="M55" s="5" t="s">
        <v>87</v>
      </c>
      <c r="N55" s="3" t="str">
        <f t="shared" ca="1" si="1"/>
        <v xml:space="preserve">4 Tahun 8 bulan </v>
      </c>
      <c r="O55" s="4"/>
      <c r="P55" s="4" t="s">
        <v>35</v>
      </c>
      <c r="Q55" s="4" t="str">
        <f t="shared" si="2"/>
        <v>Perempuan</v>
      </c>
      <c r="R55" s="4">
        <f t="shared" si="12"/>
        <v>1</v>
      </c>
      <c r="S55" s="4" t="str">
        <f t="shared" si="11"/>
        <v>1</v>
      </c>
      <c r="T55" s="4">
        <f t="shared" si="7"/>
        <v>0</v>
      </c>
      <c r="U55" s="29"/>
      <c r="V55" s="30"/>
      <c r="W55" s="30"/>
      <c r="X55" s="30"/>
      <c r="Y55" s="30"/>
      <c r="Z55" s="30"/>
      <c r="AA55" s="30"/>
      <c r="AB55" s="29"/>
      <c r="AC55" s="29"/>
      <c r="AD55" s="37">
        <f t="shared" si="8"/>
        <v>30827</v>
      </c>
      <c r="AE55" s="3" t="str">
        <f t="shared" ca="1" si="4"/>
        <v>42 Tahun 3 bulan 7 Hari</v>
      </c>
      <c r="AF55" s="38">
        <f t="shared" si="9"/>
        <v>52749</v>
      </c>
    </row>
    <row r="56" spans="1:32" s="306" customFormat="1" ht="32.15" customHeight="1" x14ac:dyDescent="0.35">
      <c r="A56" s="26">
        <f t="shared" si="5"/>
        <v>50</v>
      </c>
      <c r="B56" s="4" t="s">
        <v>39</v>
      </c>
      <c r="C56" s="26"/>
      <c r="D56" s="50" t="s">
        <v>224</v>
      </c>
      <c r="E56" s="24" t="s">
        <v>225</v>
      </c>
      <c r="F56" s="24" t="s">
        <v>43</v>
      </c>
      <c r="G56" s="3" t="s">
        <v>226</v>
      </c>
      <c r="H56" s="4" t="s">
        <v>192</v>
      </c>
      <c r="I56" s="41" t="s">
        <v>86</v>
      </c>
      <c r="J56" s="5" t="s">
        <v>87</v>
      </c>
      <c r="K56" s="3" t="str">
        <f t="shared" ca="1" si="0"/>
        <v xml:space="preserve">4 Tahun 8 bulan </v>
      </c>
      <c r="L56" s="30" t="s">
        <v>88</v>
      </c>
      <c r="M56" s="5" t="s">
        <v>87</v>
      </c>
      <c r="N56" s="3" t="str">
        <f t="shared" ca="1" si="1"/>
        <v xml:space="preserve">4 Tahun 8 bulan </v>
      </c>
      <c r="O56" s="36"/>
      <c r="P56" s="4" t="s">
        <v>35</v>
      </c>
      <c r="Q56" s="4" t="str">
        <f t="shared" si="2"/>
        <v>Laki-Laki</v>
      </c>
      <c r="R56" s="4">
        <f t="shared" si="12"/>
        <v>1</v>
      </c>
      <c r="S56" s="4" t="str">
        <f t="shared" si="11"/>
        <v>1</v>
      </c>
      <c r="T56" s="4">
        <f t="shared" si="7"/>
        <v>0</v>
      </c>
      <c r="U56" s="29"/>
      <c r="V56" s="30" t="s">
        <v>50</v>
      </c>
      <c r="W56" s="30"/>
      <c r="X56" s="30"/>
      <c r="Y56" s="30"/>
      <c r="Z56" s="30"/>
      <c r="AA56" s="30"/>
      <c r="AB56" s="29"/>
      <c r="AC56" s="29"/>
      <c r="AD56" s="37">
        <f t="shared" si="8"/>
        <v>29376</v>
      </c>
      <c r="AE56" s="3" t="str">
        <f t="shared" ca="1" si="4"/>
        <v>46 Tahun 2 bulan 28 Hari</v>
      </c>
      <c r="AF56" s="38">
        <f t="shared" si="9"/>
        <v>51318</v>
      </c>
    </row>
    <row r="57" spans="1:32" s="308" customFormat="1" ht="32.15" customHeight="1" x14ac:dyDescent="0.35">
      <c r="A57" s="4"/>
      <c r="B57" s="32" t="s">
        <v>227</v>
      </c>
      <c r="C57" s="269" t="s">
        <v>228</v>
      </c>
      <c r="D57" s="270"/>
      <c r="E57" s="271" t="str">
        <f ca="1">IF(J57="","",CONCATENATE(DATEDIF(J57,NOW(),"Y")," Tahun ",DATEDIF(J57,NOW(),"YM")," bulan "))</f>
        <v/>
      </c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3"/>
    </row>
    <row r="58" spans="1:32" s="306" customFormat="1" ht="32.15" customHeight="1" x14ac:dyDescent="0.35">
      <c r="A58" s="26">
        <f>A56+1</f>
        <v>51</v>
      </c>
      <c r="B58" s="27" t="s">
        <v>227</v>
      </c>
      <c r="C58" s="256" t="s">
        <v>229</v>
      </c>
      <c r="D58" s="257"/>
      <c r="E58" s="24" t="s">
        <v>986</v>
      </c>
      <c r="F58" s="24" t="s">
        <v>71</v>
      </c>
      <c r="G58" s="3" t="s">
        <v>987</v>
      </c>
      <c r="H58" s="4" t="s">
        <v>988</v>
      </c>
      <c r="I58" s="33" t="s">
        <v>989</v>
      </c>
      <c r="J58" s="5">
        <v>46198</v>
      </c>
      <c r="K58" s="3" t="str">
        <f t="shared" ca="1" si="0"/>
        <v xml:space="preserve">0 Tahun 2 bulan </v>
      </c>
      <c r="L58" s="30" t="s">
        <v>56</v>
      </c>
      <c r="M58" s="5">
        <v>46198</v>
      </c>
      <c r="N58" s="3" t="str">
        <f t="shared" ca="1" si="1"/>
        <v xml:space="preserve">0 Tahun 2 bulan </v>
      </c>
      <c r="O58" s="4"/>
      <c r="P58" s="4" t="s">
        <v>35</v>
      </c>
      <c r="Q58" s="4" t="str">
        <f t="shared" si="2"/>
        <v>Laki-Laki</v>
      </c>
      <c r="R58" s="4">
        <f>R362</f>
        <v>1</v>
      </c>
      <c r="S58" s="4" t="str">
        <f t="shared" ref="S58:S72" si="13">IF(E58="LOWONG","0","1")</f>
        <v>1</v>
      </c>
      <c r="T58" s="4">
        <f t="shared" si="7"/>
        <v>0</v>
      </c>
      <c r="U58" s="29"/>
      <c r="V58" s="30"/>
      <c r="W58" s="30"/>
      <c r="X58" s="30"/>
      <c r="Y58" s="30"/>
      <c r="Z58" s="30"/>
      <c r="AA58" s="30"/>
      <c r="AB58" s="29"/>
      <c r="AC58" s="29"/>
      <c r="AD58" s="37">
        <f t="shared" si="8"/>
        <v>28457</v>
      </c>
      <c r="AE58" s="3" t="str">
        <f t="shared" ca="1" si="4"/>
        <v>48 Tahun 9 bulan 4 Hari</v>
      </c>
      <c r="AF58" s="38">
        <f t="shared" si="9"/>
        <v>50375</v>
      </c>
    </row>
    <row r="59" spans="1:32" s="306" customFormat="1" ht="32.15" customHeight="1" x14ac:dyDescent="0.35">
      <c r="A59" s="26">
        <f t="shared" si="5"/>
        <v>52</v>
      </c>
      <c r="B59" s="27" t="s">
        <v>227</v>
      </c>
      <c r="C59" s="256" t="s">
        <v>234</v>
      </c>
      <c r="D59" s="257"/>
      <c r="E59" s="24" t="s">
        <v>239</v>
      </c>
      <c r="F59" s="24" t="s">
        <v>43</v>
      </c>
      <c r="G59" s="3" t="s">
        <v>240</v>
      </c>
      <c r="H59" s="4" t="s">
        <v>241</v>
      </c>
      <c r="I59" s="4"/>
      <c r="J59" s="5">
        <v>46132</v>
      </c>
      <c r="K59" s="3" t="str">
        <f t="shared" ca="1" si="0"/>
        <v xml:space="preserve">0 Tahun 4 bulan </v>
      </c>
      <c r="L59" s="36" t="s">
        <v>79</v>
      </c>
      <c r="M59" s="5">
        <v>46132</v>
      </c>
      <c r="N59" s="3" t="str">
        <f t="shared" ca="1" si="1"/>
        <v xml:space="preserve">0 Tahun 4 bulan </v>
      </c>
      <c r="O59" s="4"/>
      <c r="P59" s="4" t="s">
        <v>35</v>
      </c>
      <c r="Q59" s="4" t="str">
        <f t="shared" si="2"/>
        <v>Laki-Laki</v>
      </c>
      <c r="R59" s="4">
        <f>R363</f>
        <v>1</v>
      </c>
      <c r="S59" s="4" t="str">
        <f t="shared" si="13"/>
        <v>1</v>
      </c>
      <c r="T59" s="4">
        <f t="shared" si="7"/>
        <v>0</v>
      </c>
      <c r="U59" s="29"/>
      <c r="V59" s="30" t="s">
        <v>50</v>
      </c>
      <c r="W59" s="30"/>
      <c r="X59" s="30"/>
      <c r="Y59" s="30"/>
      <c r="Z59" s="30"/>
      <c r="AA59" s="30"/>
      <c r="AB59" s="29"/>
      <c r="AC59" s="29"/>
      <c r="AD59" s="37">
        <f t="shared" si="8"/>
        <v>29312</v>
      </c>
      <c r="AE59" s="3" t="str">
        <f t="shared" ca="1" si="4"/>
        <v>46 Tahun 5 bulan 0 Hari</v>
      </c>
      <c r="AF59" s="38">
        <f t="shared" si="9"/>
        <v>51257</v>
      </c>
    </row>
    <row r="60" spans="1:32" s="306" customFormat="1" ht="32.15" customHeight="1" x14ac:dyDescent="0.35">
      <c r="A60" s="26">
        <f t="shared" si="5"/>
        <v>53</v>
      </c>
      <c r="B60" s="27" t="s">
        <v>227</v>
      </c>
      <c r="C60" s="26"/>
      <c r="D60" s="50" t="s">
        <v>238</v>
      </c>
      <c r="E60" s="24" t="s">
        <v>2950</v>
      </c>
      <c r="F60" s="24" t="s">
        <v>43</v>
      </c>
      <c r="G60" s="3" t="s">
        <v>2951</v>
      </c>
      <c r="H60" s="4" t="s">
        <v>2952</v>
      </c>
      <c r="I60" s="4" t="s">
        <v>86</v>
      </c>
      <c r="J60" s="5">
        <v>46198</v>
      </c>
      <c r="K60" s="3" t="str">
        <f t="shared" ca="1" si="0"/>
        <v xml:space="preserve">0 Tahun 2 bulan </v>
      </c>
      <c r="L60" s="30" t="s">
        <v>200</v>
      </c>
      <c r="M60" s="5">
        <v>46198</v>
      </c>
      <c r="N60" s="3" t="str">
        <f t="shared" ca="1" si="1"/>
        <v xml:space="preserve">0 Tahun 2 bulan </v>
      </c>
      <c r="O60" s="4"/>
      <c r="P60" s="4" t="s">
        <v>35</v>
      </c>
      <c r="Q60" s="4" t="str">
        <f t="shared" si="2"/>
        <v>Perempuan</v>
      </c>
      <c r="R60" s="4">
        <f>R650</f>
        <v>1</v>
      </c>
      <c r="S60" s="4" t="str">
        <f t="shared" si="13"/>
        <v>1</v>
      </c>
      <c r="T60" s="4">
        <f t="shared" si="7"/>
        <v>0</v>
      </c>
      <c r="U60" s="29"/>
      <c r="V60" s="30" t="s">
        <v>50</v>
      </c>
      <c r="W60" s="30"/>
      <c r="X60" s="30"/>
      <c r="Y60" s="30"/>
      <c r="Z60" s="30"/>
      <c r="AA60" s="30"/>
      <c r="AB60" s="29"/>
      <c r="AC60" s="29"/>
      <c r="AD60" s="37">
        <f t="shared" si="8"/>
        <v>29751</v>
      </c>
      <c r="AE60" s="3" t="str">
        <f t="shared" ca="1" si="4"/>
        <v>45 Tahun 2 bulan 18 Hari</v>
      </c>
      <c r="AF60" s="38">
        <f t="shared" si="9"/>
        <v>51683</v>
      </c>
    </row>
    <row r="61" spans="1:32" s="306" customFormat="1" ht="32.15" customHeight="1" x14ac:dyDescent="0.35">
      <c r="A61" s="26">
        <f t="shared" si="5"/>
        <v>54</v>
      </c>
      <c r="B61" s="27" t="s">
        <v>227</v>
      </c>
      <c r="C61" s="26"/>
      <c r="D61" s="46" t="s">
        <v>243</v>
      </c>
      <c r="E61" s="24" t="s">
        <v>244</v>
      </c>
      <c r="F61" s="24" t="s">
        <v>43</v>
      </c>
      <c r="G61" s="3" t="s">
        <v>245</v>
      </c>
      <c r="H61" s="4" t="s">
        <v>181</v>
      </c>
      <c r="I61" s="33" t="s">
        <v>46</v>
      </c>
      <c r="J61" s="5" t="s">
        <v>246</v>
      </c>
      <c r="K61" s="3" t="str">
        <f t="shared" ca="1" si="0"/>
        <v xml:space="preserve">3 Tahun 9 bulan </v>
      </c>
      <c r="L61" s="30" t="s">
        <v>88</v>
      </c>
      <c r="M61" s="5" t="s">
        <v>246</v>
      </c>
      <c r="N61" s="3" t="str">
        <f t="shared" ca="1" si="1"/>
        <v xml:space="preserve">3 Tahun 9 bulan </v>
      </c>
      <c r="O61" s="4"/>
      <c r="P61" s="4" t="s">
        <v>35</v>
      </c>
      <c r="Q61" s="4" t="str">
        <f t="shared" si="2"/>
        <v>Perempuan</v>
      </c>
      <c r="R61" s="4">
        <f t="shared" ref="R61:R124" si="14">R60</f>
        <v>1</v>
      </c>
      <c r="S61" s="4" t="str">
        <f t="shared" si="13"/>
        <v>1</v>
      </c>
      <c r="T61" s="4">
        <f t="shared" si="7"/>
        <v>0</v>
      </c>
      <c r="U61" s="29"/>
      <c r="V61" s="30"/>
      <c r="W61" s="30"/>
      <c r="X61" s="30"/>
      <c r="Y61" s="30"/>
      <c r="Z61" s="30"/>
      <c r="AA61" s="30"/>
      <c r="AB61" s="29"/>
      <c r="AC61" s="29"/>
      <c r="AD61" s="37">
        <f t="shared" si="8"/>
        <v>28529</v>
      </c>
      <c r="AE61" s="3" t="str">
        <f t="shared" ca="1" si="4"/>
        <v>48 Tahun 6 bulan 24 Hari</v>
      </c>
      <c r="AF61" s="38">
        <f t="shared" si="9"/>
        <v>50465</v>
      </c>
    </row>
    <row r="62" spans="1:32" s="306" customFormat="1" ht="32.15" customHeight="1" x14ac:dyDescent="0.35">
      <c r="A62" s="26">
        <f t="shared" si="5"/>
        <v>55</v>
      </c>
      <c r="B62" s="27" t="s">
        <v>227</v>
      </c>
      <c r="C62" s="26"/>
      <c r="D62" s="46" t="s">
        <v>243</v>
      </c>
      <c r="E62" s="24" t="s">
        <v>247</v>
      </c>
      <c r="F62" s="24" t="s">
        <v>43</v>
      </c>
      <c r="G62" s="3" t="s">
        <v>248</v>
      </c>
      <c r="H62" s="4" t="s">
        <v>249</v>
      </c>
      <c r="I62" s="33" t="s">
        <v>86</v>
      </c>
      <c r="J62" s="5" t="s">
        <v>87</v>
      </c>
      <c r="K62" s="3" t="str">
        <f t="shared" ca="1" si="0"/>
        <v xml:space="preserve">4 Tahun 8 bulan </v>
      </c>
      <c r="L62" s="30" t="s">
        <v>88</v>
      </c>
      <c r="M62" s="5" t="s">
        <v>87</v>
      </c>
      <c r="N62" s="3" t="str">
        <f t="shared" ca="1" si="1"/>
        <v xml:space="preserve">4 Tahun 8 bulan </v>
      </c>
      <c r="O62" s="4"/>
      <c r="P62" s="4" t="s">
        <v>35</v>
      </c>
      <c r="Q62" s="4" t="str">
        <f t="shared" si="2"/>
        <v>Laki-Laki</v>
      </c>
      <c r="R62" s="4">
        <f t="shared" si="14"/>
        <v>1</v>
      </c>
      <c r="S62" s="4" t="str">
        <f t="shared" si="13"/>
        <v>1</v>
      </c>
      <c r="T62" s="4">
        <f t="shared" si="7"/>
        <v>0</v>
      </c>
      <c r="U62" s="29"/>
      <c r="V62" s="30"/>
      <c r="W62" s="30"/>
      <c r="X62" s="30"/>
      <c r="Y62" s="30"/>
      <c r="Z62" s="30"/>
      <c r="AA62" s="30"/>
      <c r="AB62" s="29"/>
      <c r="AC62" s="29"/>
      <c r="AD62" s="37">
        <f t="shared" si="8"/>
        <v>28956</v>
      </c>
      <c r="AE62" s="3" t="str">
        <f t="shared" ca="1" si="4"/>
        <v>47 Tahun 4 bulan 21 Hari</v>
      </c>
      <c r="AF62" s="38">
        <f t="shared" si="9"/>
        <v>50891</v>
      </c>
    </row>
    <row r="63" spans="1:32" s="306" customFormat="1" ht="32.15" customHeight="1" x14ac:dyDescent="0.35">
      <c r="A63" s="26">
        <f t="shared" si="5"/>
        <v>56</v>
      </c>
      <c r="B63" s="27" t="s">
        <v>227</v>
      </c>
      <c r="C63" s="256" t="s">
        <v>250</v>
      </c>
      <c r="D63" s="257"/>
      <c r="E63" s="24" t="s">
        <v>281</v>
      </c>
      <c r="F63" s="24" t="s">
        <v>43</v>
      </c>
      <c r="G63" s="3" t="s">
        <v>282</v>
      </c>
      <c r="H63" s="4" t="s">
        <v>241</v>
      </c>
      <c r="I63" s="4"/>
      <c r="J63" s="53">
        <v>46132</v>
      </c>
      <c r="K63" s="3" t="str">
        <f t="shared" ca="1" si="0"/>
        <v xml:space="preserve">0 Tahun 4 bulan </v>
      </c>
      <c r="L63" s="36" t="s">
        <v>79</v>
      </c>
      <c r="M63" s="53">
        <v>46132</v>
      </c>
      <c r="N63" s="3" t="str">
        <f t="shared" ca="1" si="1"/>
        <v xml:space="preserve">0 Tahun 4 bulan </v>
      </c>
      <c r="O63" s="36"/>
      <c r="P63" s="4" t="s">
        <v>35</v>
      </c>
      <c r="Q63" s="4" t="str">
        <f t="shared" si="2"/>
        <v>Perempuan</v>
      </c>
      <c r="R63" s="4">
        <f>R367</f>
        <v>1</v>
      </c>
      <c r="S63" s="4" t="str">
        <f t="shared" si="13"/>
        <v>1</v>
      </c>
      <c r="T63" s="4">
        <f t="shared" si="7"/>
        <v>0</v>
      </c>
      <c r="U63" s="29"/>
      <c r="V63" s="30" t="s">
        <v>50</v>
      </c>
      <c r="W63" s="30"/>
      <c r="X63" s="30"/>
      <c r="Y63" s="30"/>
      <c r="Z63" s="30"/>
      <c r="AA63" s="30"/>
      <c r="AB63" s="29"/>
      <c r="AC63" s="29"/>
      <c r="AD63" s="37">
        <f t="shared" si="8"/>
        <v>29347</v>
      </c>
      <c r="AE63" s="3" t="str">
        <f t="shared" ca="1" si="4"/>
        <v>46 Tahun 3 bulan 26 Hari</v>
      </c>
      <c r="AF63" s="38">
        <f t="shared" si="9"/>
        <v>51288</v>
      </c>
    </row>
    <row r="64" spans="1:32" s="306" customFormat="1" ht="32.15" customHeight="1" x14ac:dyDescent="0.35">
      <c r="A64" s="26">
        <f t="shared" si="5"/>
        <v>57</v>
      </c>
      <c r="B64" s="27" t="s">
        <v>227</v>
      </c>
      <c r="C64" s="26"/>
      <c r="D64" s="46" t="s">
        <v>252</v>
      </c>
      <c r="E64" s="51" t="s">
        <v>253</v>
      </c>
      <c r="F64" s="24" t="s">
        <v>43</v>
      </c>
      <c r="G64" s="59" t="s">
        <v>254</v>
      </c>
      <c r="H64" s="4" t="s">
        <v>135</v>
      </c>
      <c r="I64" s="33" t="s">
        <v>86</v>
      </c>
      <c r="J64" s="5" t="s">
        <v>255</v>
      </c>
      <c r="K64" s="3" t="str">
        <f t="shared" ca="1" si="0"/>
        <v xml:space="preserve">3 Tahun 8 bulan </v>
      </c>
      <c r="L64" s="30" t="s">
        <v>88</v>
      </c>
      <c r="M64" s="5" t="s">
        <v>255</v>
      </c>
      <c r="N64" s="3" t="str">
        <f t="shared" ca="1" si="1"/>
        <v xml:space="preserve">3 Tahun 8 bulan </v>
      </c>
      <c r="O64" s="4"/>
      <c r="P64" s="4" t="s">
        <v>35</v>
      </c>
      <c r="Q64" s="4" t="str">
        <f t="shared" si="2"/>
        <v>Laki-Laki</v>
      </c>
      <c r="R64" s="4">
        <f t="shared" si="14"/>
        <v>1</v>
      </c>
      <c r="S64" s="4" t="str">
        <f t="shared" si="13"/>
        <v>1</v>
      </c>
      <c r="T64" s="4">
        <f t="shared" si="7"/>
        <v>0</v>
      </c>
      <c r="U64" s="29"/>
      <c r="V64" s="30" t="s">
        <v>50</v>
      </c>
      <c r="W64" s="30"/>
      <c r="X64" s="30"/>
      <c r="Y64" s="30"/>
      <c r="Z64" s="30"/>
      <c r="AA64" s="30"/>
      <c r="AB64" s="29"/>
      <c r="AC64" s="29"/>
      <c r="AD64" s="37">
        <f t="shared" si="8"/>
        <v>28069</v>
      </c>
      <c r="AE64" s="3" t="str">
        <f t="shared" ca="1" si="4"/>
        <v>49 Tahun 9 bulan 27 Hari</v>
      </c>
      <c r="AF64" s="38">
        <f t="shared" si="9"/>
        <v>50010</v>
      </c>
    </row>
    <row r="65" spans="1:32" s="306" customFormat="1" ht="32.15" customHeight="1" x14ac:dyDescent="0.35">
      <c r="A65" s="26">
        <f t="shared" si="5"/>
        <v>58</v>
      </c>
      <c r="B65" s="27" t="s">
        <v>227</v>
      </c>
      <c r="C65" s="26"/>
      <c r="D65" s="46" t="s">
        <v>256</v>
      </c>
      <c r="E65" s="24" t="s">
        <v>257</v>
      </c>
      <c r="F65" s="24" t="s">
        <v>43</v>
      </c>
      <c r="G65" s="3" t="s">
        <v>258</v>
      </c>
      <c r="H65" s="36" t="s">
        <v>259</v>
      </c>
      <c r="I65" s="33" t="s">
        <v>46</v>
      </c>
      <c r="J65" s="5" t="s">
        <v>255</v>
      </c>
      <c r="K65" s="3" t="str">
        <f t="shared" ca="1" si="0"/>
        <v xml:space="preserve">3 Tahun 8 bulan </v>
      </c>
      <c r="L65" s="30" t="s">
        <v>88</v>
      </c>
      <c r="M65" s="5" t="s">
        <v>255</v>
      </c>
      <c r="N65" s="3" t="str">
        <f t="shared" ca="1" si="1"/>
        <v xml:space="preserve">3 Tahun 8 bulan </v>
      </c>
      <c r="O65" s="4"/>
      <c r="P65" s="4" t="s">
        <v>35</v>
      </c>
      <c r="Q65" s="4" t="str">
        <f t="shared" si="2"/>
        <v>Perempuan</v>
      </c>
      <c r="R65" s="4">
        <f t="shared" si="14"/>
        <v>1</v>
      </c>
      <c r="S65" s="4" t="str">
        <f t="shared" si="13"/>
        <v>1</v>
      </c>
      <c r="T65" s="4">
        <f t="shared" si="7"/>
        <v>0</v>
      </c>
      <c r="U65" s="29"/>
      <c r="V65" s="30"/>
      <c r="W65" s="30"/>
      <c r="X65" s="30"/>
      <c r="Y65" s="30"/>
      <c r="Z65" s="30"/>
      <c r="AA65" s="30"/>
      <c r="AB65" s="29"/>
      <c r="AC65" s="29"/>
      <c r="AD65" s="37">
        <f t="shared" si="8"/>
        <v>31072</v>
      </c>
      <c r="AE65" s="3" t="str">
        <f t="shared" ca="1" si="4"/>
        <v>41 Tahun 7 bulan 7 Hari</v>
      </c>
      <c r="AF65" s="38">
        <f t="shared" si="9"/>
        <v>52994</v>
      </c>
    </row>
    <row r="66" spans="1:32" s="306" customFormat="1" ht="32.15" customHeight="1" x14ac:dyDescent="0.35">
      <c r="A66" s="26">
        <f t="shared" si="5"/>
        <v>59</v>
      </c>
      <c r="B66" s="27" t="s">
        <v>227</v>
      </c>
      <c r="C66" s="26"/>
      <c r="D66" s="46" t="s">
        <v>260</v>
      </c>
      <c r="E66" s="24" t="s">
        <v>108</v>
      </c>
      <c r="F66" s="24"/>
      <c r="G66" s="3"/>
      <c r="H66" s="36"/>
      <c r="I66" s="41"/>
      <c r="J66" s="5"/>
      <c r="K66" s="3" t="str">
        <f t="shared" ca="1" si="0"/>
        <v/>
      </c>
      <c r="L66" s="30" t="s">
        <v>88</v>
      </c>
      <c r="M66" s="5"/>
      <c r="N66" s="3" t="str">
        <f t="shared" ca="1" si="1"/>
        <v/>
      </c>
      <c r="O66" s="36"/>
      <c r="P66" s="4"/>
      <c r="Q66" s="4" t="str">
        <f t="shared" si="2"/>
        <v/>
      </c>
      <c r="R66" s="4">
        <f t="shared" si="14"/>
        <v>1</v>
      </c>
      <c r="S66" s="4" t="str">
        <f t="shared" si="13"/>
        <v>0</v>
      </c>
      <c r="T66" s="4">
        <f t="shared" si="7"/>
        <v>1</v>
      </c>
      <c r="U66" s="29"/>
      <c r="V66" s="30"/>
      <c r="W66" s="30"/>
      <c r="X66" s="30"/>
      <c r="Y66" s="30"/>
      <c r="Z66" s="30"/>
      <c r="AA66" s="30"/>
      <c r="AB66" s="29"/>
      <c r="AC66" s="29"/>
      <c r="AD66" s="37" t="str">
        <f t="shared" si="8"/>
        <v/>
      </c>
      <c r="AE66" s="3" t="str">
        <f t="shared" ca="1" si="4"/>
        <v/>
      </c>
      <c r="AF66" s="38" t="str">
        <f t="shared" si="9"/>
        <v/>
      </c>
    </row>
    <row r="67" spans="1:32" s="306" customFormat="1" ht="32.15" customHeight="1" x14ac:dyDescent="0.35">
      <c r="A67" s="26">
        <f t="shared" si="5"/>
        <v>60</v>
      </c>
      <c r="B67" s="27" t="s">
        <v>227</v>
      </c>
      <c r="C67" s="256" t="s">
        <v>261</v>
      </c>
      <c r="D67" s="257"/>
      <c r="E67" s="45" t="s">
        <v>2929</v>
      </c>
      <c r="F67" s="24" t="s">
        <v>43</v>
      </c>
      <c r="G67" s="44" t="s">
        <v>2930</v>
      </c>
      <c r="H67" s="36" t="s">
        <v>2931</v>
      </c>
      <c r="I67" s="33"/>
      <c r="J67" s="53">
        <v>46132</v>
      </c>
      <c r="K67" s="3" t="str">
        <f t="shared" ca="1" si="0"/>
        <v xml:space="preserve">0 Tahun 4 bulan </v>
      </c>
      <c r="L67" s="36" t="s">
        <v>79</v>
      </c>
      <c r="M67" s="53">
        <v>46132</v>
      </c>
      <c r="N67" s="3" t="str">
        <f t="shared" ca="1" si="1"/>
        <v xml:space="preserve">0 Tahun 4 bulan </v>
      </c>
      <c r="O67" s="4"/>
      <c r="P67" s="4" t="s">
        <v>35</v>
      </c>
      <c r="Q67" s="4" t="str">
        <f t="shared" si="2"/>
        <v>Laki-Laki</v>
      </c>
      <c r="R67" s="4">
        <f t="shared" si="14"/>
        <v>1</v>
      </c>
      <c r="S67" s="4" t="str">
        <f t="shared" si="13"/>
        <v>1</v>
      </c>
      <c r="T67" s="4">
        <f t="shared" si="7"/>
        <v>0</v>
      </c>
      <c r="U67" s="29"/>
      <c r="V67" s="30" t="s">
        <v>50</v>
      </c>
      <c r="W67" s="30"/>
      <c r="X67" s="30"/>
      <c r="Y67" s="30"/>
      <c r="Z67" s="30"/>
      <c r="AA67" s="30"/>
      <c r="AB67" s="29"/>
      <c r="AC67" s="29"/>
      <c r="AD67" s="37">
        <f t="shared" si="8"/>
        <v>29416</v>
      </c>
      <c r="AE67" s="3" t="str">
        <f t="shared" ca="1" si="4"/>
        <v>46 Tahun 1 bulan 18 Hari</v>
      </c>
      <c r="AF67" s="38">
        <f t="shared" si="9"/>
        <v>51349</v>
      </c>
    </row>
    <row r="68" spans="1:32" s="306" customFormat="1" ht="32.15" customHeight="1" x14ac:dyDescent="0.35">
      <c r="A68" s="26">
        <f t="shared" si="5"/>
        <v>61</v>
      </c>
      <c r="B68" s="27" t="s">
        <v>227</v>
      </c>
      <c r="C68" s="26"/>
      <c r="D68" s="46" t="s">
        <v>264</v>
      </c>
      <c r="E68" s="45" t="s">
        <v>265</v>
      </c>
      <c r="F68" s="24" t="s">
        <v>43</v>
      </c>
      <c r="G68" s="44" t="s">
        <v>266</v>
      </c>
      <c r="H68" s="4" t="s">
        <v>135</v>
      </c>
      <c r="I68" s="33" t="s">
        <v>267</v>
      </c>
      <c r="J68" s="5" t="s">
        <v>87</v>
      </c>
      <c r="K68" s="3" t="str">
        <f t="shared" ca="1" si="0"/>
        <v xml:space="preserve">4 Tahun 8 bulan </v>
      </c>
      <c r="L68" s="30" t="s">
        <v>88</v>
      </c>
      <c r="M68" s="5" t="s">
        <v>87</v>
      </c>
      <c r="N68" s="3" t="str">
        <f t="shared" ca="1" si="1"/>
        <v xml:space="preserve">4 Tahun 8 bulan </v>
      </c>
      <c r="O68" s="4"/>
      <c r="P68" s="4" t="s">
        <v>35</v>
      </c>
      <c r="Q68" s="4" t="str">
        <f t="shared" si="2"/>
        <v>Perempuan</v>
      </c>
      <c r="R68" s="4">
        <f t="shared" si="14"/>
        <v>1</v>
      </c>
      <c r="S68" s="4" t="str">
        <f t="shared" si="13"/>
        <v>1</v>
      </c>
      <c r="T68" s="4">
        <f t="shared" si="7"/>
        <v>0</v>
      </c>
      <c r="U68" s="29"/>
      <c r="V68" s="30"/>
      <c r="W68" s="30"/>
      <c r="X68" s="30"/>
      <c r="Y68" s="30"/>
      <c r="Z68" s="30"/>
      <c r="AA68" s="30"/>
      <c r="AB68" s="29"/>
      <c r="AC68" s="29"/>
      <c r="AD68" s="37">
        <f t="shared" si="8"/>
        <v>28029</v>
      </c>
      <c r="AE68" s="3" t="str">
        <f t="shared" ca="1" si="4"/>
        <v>49 Tahun 11 bulan 6 Hari</v>
      </c>
      <c r="AF68" s="38">
        <f t="shared" si="9"/>
        <v>49949</v>
      </c>
    </row>
    <row r="69" spans="1:32" s="306" customFormat="1" ht="32.15" customHeight="1" x14ac:dyDescent="0.35">
      <c r="A69" s="26">
        <f t="shared" si="5"/>
        <v>62</v>
      </c>
      <c r="B69" s="27" t="s">
        <v>227</v>
      </c>
      <c r="C69" s="26"/>
      <c r="D69" s="46" t="s">
        <v>268</v>
      </c>
      <c r="E69" s="45" t="s">
        <v>269</v>
      </c>
      <c r="F69" s="24" t="s">
        <v>43</v>
      </c>
      <c r="G69" s="44" t="s">
        <v>270</v>
      </c>
      <c r="H69" s="4" t="s">
        <v>94</v>
      </c>
      <c r="I69" s="33" t="s">
        <v>67</v>
      </c>
      <c r="J69" s="5" t="s">
        <v>87</v>
      </c>
      <c r="K69" s="3" t="str">
        <f t="shared" ca="1" si="0"/>
        <v xml:space="preserve">4 Tahun 8 bulan </v>
      </c>
      <c r="L69" s="30" t="s">
        <v>88</v>
      </c>
      <c r="M69" s="5" t="s">
        <v>87</v>
      </c>
      <c r="N69" s="3" t="str">
        <f t="shared" ca="1" si="1"/>
        <v xml:space="preserve">4 Tahun 8 bulan </v>
      </c>
      <c r="O69" s="4"/>
      <c r="P69" s="4" t="s">
        <v>35</v>
      </c>
      <c r="Q69" s="4" t="str">
        <f t="shared" si="2"/>
        <v>Laki-Laki</v>
      </c>
      <c r="R69" s="4">
        <f t="shared" si="14"/>
        <v>1</v>
      </c>
      <c r="S69" s="4" t="str">
        <f t="shared" si="13"/>
        <v>1</v>
      </c>
      <c r="T69" s="4">
        <f t="shared" si="7"/>
        <v>0</v>
      </c>
      <c r="U69" s="29"/>
      <c r="V69" s="30" t="s">
        <v>50</v>
      </c>
      <c r="W69" s="30"/>
      <c r="X69" s="30"/>
      <c r="Y69" s="30"/>
      <c r="Z69" s="30"/>
      <c r="AA69" s="30"/>
      <c r="AB69" s="29"/>
      <c r="AC69" s="29"/>
      <c r="AD69" s="37">
        <f t="shared" si="8"/>
        <v>28438</v>
      </c>
      <c r="AE69" s="3" t="str">
        <f t="shared" ca="1" si="4"/>
        <v>48 Tahun 9 bulan 23 Hari</v>
      </c>
      <c r="AF69" s="38">
        <f t="shared" si="9"/>
        <v>50375</v>
      </c>
    </row>
    <row r="70" spans="1:32" s="306" customFormat="1" ht="32.15" customHeight="1" x14ac:dyDescent="0.35">
      <c r="A70" s="26">
        <f t="shared" si="5"/>
        <v>63</v>
      </c>
      <c r="B70" s="27" t="s">
        <v>227</v>
      </c>
      <c r="C70" s="256" t="s">
        <v>271</v>
      </c>
      <c r="D70" s="257"/>
      <c r="E70" s="45" t="s">
        <v>272</v>
      </c>
      <c r="F70" s="24" t="s">
        <v>43</v>
      </c>
      <c r="G70" s="44" t="s">
        <v>273</v>
      </c>
      <c r="H70" s="4" t="s">
        <v>274</v>
      </c>
      <c r="I70" s="36" t="s">
        <v>86</v>
      </c>
      <c r="J70" s="5" t="s">
        <v>275</v>
      </c>
      <c r="K70" s="3" t="str">
        <f t="shared" ca="1" si="0"/>
        <v xml:space="preserve">5 Tahun 10 bulan </v>
      </c>
      <c r="L70" s="36" t="s">
        <v>79</v>
      </c>
      <c r="M70" s="5" t="s">
        <v>275</v>
      </c>
      <c r="N70" s="3" t="str">
        <f t="shared" ca="1" si="1"/>
        <v xml:space="preserve">5 Tahun 10 bulan </v>
      </c>
      <c r="O70" s="60"/>
      <c r="P70" s="4"/>
      <c r="Q70" s="4" t="str">
        <f t="shared" si="2"/>
        <v>Perempuan</v>
      </c>
      <c r="R70" s="4">
        <f t="shared" si="14"/>
        <v>1</v>
      </c>
      <c r="S70" s="4" t="str">
        <f t="shared" si="13"/>
        <v>1</v>
      </c>
      <c r="T70" s="4">
        <f t="shared" si="7"/>
        <v>0</v>
      </c>
      <c r="U70" s="29"/>
      <c r="V70" s="30"/>
      <c r="W70" s="30"/>
      <c r="X70" s="30"/>
      <c r="Y70" s="30"/>
      <c r="Z70" s="30"/>
      <c r="AA70" s="30"/>
      <c r="AB70" s="29"/>
      <c r="AC70" s="29"/>
      <c r="AD70" s="37">
        <f t="shared" si="8"/>
        <v>30941</v>
      </c>
      <c r="AE70" s="3" t="str">
        <f t="shared" ca="1" si="4"/>
        <v>41 Tahun 11 bulan 16 Hari</v>
      </c>
      <c r="AF70" s="38">
        <f t="shared" si="9"/>
        <v>52871</v>
      </c>
    </row>
    <row r="71" spans="1:32" s="306" customFormat="1" ht="32.15" customHeight="1" x14ac:dyDescent="0.35">
      <c r="A71" s="26">
        <f t="shared" si="5"/>
        <v>64</v>
      </c>
      <c r="B71" s="27" t="s">
        <v>227</v>
      </c>
      <c r="C71" s="26"/>
      <c r="D71" s="46" t="s">
        <v>276</v>
      </c>
      <c r="E71" s="24" t="s">
        <v>277</v>
      </c>
      <c r="F71" s="24" t="s">
        <v>43</v>
      </c>
      <c r="G71" s="3" t="s">
        <v>278</v>
      </c>
      <c r="H71" s="4" t="s">
        <v>279</v>
      </c>
      <c r="I71" s="61" t="s">
        <v>86</v>
      </c>
      <c r="J71" s="5" t="s">
        <v>87</v>
      </c>
      <c r="K71" s="3" t="str">
        <f t="shared" ref="K71:K134" ca="1" si="15">IF(J71="","",CONCATENATE(DATEDIF(J71,NOW(),"Y")," Tahun ",DATEDIF(J71,NOW(),"YM")," bulan "))</f>
        <v xml:space="preserve">4 Tahun 8 bulan </v>
      </c>
      <c r="L71" s="30" t="s">
        <v>88</v>
      </c>
      <c r="M71" s="5" t="s">
        <v>87</v>
      </c>
      <c r="N71" s="3" t="str">
        <f t="shared" ref="N71:N134" ca="1" si="16">IF(M71="","",CONCATENATE(DATEDIF(M71,NOW(),"Y")," Tahun ",DATEDIF(M71,NOW(),"YM")," bulan "))</f>
        <v xml:space="preserve">4 Tahun 8 bulan </v>
      </c>
      <c r="O71" s="36"/>
      <c r="P71" s="4" t="s">
        <v>35</v>
      </c>
      <c r="Q71" s="4" t="str">
        <f t="shared" ref="Q71:Q134" si="17">CONCATENATE(IF(MID(G71,17,1)="1","Laki-Laki",IF(MID(G71,17,1)="2","Perempuan",)))</f>
        <v/>
      </c>
      <c r="R71" s="4">
        <f t="shared" si="14"/>
        <v>1</v>
      </c>
      <c r="S71" s="4" t="str">
        <f t="shared" si="13"/>
        <v>1</v>
      </c>
      <c r="T71" s="4">
        <f t="shared" si="7"/>
        <v>0</v>
      </c>
      <c r="U71" s="29"/>
      <c r="V71" s="30" t="s">
        <v>50</v>
      </c>
      <c r="W71" s="30"/>
      <c r="X71" s="30"/>
      <c r="Y71" s="30"/>
      <c r="Z71" s="30"/>
      <c r="AA71" s="30"/>
      <c r="AB71" s="29"/>
      <c r="AC71" s="29"/>
      <c r="AD71" s="37">
        <f t="shared" si="8"/>
        <v>25740</v>
      </c>
      <c r="AE71" s="3" t="str">
        <f t="shared" ref="AE71:AE134" ca="1" si="18">IF(TRIM(AD71)="", "", CONCATENATE(DATEDIF(AD71,NOW(),"Y")," Tahun ",DATEDIF(AD71,NOW(),"YM")," bulan ",DATEDIF(AD71,NOW(),"MD")," Hari"))</f>
        <v>56 Tahun 2 bulan 11 Hari</v>
      </c>
      <c r="AF71" s="38">
        <f t="shared" si="9"/>
        <v>47665</v>
      </c>
    </row>
    <row r="72" spans="1:32" s="306" customFormat="1" ht="32.15" customHeight="1" x14ac:dyDescent="0.35">
      <c r="A72" s="26">
        <f t="shared" ref="A72:A135" si="19">A71+1</f>
        <v>65</v>
      </c>
      <c r="B72" s="27" t="s">
        <v>227</v>
      </c>
      <c r="C72" s="26"/>
      <c r="D72" s="46" t="s">
        <v>280</v>
      </c>
      <c r="E72" s="45" t="s">
        <v>108</v>
      </c>
      <c r="F72" s="45"/>
      <c r="G72" s="44"/>
      <c r="H72" s="4"/>
      <c r="I72" s="36"/>
      <c r="J72" s="5"/>
      <c r="K72" s="3" t="str">
        <f t="shared" ca="1" si="15"/>
        <v/>
      </c>
      <c r="L72" s="30" t="s">
        <v>88</v>
      </c>
      <c r="M72" s="5"/>
      <c r="N72" s="3" t="str">
        <f t="shared" ca="1" si="16"/>
        <v/>
      </c>
      <c r="O72" s="4"/>
      <c r="P72" s="4"/>
      <c r="Q72" s="4" t="str">
        <f t="shared" si="17"/>
        <v/>
      </c>
      <c r="R72" s="4">
        <f t="shared" si="14"/>
        <v>1</v>
      </c>
      <c r="S72" s="4" t="str">
        <f t="shared" si="13"/>
        <v>0</v>
      </c>
      <c r="T72" s="4">
        <f t="shared" si="7"/>
        <v>1</v>
      </c>
      <c r="U72" s="29"/>
      <c r="V72" s="30"/>
      <c r="W72" s="30"/>
      <c r="X72" s="30"/>
      <c r="Y72" s="30"/>
      <c r="Z72" s="30"/>
      <c r="AA72" s="30"/>
      <c r="AB72" s="29"/>
      <c r="AC72" s="29"/>
      <c r="AD72" s="37" t="str">
        <f t="shared" ref="AD72:AD135" si="20">IF(TRIM(G72)="", "", DATE(LEFT(G72,4),MID(G72,5,2),MID(G72,7,2)))</f>
        <v/>
      </c>
      <c r="AE72" s="3" t="str">
        <f t="shared" ca="1" si="18"/>
        <v/>
      </c>
      <c r="AF72" s="38" t="str">
        <f t="shared" ref="AF72:AF135" si="21">IF(TRIM(AD72)="","",DATE(YEAR(AD72)+60,MONTH(AD72)+1,1))</f>
        <v/>
      </c>
    </row>
    <row r="73" spans="1:32" s="308" customFormat="1" ht="32.15" customHeight="1" x14ac:dyDescent="0.35">
      <c r="A73" s="4"/>
      <c r="B73" s="32" t="s">
        <v>283</v>
      </c>
      <c r="C73" s="269" t="s">
        <v>284</v>
      </c>
      <c r="D73" s="270"/>
      <c r="E73" s="271" t="str">
        <f ca="1">IF(J73="","",CONCATENATE(DATEDIF(J73,NOW(),"Y")," Tahun ",DATEDIF(J73,NOW(),"YM")," bulan "))</f>
        <v/>
      </c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3"/>
    </row>
    <row r="74" spans="1:32" s="306" customFormat="1" ht="32.15" customHeight="1" x14ac:dyDescent="0.35">
      <c r="A74" s="26">
        <f>A72+1</f>
        <v>66</v>
      </c>
      <c r="B74" s="27" t="s">
        <v>283</v>
      </c>
      <c r="C74" s="264" t="s">
        <v>285</v>
      </c>
      <c r="D74" s="265"/>
      <c r="E74" s="24" t="s">
        <v>286</v>
      </c>
      <c r="F74" s="24" t="s">
        <v>43</v>
      </c>
      <c r="G74" s="3" t="s">
        <v>54</v>
      </c>
      <c r="H74" s="4" t="s">
        <v>287</v>
      </c>
      <c r="I74" s="41"/>
      <c r="J74" s="5">
        <v>46048</v>
      </c>
      <c r="K74" s="3" t="str">
        <f t="shared" ca="1" si="15"/>
        <v xml:space="preserve">0 Tahun 7 bulan </v>
      </c>
      <c r="L74" s="30" t="s">
        <v>56</v>
      </c>
      <c r="M74" s="5">
        <v>46048</v>
      </c>
      <c r="N74" s="3" t="str">
        <f t="shared" ca="1" si="16"/>
        <v xml:space="preserve">0 Tahun 7 bulan </v>
      </c>
      <c r="O74" s="30"/>
      <c r="P74" s="4" t="s">
        <v>35</v>
      </c>
      <c r="Q74" s="4" t="str">
        <f t="shared" si="17"/>
        <v>Laki-Laki</v>
      </c>
      <c r="R74" s="4">
        <f>R72</f>
        <v>1</v>
      </c>
      <c r="S74" s="4" t="str">
        <f t="shared" ref="S74:S80" si="22">IF(E74="LOWONG","0","1")</f>
        <v>1</v>
      </c>
      <c r="T74" s="4">
        <f t="shared" si="7"/>
        <v>0</v>
      </c>
      <c r="U74" s="29"/>
      <c r="V74" s="30"/>
      <c r="W74" s="30"/>
      <c r="X74" s="30"/>
      <c r="Y74" s="30"/>
      <c r="Z74" s="30"/>
      <c r="AA74" s="30"/>
      <c r="AB74" s="29"/>
      <c r="AC74" s="29"/>
      <c r="AD74" s="37">
        <f t="shared" si="20"/>
        <v>24734</v>
      </c>
      <c r="AE74" s="3" t="str">
        <f t="shared" ca="1" si="18"/>
        <v>58 Tahun 11 bulan 13 Hari</v>
      </c>
      <c r="AF74" s="38">
        <f t="shared" si="21"/>
        <v>46661</v>
      </c>
    </row>
    <row r="75" spans="1:32" s="306" customFormat="1" ht="32.15" customHeight="1" x14ac:dyDescent="0.35">
      <c r="A75" s="26">
        <f t="shared" si="19"/>
        <v>67</v>
      </c>
      <c r="B75" s="27" t="s">
        <v>283</v>
      </c>
      <c r="C75" s="264" t="s">
        <v>288</v>
      </c>
      <c r="D75" s="265"/>
      <c r="E75" s="24" t="s">
        <v>289</v>
      </c>
      <c r="F75" s="24" t="s">
        <v>43</v>
      </c>
      <c r="G75" s="4" t="s">
        <v>290</v>
      </c>
      <c r="H75" s="4" t="s">
        <v>291</v>
      </c>
      <c r="I75" s="4" t="s">
        <v>46</v>
      </c>
      <c r="J75" s="5" t="s">
        <v>292</v>
      </c>
      <c r="K75" s="3" t="str">
        <f t="shared" ca="1" si="15"/>
        <v xml:space="preserve">7 Tahun 7 bulan </v>
      </c>
      <c r="L75" s="30" t="s">
        <v>79</v>
      </c>
      <c r="M75" s="5" t="s">
        <v>292</v>
      </c>
      <c r="N75" s="3" t="str">
        <f t="shared" ca="1" si="16"/>
        <v xml:space="preserve">7 Tahun 7 bulan </v>
      </c>
      <c r="O75" s="4" t="s">
        <v>293</v>
      </c>
      <c r="P75" s="4" t="s">
        <v>35</v>
      </c>
      <c r="Q75" s="4" t="str">
        <f t="shared" si="17"/>
        <v>Laki-Laki</v>
      </c>
      <c r="R75" s="4">
        <f t="shared" si="14"/>
        <v>1</v>
      </c>
      <c r="S75" s="4" t="str">
        <f t="shared" si="22"/>
        <v>1</v>
      </c>
      <c r="T75" s="4">
        <f t="shared" si="7"/>
        <v>0</v>
      </c>
      <c r="U75" s="29"/>
      <c r="V75" s="30" t="s">
        <v>50</v>
      </c>
      <c r="W75" s="30"/>
      <c r="X75" s="30"/>
      <c r="Y75" s="30"/>
      <c r="Z75" s="30"/>
      <c r="AA75" s="30"/>
      <c r="AB75" s="29"/>
      <c r="AC75" s="29"/>
      <c r="AD75" s="37">
        <f t="shared" si="20"/>
        <v>28353</v>
      </c>
      <c r="AE75" s="3" t="str">
        <f t="shared" ca="1" si="18"/>
        <v>49 Tahun 0 bulan 16 Hari</v>
      </c>
      <c r="AF75" s="38">
        <f t="shared" si="21"/>
        <v>50284</v>
      </c>
    </row>
    <row r="76" spans="1:32" s="306" customFormat="1" ht="32.15" customHeight="1" x14ac:dyDescent="0.35">
      <c r="A76" s="26">
        <f t="shared" si="19"/>
        <v>68</v>
      </c>
      <c r="B76" s="27" t="s">
        <v>283</v>
      </c>
      <c r="C76" s="26"/>
      <c r="D76" s="50" t="s">
        <v>294</v>
      </c>
      <c r="E76" s="24" t="s">
        <v>295</v>
      </c>
      <c r="F76" s="24" t="s">
        <v>43</v>
      </c>
      <c r="G76" s="4" t="s">
        <v>296</v>
      </c>
      <c r="H76" s="4" t="s">
        <v>297</v>
      </c>
      <c r="I76" s="33" t="s">
        <v>298</v>
      </c>
      <c r="J76" s="5" t="s">
        <v>87</v>
      </c>
      <c r="K76" s="3" t="str">
        <f t="shared" ca="1" si="15"/>
        <v xml:space="preserve">4 Tahun 8 bulan </v>
      </c>
      <c r="L76" s="30" t="s">
        <v>88</v>
      </c>
      <c r="M76" s="5" t="s">
        <v>87</v>
      </c>
      <c r="N76" s="3" t="str">
        <f t="shared" ca="1" si="16"/>
        <v xml:space="preserve">4 Tahun 8 bulan </v>
      </c>
      <c r="O76" s="4"/>
      <c r="P76" s="4" t="s">
        <v>35</v>
      </c>
      <c r="Q76" s="4" t="str">
        <f t="shared" si="17"/>
        <v>Perempuan</v>
      </c>
      <c r="R76" s="4">
        <f t="shared" si="14"/>
        <v>1</v>
      </c>
      <c r="S76" s="4" t="str">
        <f t="shared" si="22"/>
        <v>1</v>
      </c>
      <c r="T76" s="4">
        <f t="shared" si="7"/>
        <v>0</v>
      </c>
      <c r="U76" s="29"/>
      <c r="V76" s="30"/>
      <c r="W76" s="30"/>
      <c r="X76" s="30"/>
      <c r="Y76" s="30"/>
      <c r="Z76" s="30"/>
      <c r="AA76" s="30"/>
      <c r="AB76" s="29"/>
      <c r="AC76" s="29"/>
      <c r="AD76" s="37">
        <f t="shared" si="20"/>
        <v>33685</v>
      </c>
      <c r="AE76" s="3" t="str">
        <f t="shared" ca="1" si="18"/>
        <v>34 Tahun 5 bulan 10 Hari</v>
      </c>
      <c r="AF76" s="38">
        <f t="shared" si="21"/>
        <v>55610</v>
      </c>
    </row>
    <row r="77" spans="1:32" s="306" customFormat="1" ht="32.15" customHeight="1" x14ac:dyDescent="0.35">
      <c r="A77" s="26">
        <f t="shared" si="19"/>
        <v>69</v>
      </c>
      <c r="B77" s="27" t="s">
        <v>283</v>
      </c>
      <c r="C77" s="26"/>
      <c r="D77" s="50" t="s">
        <v>299</v>
      </c>
      <c r="E77" s="45" t="s">
        <v>300</v>
      </c>
      <c r="F77" s="24" t="s">
        <v>43</v>
      </c>
      <c r="G77" s="44" t="s">
        <v>301</v>
      </c>
      <c r="H77" s="4" t="s">
        <v>259</v>
      </c>
      <c r="I77" s="33" t="s">
        <v>302</v>
      </c>
      <c r="J77" s="5" t="s">
        <v>87</v>
      </c>
      <c r="K77" s="3" t="str">
        <f t="shared" ca="1" si="15"/>
        <v xml:space="preserve">4 Tahun 8 bulan </v>
      </c>
      <c r="L77" s="30" t="s">
        <v>88</v>
      </c>
      <c r="M77" s="5" t="s">
        <v>87</v>
      </c>
      <c r="N77" s="3" t="str">
        <f t="shared" ca="1" si="16"/>
        <v xml:space="preserve">4 Tahun 8 bulan </v>
      </c>
      <c r="O77" s="36"/>
      <c r="P77" s="4" t="s">
        <v>35</v>
      </c>
      <c r="Q77" s="4" t="str">
        <f t="shared" si="17"/>
        <v>Perempuan</v>
      </c>
      <c r="R77" s="4">
        <f t="shared" si="14"/>
        <v>1</v>
      </c>
      <c r="S77" s="4" t="str">
        <f t="shared" si="22"/>
        <v>1</v>
      </c>
      <c r="T77" s="4">
        <f t="shared" si="7"/>
        <v>0</v>
      </c>
      <c r="U77" s="29"/>
      <c r="V77" s="30"/>
      <c r="W77" s="30"/>
      <c r="X77" s="30"/>
      <c r="Y77" s="30"/>
      <c r="Z77" s="30"/>
      <c r="AA77" s="30"/>
      <c r="AB77" s="29"/>
      <c r="AC77" s="29"/>
      <c r="AD77" s="37">
        <f t="shared" si="20"/>
        <v>29249</v>
      </c>
      <c r="AE77" s="3" t="str">
        <f t="shared" ca="1" si="18"/>
        <v>46 Tahun 7 bulan 3 Hari</v>
      </c>
      <c r="AF77" s="38">
        <f t="shared" si="21"/>
        <v>51167</v>
      </c>
    </row>
    <row r="78" spans="1:32" s="306" customFormat="1" ht="32.15" customHeight="1" x14ac:dyDescent="0.35">
      <c r="A78" s="26">
        <f t="shared" si="19"/>
        <v>70</v>
      </c>
      <c r="B78" s="27" t="s">
        <v>283</v>
      </c>
      <c r="C78" s="26"/>
      <c r="D78" s="50" t="s">
        <v>2924</v>
      </c>
      <c r="E78" s="24" t="s">
        <v>2947</v>
      </c>
      <c r="F78" s="24" t="s">
        <v>43</v>
      </c>
      <c r="G78" s="4" t="s">
        <v>2948</v>
      </c>
      <c r="H78" s="4" t="s">
        <v>135</v>
      </c>
      <c r="I78" s="4" t="s">
        <v>2949</v>
      </c>
      <c r="J78" s="5">
        <v>46198</v>
      </c>
      <c r="K78" s="3" t="str">
        <f t="shared" ca="1" si="15"/>
        <v xml:space="preserve">0 Tahun 2 bulan </v>
      </c>
      <c r="L78" s="30" t="s">
        <v>200</v>
      </c>
      <c r="M78" s="5">
        <v>46198</v>
      </c>
      <c r="N78" s="3" t="str">
        <f t="shared" ca="1" si="16"/>
        <v xml:space="preserve">0 Tahun 2 bulan </v>
      </c>
      <c r="O78" s="24"/>
      <c r="P78" s="4" t="s">
        <v>35</v>
      </c>
      <c r="Q78" s="4" t="str">
        <f t="shared" si="17"/>
        <v>Laki-Laki</v>
      </c>
      <c r="R78" s="4">
        <f t="shared" si="14"/>
        <v>1</v>
      </c>
      <c r="S78" s="4" t="str">
        <f t="shared" si="22"/>
        <v>1</v>
      </c>
      <c r="T78" s="4">
        <f t="shared" ref="T78:T146" si="23">R78-S78</f>
        <v>0</v>
      </c>
      <c r="U78" s="29"/>
      <c r="V78" s="30" t="s">
        <v>50</v>
      </c>
      <c r="W78" s="30"/>
      <c r="X78" s="30"/>
      <c r="Y78" s="30"/>
      <c r="Z78" s="30"/>
      <c r="AA78" s="30"/>
      <c r="AB78" s="29"/>
      <c r="AC78" s="29"/>
      <c r="AD78" s="37">
        <f t="shared" si="20"/>
        <v>30551</v>
      </c>
      <c r="AE78" s="3" t="str">
        <f t="shared" ca="1" si="18"/>
        <v>43 Tahun 0 bulan 9 Hari</v>
      </c>
      <c r="AF78" s="38">
        <f t="shared" si="21"/>
        <v>52475</v>
      </c>
    </row>
    <row r="79" spans="1:32" s="306" customFormat="1" ht="32.15" customHeight="1" x14ac:dyDescent="0.35">
      <c r="A79" s="26">
        <f t="shared" si="19"/>
        <v>71</v>
      </c>
      <c r="B79" s="27" t="s">
        <v>283</v>
      </c>
      <c r="C79" s="264" t="s">
        <v>304</v>
      </c>
      <c r="D79" s="265"/>
      <c r="E79" s="45" t="s">
        <v>305</v>
      </c>
      <c r="F79" s="24" t="s">
        <v>43</v>
      </c>
      <c r="G79" s="44" t="s">
        <v>306</v>
      </c>
      <c r="H79" s="4" t="s">
        <v>126</v>
      </c>
      <c r="I79" s="4" t="s">
        <v>307</v>
      </c>
      <c r="J79" s="5">
        <v>45916</v>
      </c>
      <c r="K79" s="3" t="str">
        <f t="shared" ca="1" si="15"/>
        <v xml:space="preserve">0 Tahun 11 bulan </v>
      </c>
      <c r="L79" s="30" t="s">
        <v>79</v>
      </c>
      <c r="M79" s="5">
        <v>45916</v>
      </c>
      <c r="N79" s="3" t="str">
        <f t="shared" ca="1" si="16"/>
        <v xml:space="preserve">0 Tahun 11 bulan </v>
      </c>
      <c r="O79" s="4" t="s">
        <v>81</v>
      </c>
      <c r="P79" s="4" t="s">
        <v>35</v>
      </c>
      <c r="Q79" s="4" t="str">
        <f t="shared" si="17"/>
        <v>Laki-Laki</v>
      </c>
      <c r="R79" s="4">
        <f t="shared" si="14"/>
        <v>1</v>
      </c>
      <c r="S79" s="4" t="str">
        <f t="shared" si="22"/>
        <v>1</v>
      </c>
      <c r="T79" s="4">
        <f t="shared" si="23"/>
        <v>0</v>
      </c>
      <c r="U79" s="29"/>
      <c r="V79" s="30" t="s">
        <v>50</v>
      </c>
      <c r="W79" s="30"/>
      <c r="X79" s="30"/>
      <c r="Y79" s="30"/>
      <c r="Z79" s="30"/>
      <c r="AA79" s="30"/>
      <c r="AB79" s="29"/>
      <c r="AC79" s="29"/>
      <c r="AD79" s="37">
        <f t="shared" si="20"/>
        <v>25966</v>
      </c>
      <c r="AE79" s="3" t="str">
        <f t="shared" ca="1" si="18"/>
        <v>55 Tahun 6 bulan 30 Hari</v>
      </c>
      <c r="AF79" s="38">
        <f t="shared" si="21"/>
        <v>47908</v>
      </c>
    </row>
    <row r="80" spans="1:32" s="306" customFormat="1" ht="32.15" customHeight="1" x14ac:dyDescent="0.35">
      <c r="A80" s="26">
        <f t="shared" si="19"/>
        <v>72</v>
      </c>
      <c r="B80" s="27" t="s">
        <v>283</v>
      </c>
      <c r="C80" s="264" t="s">
        <v>308</v>
      </c>
      <c r="D80" s="265"/>
      <c r="E80" s="24" t="s">
        <v>3030</v>
      </c>
      <c r="F80" s="24" t="s">
        <v>71</v>
      </c>
      <c r="G80" s="3" t="s">
        <v>3031</v>
      </c>
      <c r="H80" s="36" t="s">
        <v>3032</v>
      </c>
      <c r="I80" s="33" t="s">
        <v>1027</v>
      </c>
      <c r="J80" s="5"/>
      <c r="K80" s="3" t="str">
        <f t="shared" ca="1" si="15"/>
        <v/>
      </c>
      <c r="L80" s="30" t="s">
        <v>79</v>
      </c>
      <c r="M80" s="5"/>
      <c r="N80" s="3" t="str">
        <f t="shared" ca="1" si="16"/>
        <v/>
      </c>
      <c r="O80" s="4"/>
      <c r="P80" s="4"/>
      <c r="Q80" s="4" t="str">
        <f t="shared" si="17"/>
        <v>Laki-Laki</v>
      </c>
      <c r="R80" s="4">
        <f t="shared" si="14"/>
        <v>1</v>
      </c>
      <c r="S80" s="4" t="str">
        <f t="shared" si="22"/>
        <v>1</v>
      </c>
      <c r="T80" s="4">
        <f t="shared" si="23"/>
        <v>0</v>
      </c>
      <c r="U80" s="29"/>
      <c r="V80" s="30" t="s">
        <v>50</v>
      </c>
      <c r="W80" s="30"/>
      <c r="X80" s="30"/>
      <c r="Y80" s="30"/>
      <c r="Z80" s="30"/>
      <c r="AA80" s="30"/>
      <c r="AB80" s="29"/>
      <c r="AC80" s="29"/>
      <c r="AD80" s="37">
        <f t="shared" si="20"/>
        <v>27836</v>
      </c>
      <c r="AE80" s="3" t="str">
        <f t="shared" ca="1" si="18"/>
        <v>50 Tahun 5 bulan 15 Hari</v>
      </c>
      <c r="AF80" s="38">
        <f t="shared" si="21"/>
        <v>49766</v>
      </c>
    </row>
    <row r="81" spans="1:32" s="306" customFormat="1" ht="39.75" customHeight="1" x14ac:dyDescent="0.35">
      <c r="A81" s="26">
        <f t="shared" si="19"/>
        <v>73</v>
      </c>
      <c r="B81" s="27" t="s">
        <v>283</v>
      </c>
      <c r="C81" s="264" t="s">
        <v>309</v>
      </c>
      <c r="D81" s="265"/>
      <c r="E81" s="64" t="s">
        <v>310</v>
      </c>
      <c r="F81" s="24" t="s">
        <v>43</v>
      </c>
      <c r="G81" s="65" t="s">
        <v>1481</v>
      </c>
      <c r="H81" s="25" t="s">
        <v>2816</v>
      </c>
      <c r="I81" s="29" t="s">
        <v>46</v>
      </c>
      <c r="J81" s="5">
        <v>45993</v>
      </c>
      <c r="K81" s="3" t="str">
        <f t="shared" ca="1" si="15"/>
        <v xml:space="preserve">0 Tahun 8 bulan </v>
      </c>
      <c r="L81" s="30" t="s">
        <v>79</v>
      </c>
      <c r="M81" s="5"/>
      <c r="N81" s="3" t="str">
        <f t="shared" ca="1" si="16"/>
        <v/>
      </c>
      <c r="O81" s="36"/>
      <c r="P81" s="4" t="s">
        <v>35</v>
      </c>
      <c r="Q81" s="4" t="str">
        <f t="shared" si="17"/>
        <v>Laki-Laki</v>
      </c>
      <c r="R81" s="4">
        <f t="shared" si="14"/>
        <v>1</v>
      </c>
      <c r="S81" s="4" t="str">
        <f>IF(E79="LOWONG","0","1")</f>
        <v>1</v>
      </c>
      <c r="T81" s="4">
        <f t="shared" si="23"/>
        <v>0</v>
      </c>
      <c r="U81" s="29"/>
      <c r="V81" s="30" t="s">
        <v>50</v>
      </c>
      <c r="W81" s="30"/>
      <c r="X81" s="30"/>
      <c r="Y81" s="30"/>
      <c r="Z81" s="30"/>
      <c r="AA81" s="30"/>
      <c r="AB81" s="29"/>
      <c r="AC81" s="29"/>
      <c r="AD81" s="37">
        <f t="shared" si="20"/>
        <v>27344</v>
      </c>
      <c r="AE81" s="3" t="str">
        <f t="shared" ca="1" si="18"/>
        <v>51 Tahun 9 bulan 21 Hari</v>
      </c>
      <c r="AF81" s="38">
        <f t="shared" si="21"/>
        <v>49279</v>
      </c>
    </row>
    <row r="82" spans="1:32" s="306" customFormat="1" ht="32.15" customHeight="1" x14ac:dyDescent="0.35">
      <c r="A82" s="26">
        <f t="shared" si="19"/>
        <v>74</v>
      </c>
      <c r="B82" s="27" t="s">
        <v>283</v>
      </c>
      <c r="C82" s="264" t="s">
        <v>311</v>
      </c>
      <c r="D82" s="265"/>
      <c r="E82" s="24" t="s">
        <v>2926</v>
      </c>
      <c r="F82" s="24" t="s">
        <v>43</v>
      </c>
      <c r="G82" s="4" t="s">
        <v>2927</v>
      </c>
      <c r="H82" s="4" t="s">
        <v>2928</v>
      </c>
      <c r="I82" s="4"/>
      <c r="J82" s="5">
        <v>46133</v>
      </c>
      <c r="K82" s="3" t="str">
        <f t="shared" ca="1" si="15"/>
        <v xml:space="preserve">0 Tahun 4 bulan </v>
      </c>
      <c r="L82" s="30" t="s">
        <v>79</v>
      </c>
      <c r="M82" s="5">
        <v>46133</v>
      </c>
      <c r="N82" s="3" t="str">
        <f t="shared" ca="1" si="16"/>
        <v xml:space="preserve">0 Tahun 4 bulan </v>
      </c>
      <c r="O82" s="4" t="s">
        <v>315</v>
      </c>
      <c r="P82" s="4"/>
      <c r="Q82" s="4" t="str">
        <f t="shared" si="17"/>
        <v>Laki-Laki</v>
      </c>
      <c r="R82" s="4">
        <f t="shared" si="14"/>
        <v>1</v>
      </c>
      <c r="S82" s="4" t="str">
        <f>IF(E82="LOWONG","0","1")</f>
        <v>1</v>
      </c>
      <c r="T82" s="4">
        <f t="shared" si="23"/>
        <v>0</v>
      </c>
      <c r="U82" s="29"/>
      <c r="V82" s="30" t="s">
        <v>50</v>
      </c>
      <c r="W82" s="30"/>
      <c r="X82" s="30"/>
      <c r="Y82" s="30"/>
      <c r="Z82" s="30"/>
      <c r="AA82" s="30"/>
      <c r="AB82" s="29"/>
      <c r="AC82" s="29"/>
      <c r="AD82" s="37">
        <f t="shared" si="20"/>
        <v>29207</v>
      </c>
      <c r="AE82" s="3" t="str">
        <f t="shared" ca="1" si="18"/>
        <v>46 Tahun 8 bulan 14 Hari</v>
      </c>
      <c r="AF82" s="38">
        <f t="shared" si="21"/>
        <v>51136</v>
      </c>
    </row>
    <row r="83" spans="1:32" s="306" customFormat="1" ht="32.15" customHeight="1" x14ac:dyDescent="0.35">
      <c r="A83" s="26">
        <f t="shared" si="19"/>
        <v>75</v>
      </c>
      <c r="B83" s="27" t="s">
        <v>283</v>
      </c>
      <c r="C83" s="264" t="s">
        <v>316</v>
      </c>
      <c r="D83" s="265"/>
      <c r="E83" s="45" t="s">
        <v>317</v>
      </c>
      <c r="F83" s="24" t="s">
        <v>43</v>
      </c>
      <c r="G83" s="44" t="s">
        <v>318</v>
      </c>
      <c r="H83" s="4" t="s">
        <v>231</v>
      </c>
      <c r="I83" s="4" t="s">
        <v>232</v>
      </c>
      <c r="J83" s="5" t="s">
        <v>314</v>
      </c>
      <c r="K83" s="3" t="str">
        <f t="shared" ca="1" si="15"/>
        <v xml:space="preserve">6 Tahun 4 bulan </v>
      </c>
      <c r="L83" s="30" t="s">
        <v>79</v>
      </c>
      <c r="M83" s="5" t="s">
        <v>314</v>
      </c>
      <c r="N83" s="3" t="str">
        <f t="shared" ca="1" si="16"/>
        <v xml:space="preserve">6 Tahun 4 bulan </v>
      </c>
      <c r="O83" s="36"/>
      <c r="P83" s="4" t="s">
        <v>35</v>
      </c>
      <c r="Q83" s="4" t="str">
        <f t="shared" si="17"/>
        <v>Laki-Laki</v>
      </c>
      <c r="R83" s="4">
        <f t="shared" si="14"/>
        <v>1</v>
      </c>
      <c r="S83" s="4" t="str">
        <f>IF(E83="LOWONG","0","1")</f>
        <v>1</v>
      </c>
      <c r="T83" s="4">
        <f t="shared" si="23"/>
        <v>0</v>
      </c>
      <c r="U83" s="29"/>
      <c r="V83" s="30" t="s">
        <v>50</v>
      </c>
      <c r="W83" s="30"/>
      <c r="X83" s="30"/>
      <c r="Y83" s="30"/>
      <c r="Z83" s="30"/>
      <c r="AA83" s="30"/>
      <c r="AB83" s="29"/>
      <c r="AC83" s="29"/>
      <c r="AD83" s="37">
        <f t="shared" si="20"/>
        <v>27668</v>
      </c>
      <c r="AE83" s="3" t="str">
        <f t="shared" ca="1" si="18"/>
        <v>50 Tahun 11 bulan 0 Hari</v>
      </c>
      <c r="AF83" s="38">
        <f t="shared" si="21"/>
        <v>49614</v>
      </c>
    </row>
    <row r="84" spans="1:32" s="308" customFormat="1" ht="32.15" customHeight="1" x14ac:dyDescent="0.35">
      <c r="A84" s="4"/>
      <c r="B84" s="32" t="s">
        <v>319</v>
      </c>
      <c r="C84" s="269" t="s">
        <v>320</v>
      </c>
      <c r="D84" s="270"/>
      <c r="E84" s="24"/>
      <c r="F84" s="24"/>
      <c r="G84" s="4"/>
      <c r="H84" s="4"/>
      <c r="I84" s="33"/>
      <c r="J84" s="34"/>
      <c r="K84" s="3" t="str">
        <f t="shared" ca="1" si="15"/>
        <v/>
      </c>
      <c r="L84" s="25"/>
      <c r="M84" s="34"/>
      <c r="N84" s="3" t="str">
        <f t="shared" ca="1" si="16"/>
        <v/>
      </c>
      <c r="O84" s="4"/>
      <c r="P84" s="4"/>
      <c r="Q84" s="4"/>
      <c r="R84" s="4"/>
      <c r="S84" s="4"/>
      <c r="T84" s="4"/>
      <c r="U84" s="35"/>
      <c r="V84" s="25"/>
      <c r="W84" s="25"/>
      <c r="X84" s="25"/>
      <c r="Y84" s="25"/>
      <c r="Z84" s="25"/>
      <c r="AA84" s="25"/>
      <c r="AB84" s="35"/>
      <c r="AC84" s="35"/>
      <c r="AD84" s="37" t="str">
        <f t="shared" si="20"/>
        <v/>
      </c>
      <c r="AE84" s="3" t="str">
        <f t="shared" ca="1" si="18"/>
        <v/>
      </c>
      <c r="AF84" s="38" t="str">
        <f t="shared" si="21"/>
        <v/>
      </c>
    </row>
    <row r="85" spans="1:32" s="306" customFormat="1" ht="32.15" customHeight="1" x14ac:dyDescent="0.35">
      <c r="A85" s="26">
        <f>A83+1</f>
        <v>76</v>
      </c>
      <c r="B85" s="27" t="s">
        <v>319</v>
      </c>
      <c r="C85" s="276" t="s">
        <v>321</v>
      </c>
      <c r="D85" s="277"/>
      <c r="E85" s="45" t="s">
        <v>327</v>
      </c>
      <c r="F85" s="24" t="s">
        <v>71</v>
      </c>
      <c r="G85" s="44" t="s">
        <v>328</v>
      </c>
      <c r="H85" s="36" t="s">
        <v>126</v>
      </c>
      <c r="I85" s="48" t="s">
        <v>46</v>
      </c>
      <c r="J85" s="5">
        <v>46260</v>
      </c>
      <c r="K85" s="3" t="str">
        <f t="shared" ca="1" si="15"/>
        <v xml:space="preserve">0 Tahun 0 bulan </v>
      </c>
      <c r="L85" s="30" t="s">
        <v>56</v>
      </c>
      <c r="M85" s="5">
        <v>46260</v>
      </c>
      <c r="N85" s="3" t="str">
        <f t="shared" ca="1" si="16"/>
        <v xml:space="preserve">0 Tahun 0 bulan </v>
      </c>
      <c r="O85" s="25" t="s">
        <v>81</v>
      </c>
      <c r="P85" s="4" t="s">
        <v>35</v>
      </c>
      <c r="Q85" s="4" t="str">
        <f t="shared" si="17"/>
        <v>Laki-Laki</v>
      </c>
      <c r="R85" s="4">
        <f>R83</f>
        <v>1</v>
      </c>
      <c r="S85" s="4" t="str">
        <f t="shared" ref="S85:S101" si="24">IF(E85="LOWONG","0","1")</f>
        <v>1</v>
      </c>
      <c r="T85" s="4">
        <f t="shared" si="23"/>
        <v>0</v>
      </c>
      <c r="U85" s="29"/>
      <c r="V85" s="30"/>
      <c r="W85" s="30"/>
      <c r="X85" s="30"/>
      <c r="Y85" s="30"/>
      <c r="Z85" s="30"/>
      <c r="AA85" s="30"/>
      <c r="AB85" s="29"/>
      <c r="AC85" s="29"/>
      <c r="AD85" s="37">
        <f t="shared" si="20"/>
        <v>25911</v>
      </c>
      <c r="AE85" s="3" t="str">
        <f t="shared" ca="1" si="18"/>
        <v>55 Tahun 8 bulan 23 Hari</v>
      </c>
      <c r="AF85" s="38">
        <f t="shared" si="21"/>
        <v>47849</v>
      </c>
    </row>
    <row r="86" spans="1:32" s="306" customFormat="1" ht="32.15" customHeight="1" x14ac:dyDescent="0.35">
      <c r="A86" s="26">
        <f t="shared" si="19"/>
        <v>77</v>
      </c>
      <c r="B86" s="27" t="s">
        <v>319</v>
      </c>
      <c r="C86" s="264" t="s">
        <v>326</v>
      </c>
      <c r="D86" s="265"/>
      <c r="E86" s="45" t="s">
        <v>327</v>
      </c>
      <c r="F86" s="24" t="s">
        <v>43</v>
      </c>
      <c r="G86" s="44" t="s">
        <v>328</v>
      </c>
      <c r="H86" s="36" t="s">
        <v>126</v>
      </c>
      <c r="I86" s="48" t="s">
        <v>46</v>
      </c>
      <c r="J86" s="5" t="s">
        <v>330</v>
      </c>
      <c r="K86" s="3" t="str">
        <f t="shared" ca="1" si="15"/>
        <v xml:space="preserve">3 Tahun 8 bulan </v>
      </c>
      <c r="L86" s="30" t="s">
        <v>79</v>
      </c>
      <c r="M86" s="5" t="s">
        <v>330</v>
      </c>
      <c r="N86" s="3" t="str">
        <f t="shared" ca="1" si="16"/>
        <v xml:space="preserve">3 Tahun 8 bulan </v>
      </c>
      <c r="O86" s="4"/>
      <c r="P86" s="4" t="s">
        <v>35</v>
      </c>
      <c r="Q86" s="4" t="str">
        <f t="shared" si="17"/>
        <v>Laki-Laki</v>
      </c>
      <c r="R86" s="4">
        <f t="shared" si="14"/>
        <v>1</v>
      </c>
      <c r="S86" s="4" t="str">
        <f t="shared" si="24"/>
        <v>1</v>
      </c>
      <c r="T86" s="4">
        <f t="shared" si="23"/>
        <v>0</v>
      </c>
      <c r="U86" s="29"/>
      <c r="V86" s="30" t="s">
        <v>50</v>
      </c>
      <c r="W86" s="30"/>
      <c r="X86" s="30"/>
      <c r="Y86" s="30"/>
      <c r="Z86" s="30"/>
      <c r="AA86" s="30"/>
      <c r="AB86" s="29"/>
      <c r="AC86" s="29"/>
      <c r="AD86" s="37">
        <f t="shared" si="20"/>
        <v>25911</v>
      </c>
      <c r="AE86" s="3" t="str">
        <f t="shared" ca="1" si="18"/>
        <v>55 Tahun 8 bulan 23 Hari</v>
      </c>
      <c r="AF86" s="38">
        <f t="shared" si="21"/>
        <v>47849</v>
      </c>
    </row>
    <row r="87" spans="1:32" s="306" customFormat="1" ht="32.15" customHeight="1" x14ac:dyDescent="0.35">
      <c r="A87" s="26">
        <f t="shared" si="19"/>
        <v>78</v>
      </c>
      <c r="B87" s="27" t="s">
        <v>319</v>
      </c>
      <c r="C87" s="26"/>
      <c r="D87" s="50" t="s">
        <v>331</v>
      </c>
      <c r="E87" s="24" t="s">
        <v>3065</v>
      </c>
      <c r="F87" s="24" t="s">
        <v>43</v>
      </c>
      <c r="G87" s="4" t="s">
        <v>3066</v>
      </c>
      <c r="H87" s="4" t="s">
        <v>259</v>
      </c>
      <c r="I87" s="41" t="s">
        <v>46</v>
      </c>
      <c r="J87" s="5">
        <v>46260</v>
      </c>
      <c r="K87" s="3" t="str">
        <f t="shared" ca="1" si="15"/>
        <v xml:space="preserve">0 Tahun 0 bulan </v>
      </c>
      <c r="L87" s="30" t="s">
        <v>200</v>
      </c>
      <c r="M87" s="5"/>
      <c r="N87" s="3" t="str">
        <f t="shared" ca="1" si="16"/>
        <v/>
      </c>
      <c r="O87" s="4"/>
      <c r="P87" s="4" t="s">
        <v>35</v>
      </c>
      <c r="Q87" s="4" t="str">
        <f t="shared" si="17"/>
        <v>Laki-Laki</v>
      </c>
      <c r="R87" s="4">
        <f t="shared" si="14"/>
        <v>1</v>
      </c>
      <c r="S87" s="4" t="str">
        <f t="shared" si="24"/>
        <v>1</v>
      </c>
      <c r="T87" s="4">
        <f t="shared" si="23"/>
        <v>0</v>
      </c>
      <c r="U87" s="29"/>
      <c r="V87" s="30" t="s">
        <v>50</v>
      </c>
      <c r="W87" s="30"/>
      <c r="X87" s="30"/>
      <c r="Y87" s="30"/>
      <c r="Z87" s="30"/>
      <c r="AA87" s="30"/>
      <c r="AB87" s="29"/>
      <c r="AC87" s="29"/>
      <c r="AD87" s="37">
        <f t="shared" si="20"/>
        <v>27194</v>
      </c>
      <c r="AE87" s="3" t="str">
        <f t="shared" ca="1" si="18"/>
        <v>52 Tahun 2 bulan 18 Hari</v>
      </c>
      <c r="AF87" s="38">
        <f t="shared" si="21"/>
        <v>49126</v>
      </c>
    </row>
    <row r="88" spans="1:32" s="306" customFormat="1" ht="32.15" customHeight="1" x14ac:dyDescent="0.35">
      <c r="A88" s="26">
        <f t="shared" si="19"/>
        <v>79</v>
      </c>
      <c r="B88" s="27" t="s">
        <v>319</v>
      </c>
      <c r="C88" s="26"/>
      <c r="D88" s="50" t="s">
        <v>334</v>
      </c>
      <c r="E88" s="51" t="s">
        <v>335</v>
      </c>
      <c r="F88" s="24" t="s">
        <v>43</v>
      </c>
      <c r="G88" s="66" t="s">
        <v>336</v>
      </c>
      <c r="H88" s="4" t="s">
        <v>337</v>
      </c>
      <c r="I88" s="33" t="s">
        <v>107</v>
      </c>
      <c r="J88" s="5" t="s">
        <v>338</v>
      </c>
      <c r="K88" s="3" t="str">
        <f t="shared" ca="1" si="15"/>
        <v xml:space="preserve">2 Tahun 11 bulan </v>
      </c>
      <c r="L88" s="30" t="s">
        <v>200</v>
      </c>
      <c r="M88" s="5" t="s">
        <v>338</v>
      </c>
      <c r="N88" s="3" t="str">
        <f t="shared" ca="1" si="16"/>
        <v xml:space="preserve">2 Tahun 11 bulan </v>
      </c>
      <c r="O88" s="4"/>
      <c r="P88" s="4" t="s">
        <v>35</v>
      </c>
      <c r="Q88" s="4" t="str">
        <f t="shared" si="17"/>
        <v>Perempuan</v>
      </c>
      <c r="R88" s="4">
        <f t="shared" si="14"/>
        <v>1</v>
      </c>
      <c r="S88" s="4" t="str">
        <f t="shared" si="24"/>
        <v>1</v>
      </c>
      <c r="T88" s="4">
        <f t="shared" si="23"/>
        <v>0</v>
      </c>
      <c r="U88" s="29"/>
      <c r="V88" s="30"/>
      <c r="W88" s="30"/>
      <c r="X88" s="30"/>
      <c r="Y88" s="30"/>
      <c r="Z88" s="30"/>
      <c r="AA88" s="30"/>
      <c r="AB88" s="29"/>
      <c r="AC88" s="29"/>
      <c r="AD88" s="37">
        <f t="shared" si="20"/>
        <v>30039</v>
      </c>
      <c r="AE88" s="3" t="str">
        <f t="shared" ca="1" si="18"/>
        <v>44 Tahun 5 bulan 3 Hari</v>
      </c>
      <c r="AF88" s="38">
        <f t="shared" si="21"/>
        <v>51957</v>
      </c>
    </row>
    <row r="89" spans="1:32" s="306" customFormat="1" ht="32.15" customHeight="1" x14ac:dyDescent="0.35">
      <c r="A89" s="26">
        <f t="shared" si="19"/>
        <v>80</v>
      </c>
      <c r="B89" s="27" t="s">
        <v>319</v>
      </c>
      <c r="C89" s="26"/>
      <c r="D89" s="50" t="s">
        <v>339</v>
      </c>
      <c r="E89" s="24" t="s">
        <v>340</v>
      </c>
      <c r="F89" s="24" t="s">
        <v>43</v>
      </c>
      <c r="G89" s="4" t="s">
        <v>341</v>
      </c>
      <c r="H89" s="4" t="s">
        <v>135</v>
      </c>
      <c r="I89" s="41" t="s">
        <v>86</v>
      </c>
      <c r="J89" s="5" t="s">
        <v>338</v>
      </c>
      <c r="K89" s="3" t="str">
        <f t="shared" ca="1" si="15"/>
        <v xml:space="preserve">2 Tahun 11 bulan </v>
      </c>
      <c r="L89" s="30" t="s">
        <v>200</v>
      </c>
      <c r="M89" s="5" t="s">
        <v>338</v>
      </c>
      <c r="N89" s="3" t="str">
        <f t="shared" ca="1" si="16"/>
        <v xml:space="preserve">2 Tahun 11 bulan </v>
      </c>
      <c r="O89" s="4"/>
      <c r="P89" s="4" t="s">
        <v>35</v>
      </c>
      <c r="Q89" s="4" t="str">
        <f t="shared" si="17"/>
        <v>Laki-Laki</v>
      </c>
      <c r="R89" s="4">
        <f t="shared" si="14"/>
        <v>1</v>
      </c>
      <c r="S89" s="4" t="str">
        <f t="shared" si="24"/>
        <v>1</v>
      </c>
      <c r="T89" s="4">
        <f t="shared" si="23"/>
        <v>0</v>
      </c>
      <c r="U89" s="29"/>
      <c r="V89" s="30" t="s">
        <v>50</v>
      </c>
      <c r="W89" s="30"/>
      <c r="X89" s="30"/>
      <c r="Y89" s="30"/>
      <c r="Z89" s="30"/>
      <c r="AA89" s="30"/>
      <c r="AB89" s="29"/>
      <c r="AC89" s="29"/>
      <c r="AD89" s="37">
        <f t="shared" si="20"/>
        <v>29433</v>
      </c>
      <c r="AE89" s="3" t="str">
        <f t="shared" ca="1" si="18"/>
        <v>46 Tahun 1 bulan 1 Hari</v>
      </c>
      <c r="AF89" s="38">
        <f t="shared" si="21"/>
        <v>51349</v>
      </c>
    </row>
    <row r="90" spans="1:32" s="306" customFormat="1" ht="32.15" customHeight="1" x14ac:dyDescent="0.35">
      <c r="A90" s="26">
        <f t="shared" si="19"/>
        <v>81</v>
      </c>
      <c r="B90" s="27" t="s">
        <v>319</v>
      </c>
      <c r="C90" s="256" t="s">
        <v>342</v>
      </c>
      <c r="D90" s="257"/>
      <c r="E90" s="45" t="s">
        <v>343</v>
      </c>
      <c r="F90" s="24" t="s">
        <v>43</v>
      </c>
      <c r="G90" s="44" t="s">
        <v>344</v>
      </c>
      <c r="H90" s="4" t="s">
        <v>345</v>
      </c>
      <c r="I90" s="4" t="s">
        <v>184</v>
      </c>
      <c r="J90" s="5" t="s">
        <v>237</v>
      </c>
      <c r="K90" s="3" t="str">
        <f t="shared" ca="1" si="15"/>
        <v xml:space="preserve">4 Tahun 7 bulan </v>
      </c>
      <c r="L90" s="30" t="s">
        <v>346</v>
      </c>
      <c r="M90" s="5" t="s">
        <v>237</v>
      </c>
      <c r="N90" s="3" t="str">
        <f t="shared" ca="1" si="16"/>
        <v xml:space="preserve">4 Tahun 7 bulan </v>
      </c>
      <c r="O90" s="29"/>
      <c r="P90" s="4" t="s">
        <v>35</v>
      </c>
      <c r="Q90" s="4" t="str">
        <f t="shared" si="17"/>
        <v>Laki-Laki</v>
      </c>
      <c r="R90" s="4">
        <f t="shared" si="14"/>
        <v>1</v>
      </c>
      <c r="S90" s="4" t="str">
        <f t="shared" si="24"/>
        <v>1</v>
      </c>
      <c r="T90" s="4">
        <f t="shared" si="23"/>
        <v>0</v>
      </c>
      <c r="U90" s="29"/>
      <c r="V90" s="30" t="s">
        <v>50</v>
      </c>
      <c r="W90" s="30"/>
      <c r="X90" s="30"/>
      <c r="Y90" s="30"/>
      <c r="Z90" s="30"/>
      <c r="AA90" s="30"/>
      <c r="AB90" s="29"/>
      <c r="AC90" s="29"/>
      <c r="AD90" s="37">
        <f t="shared" si="20"/>
        <v>29997</v>
      </c>
      <c r="AE90" s="3" t="str">
        <f t="shared" ca="1" si="18"/>
        <v>44 Tahun 6 bulan 17 Hari</v>
      </c>
      <c r="AF90" s="38">
        <f t="shared" si="21"/>
        <v>51926</v>
      </c>
    </row>
    <row r="91" spans="1:32" s="306" customFormat="1" ht="32.15" customHeight="1" x14ac:dyDescent="0.35">
      <c r="A91" s="26">
        <f t="shared" si="19"/>
        <v>82</v>
      </c>
      <c r="B91" s="27" t="s">
        <v>319</v>
      </c>
      <c r="C91" s="26"/>
      <c r="D91" s="67" t="s">
        <v>347</v>
      </c>
      <c r="E91" s="45" t="s">
        <v>348</v>
      </c>
      <c r="F91" s="24" t="s">
        <v>43</v>
      </c>
      <c r="G91" s="44" t="s">
        <v>349</v>
      </c>
      <c r="H91" s="4" t="s">
        <v>241</v>
      </c>
      <c r="I91" s="4" t="s">
        <v>350</v>
      </c>
      <c r="J91" s="5" t="s">
        <v>127</v>
      </c>
      <c r="K91" s="3" t="str">
        <f t="shared" ca="1" si="15"/>
        <v xml:space="preserve">5 Tahun 6 bulan </v>
      </c>
      <c r="L91" s="30" t="s">
        <v>200</v>
      </c>
      <c r="M91" s="5" t="s">
        <v>127</v>
      </c>
      <c r="N91" s="3" t="str">
        <f t="shared" ca="1" si="16"/>
        <v xml:space="preserve">5 Tahun 6 bulan </v>
      </c>
      <c r="O91" s="36"/>
      <c r="P91" s="4" t="s">
        <v>35</v>
      </c>
      <c r="Q91" s="4" t="str">
        <f t="shared" si="17"/>
        <v>Laki-Laki</v>
      </c>
      <c r="R91" s="4">
        <f t="shared" si="14"/>
        <v>1</v>
      </c>
      <c r="S91" s="4" t="str">
        <f t="shared" si="24"/>
        <v>1</v>
      </c>
      <c r="T91" s="4">
        <f t="shared" si="23"/>
        <v>0</v>
      </c>
      <c r="U91" s="29"/>
      <c r="V91" s="30" t="s">
        <v>50</v>
      </c>
      <c r="W91" s="30"/>
      <c r="X91" s="30"/>
      <c r="Y91" s="30"/>
      <c r="Z91" s="30"/>
      <c r="AA91" s="30"/>
      <c r="AB91" s="29"/>
      <c r="AC91" s="29"/>
      <c r="AD91" s="37">
        <f t="shared" si="20"/>
        <v>30086</v>
      </c>
      <c r="AE91" s="3" t="str">
        <f t="shared" ca="1" si="18"/>
        <v>44 Tahun 3 bulan 17 Hari</v>
      </c>
      <c r="AF91" s="38">
        <f t="shared" si="21"/>
        <v>52018</v>
      </c>
    </row>
    <row r="92" spans="1:32" s="306" customFormat="1" ht="32.15" customHeight="1" x14ac:dyDescent="0.35">
      <c r="A92" s="26">
        <f t="shared" si="19"/>
        <v>83</v>
      </c>
      <c r="B92" s="27" t="s">
        <v>319</v>
      </c>
      <c r="C92" s="26"/>
      <c r="D92" s="67" t="s">
        <v>351</v>
      </c>
      <c r="E92" s="45" t="s">
        <v>352</v>
      </c>
      <c r="F92" s="24" t="s">
        <v>43</v>
      </c>
      <c r="G92" s="44" t="s">
        <v>353</v>
      </c>
      <c r="H92" s="4" t="s">
        <v>241</v>
      </c>
      <c r="I92" s="48" t="s">
        <v>86</v>
      </c>
      <c r="J92" s="5" t="s">
        <v>354</v>
      </c>
      <c r="K92" s="3" t="str">
        <f t="shared" ca="1" si="15"/>
        <v xml:space="preserve">6 Tahun 9 bulan </v>
      </c>
      <c r="L92" s="30" t="s">
        <v>200</v>
      </c>
      <c r="M92" s="5" t="s">
        <v>354</v>
      </c>
      <c r="N92" s="3" t="str">
        <f t="shared" ca="1" si="16"/>
        <v xml:space="preserve">6 Tahun 9 bulan </v>
      </c>
      <c r="O92" s="36"/>
      <c r="P92" s="4" t="s">
        <v>35</v>
      </c>
      <c r="Q92" s="4" t="str">
        <f t="shared" si="17"/>
        <v>Laki-Laki</v>
      </c>
      <c r="R92" s="4">
        <f t="shared" si="14"/>
        <v>1</v>
      </c>
      <c r="S92" s="4" t="str">
        <f t="shared" si="24"/>
        <v>1</v>
      </c>
      <c r="T92" s="4">
        <f t="shared" si="23"/>
        <v>0</v>
      </c>
      <c r="U92" s="29"/>
      <c r="V92" s="30" t="s">
        <v>50</v>
      </c>
      <c r="W92" s="30"/>
      <c r="X92" s="30"/>
      <c r="Y92" s="30"/>
      <c r="Z92" s="30"/>
      <c r="AA92" s="30"/>
      <c r="AB92" s="29"/>
      <c r="AC92" s="29"/>
      <c r="AD92" s="37">
        <f t="shared" si="20"/>
        <v>27642</v>
      </c>
      <c r="AE92" s="3" t="str">
        <f t="shared" ca="1" si="18"/>
        <v>50 Tahun 11 bulan 27 Hari</v>
      </c>
      <c r="AF92" s="38">
        <f t="shared" si="21"/>
        <v>49583</v>
      </c>
    </row>
    <row r="93" spans="1:32" s="306" customFormat="1" ht="39.75" customHeight="1" x14ac:dyDescent="0.35">
      <c r="A93" s="26">
        <f t="shared" si="19"/>
        <v>84</v>
      </c>
      <c r="B93" s="27" t="s">
        <v>319</v>
      </c>
      <c r="C93" s="256" t="s">
        <v>355</v>
      </c>
      <c r="D93" s="257"/>
      <c r="E93" s="24" t="s">
        <v>356</v>
      </c>
      <c r="F93" s="24" t="s">
        <v>43</v>
      </c>
      <c r="G93" s="3" t="s">
        <v>357</v>
      </c>
      <c r="H93" s="4" t="s">
        <v>159</v>
      </c>
      <c r="I93" s="4" t="s">
        <v>358</v>
      </c>
      <c r="J93" s="5" t="s">
        <v>338</v>
      </c>
      <c r="K93" s="3" t="str">
        <f t="shared" ca="1" si="15"/>
        <v xml:space="preserve">2 Tahun 11 bulan </v>
      </c>
      <c r="L93" s="30" t="s">
        <v>346</v>
      </c>
      <c r="M93" s="5" t="s">
        <v>338</v>
      </c>
      <c r="N93" s="3" t="str">
        <f t="shared" ca="1" si="16"/>
        <v xml:space="preserve">2 Tahun 11 bulan </v>
      </c>
      <c r="O93" s="4"/>
      <c r="P93" s="4" t="s">
        <v>35</v>
      </c>
      <c r="Q93" s="4" t="str">
        <f t="shared" si="17"/>
        <v>Laki-Laki</v>
      </c>
      <c r="R93" s="4">
        <f t="shared" si="14"/>
        <v>1</v>
      </c>
      <c r="S93" s="4" t="str">
        <f t="shared" si="24"/>
        <v>1</v>
      </c>
      <c r="T93" s="4">
        <f t="shared" si="23"/>
        <v>0</v>
      </c>
      <c r="U93" s="29"/>
      <c r="V93" s="30" t="s">
        <v>50</v>
      </c>
      <c r="W93" s="30"/>
      <c r="X93" s="30"/>
      <c r="Y93" s="30"/>
      <c r="Z93" s="30"/>
      <c r="AA93" s="30"/>
      <c r="AB93" s="29"/>
      <c r="AC93" s="29"/>
      <c r="AD93" s="37">
        <f t="shared" si="20"/>
        <v>28119</v>
      </c>
      <c r="AE93" s="3" t="str">
        <f t="shared" ca="1" si="18"/>
        <v>49 Tahun 8 bulan 7 Hari</v>
      </c>
      <c r="AF93" s="38">
        <f t="shared" si="21"/>
        <v>50041</v>
      </c>
    </row>
    <row r="94" spans="1:32" s="306" customFormat="1" ht="32.15" customHeight="1" x14ac:dyDescent="0.35">
      <c r="A94" s="26">
        <f t="shared" si="19"/>
        <v>85</v>
      </c>
      <c r="B94" s="27" t="s">
        <v>319</v>
      </c>
      <c r="C94" s="26"/>
      <c r="D94" s="67" t="s">
        <v>359</v>
      </c>
      <c r="E94" s="24" t="s">
        <v>360</v>
      </c>
      <c r="F94" s="24" t="s">
        <v>43</v>
      </c>
      <c r="G94" s="4" t="s">
        <v>361</v>
      </c>
      <c r="H94" s="4" t="s">
        <v>241</v>
      </c>
      <c r="I94" s="33" t="s">
        <v>362</v>
      </c>
      <c r="J94" s="5" t="s">
        <v>363</v>
      </c>
      <c r="K94" s="3" t="str">
        <f t="shared" ca="1" si="15"/>
        <v xml:space="preserve">4 Tahun 6 bulan </v>
      </c>
      <c r="L94" s="30" t="s">
        <v>200</v>
      </c>
      <c r="M94" s="5" t="s">
        <v>363</v>
      </c>
      <c r="N94" s="3" t="str">
        <f t="shared" ca="1" si="16"/>
        <v xml:space="preserve">4 Tahun 6 bulan </v>
      </c>
      <c r="O94" s="4"/>
      <c r="P94" s="4" t="s">
        <v>35</v>
      </c>
      <c r="Q94" s="4" t="str">
        <f t="shared" si="17"/>
        <v>Laki-Laki</v>
      </c>
      <c r="R94" s="4">
        <f t="shared" si="14"/>
        <v>1</v>
      </c>
      <c r="S94" s="4" t="str">
        <f t="shared" si="24"/>
        <v>1</v>
      </c>
      <c r="T94" s="4">
        <f t="shared" si="23"/>
        <v>0</v>
      </c>
      <c r="U94" s="29"/>
      <c r="V94" s="30" t="s">
        <v>50</v>
      </c>
      <c r="W94" s="30"/>
      <c r="X94" s="30"/>
      <c r="Y94" s="30"/>
      <c r="Z94" s="30"/>
      <c r="AA94" s="30"/>
      <c r="AB94" s="29"/>
      <c r="AC94" s="29"/>
      <c r="AD94" s="37">
        <f t="shared" si="20"/>
        <v>26945</v>
      </c>
      <c r="AE94" s="3" t="str">
        <f t="shared" ca="1" si="18"/>
        <v>52 Tahun 10 bulan 24 Hari</v>
      </c>
      <c r="AF94" s="38">
        <f t="shared" si="21"/>
        <v>48884</v>
      </c>
    </row>
    <row r="95" spans="1:32" s="306" customFormat="1" ht="36" customHeight="1" x14ac:dyDescent="0.35">
      <c r="A95" s="26">
        <f t="shared" si="19"/>
        <v>86</v>
      </c>
      <c r="B95" s="27" t="s">
        <v>319</v>
      </c>
      <c r="C95" s="26"/>
      <c r="D95" s="67" t="s">
        <v>364</v>
      </c>
      <c r="E95" s="24" t="s">
        <v>365</v>
      </c>
      <c r="F95" s="24" t="s">
        <v>43</v>
      </c>
      <c r="G95" s="4" t="s">
        <v>366</v>
      </c>
      <c r="H95" s="4" t="s">
        <v>135</v>
      </c>
      <c r="I95" s="33" t="s">
        <v>86</v>
      </c>
      <c r="J95" s="5" t="s">
        <v>363</v>
      </c>
      <c r="K95" s="3" t="str">
        <f t="shared" ca="1" si="15"/>
        <v xml:space="preserve">4 Tahun 6 bulan </v>
      </c>
      <c r="L95" s="30" t="s">
        <v>200</v>
      </c>
      <c r="M95" s="5" t="s">
        <v>363</v>
      </c>
      <c r="N95" s="3" t="str">
        <f t="shared" ca="1" si="16"/>
        <v xml:space="preserve">4 Tahun 6 bulan </v>
      </c>
      <c r="O95" s="4"/>
      <c r="P95" s="4" t="s">
        <v>35</v>
      </c>
      <c r="Q95" s="4" t="str">
        <f t="shared" si="17"/>
        <v>Laki-Laki</v>
      </c>
      <c r="R95" s="4">
        <f t="shared" si="14"/>
        <v>1</v>
      </c>
      <c r="S95" s="4" t="str">
        <f t="shared" si="24"/>
        <v>1</v>
      </c>
      <c r="T95" s="4">
        <f t="shared" si="23"/>
        <v>0</v>
      </c>
      <c r="U95" s="29"/>
      <c r="V95" s="30" t="s">
        <v>50</v>
      </c>
      <c r="W95" s="30"/>
      <c r="X95" s="30"/>
      <c r="Y95" s="30"/>
      <c r="Z95" s="30"/>
      <c r="AA95" s="30"/>
      <c r="AB95" s="29"/>
      <c r="AC95" s="29"/>
      <c r="AD95" s="37">
        <f t="shared" si="20"/>
        <v>26044</v>
      </c>
      <c r="AE95" s="3" t="str">
        <f t="shared" ca="1" si="18"/>
        <v>55 Tahun 4 bulan 11 Hari</v>
      </c>
      <c r="AF95" s="38">
        <f t="shared" si="21"/>
        <v>47969</v>
      </c>
    </row>
    <row r="96" spans="1:32" s="306" customFormat="1" ht="32.15" customHeight="1" x14ac:dyDescent="0.35">
      <c r="A96" s="26">
        <f t="shared" si="19"/>
        <v>87</v>
      </c>
      <c r="B96" s="27" t="s">
        <v>319</v>
      </c>
      <c r="C96" s="256" t="s">
        <v>367</v>
      </c>
      <c r="D96" s="257"/>
      <c r="E96" s="45" t="s">
        <v>1099</v>
      </c>
      <c r="F96" s="24" t="s">
        <v>43</v>
      </c>
      <c r="G96" s="44" t="s">
        <v>1100</v>
      </c>
      <c r="H96" s="4" t="s">
        <v>231</v>
      </c>
      <c r="I96" s="33" t="s">
        <v>46</v>
      </c>
      <c r="J96" s="5">
        <v>46260</v>
      </c>
      <c r="K96" s="3" t="str">
        <f t="shared" ca="1" si="15"/>
        <v xml:space="preserve">0 Tahun 0 bulan </v>
      </c>
      <c r="L96" s="30" t="s">
        <v>346</v>
      </c>
      <c r="M96" s="5"/>
      <c r="N96" s="3" t="str">
        <f t="shared" ca="1" si="16"/>
        <v/>
      </c>
      <c r="O96" s="4"/>
      <c r="P96" s="4" t="s">
        <v>35</v>
      </c>
      <c r="Q96" s="4" t="str">
        <f t="shared" si="17"/>
        <v>Laki-Laki</v>
      </c>
      <c r="R96" s="4">
        <f t="shared" si="14"/>
        <v>1</v>
      </c>
      <c r="S96" s="4" t="str">
        <f t="shared" si="24"/>
        <v>1</v>
      </c>
      <c r="T96" s="4">
        <f t="shared" si="23"/>
        <v>0</v>
      </c>
      <c r="U96" s="29"/>
      <c r="V96" s="30" t="s">
        <v>50</v>
      </c>
      <c r="W96" s="30"/>
      <c r="X96" s="30"/>
      <c r="Y96" s="30"/>
      <c r="Z96" s="30"/>
      <c r="AA96" s="30"/>
      <c r="AB96" s="29"/>
      <c r="AC96" s="29"/>
      <c r="AD96" s="37">
        <f t="shared" si="20"/>
        <v>27527</v>
      </c>
      <c r="AE96" s="3" t="str">
        <f t="shared" ca="1" si="18"/>
        <v>51 Tahun 3 bulan 19 Hari</v>
      </c>
      <c r="AF96" s="38">
        <f t="shared" si="21"/>
        <v>49461</v>
      </c>
    </row>
    <row r="97" spans="1:32" s="306" customFormat="1" ht="32.15" customHeight="1" x14ac:dyDescent="0.35">
      <c r="A97" s="26">
        <f t="shared" si="19"/>
        <v>88</v>
      </c>
      <c r="B97" s="27" t="s">
        <v>319</v>
      </c>
      <c r="C97" s="26"/>
      <c r="D97" s="67" t="s">
        <v>370</v>
      </c>
      <c r="E97" s="45" t="s">
        <v>371</v>
      </c>
      <c r="F97" s="24" t="s">
        <v>43</v>
      </c>
      <c r="G97" s="44" t="s">
        <v>372</v>
      </c>
      <c r="H97" s="36" t="s">
        <v>135</v>
      </c>
      <c r="I97" s="4" t="s">
        <v>350</v>
      </c>
      <c r="J97" s="5" t="s">
        <v>127</v>
      </c>
      <c r="K97" s="3" t="str">
        <f t="shared" ca="1" si="15"/>
        <v xml:space="preserve">5 Tahun 6 bulan </v>
      </c>
      <c r="L97" s="30" t="s">
        <v>200</v>
      </c>
      <c r="M97" s="5" t="s">
        <v>127</v>
      </c>
      <c r="N97" s="3" t="str">
        <f t="shared" ca="1" si="16"/>
        <v xml:space="preserve">5 Tahun 6 bulan </v>
      </c>
      <c r="O97" s="36"/>
      <c r="P97" s="4" t="s">
        <v>35</v>
      </c>
      <c r="Q97" s="4" t="str">
        <f t="shared" si="17"/>
        <v>Laki-Laki</v>
      </c>
      <c r="R97" s="4">
        <f t="shared" si="14"/>
        <v>1</v>
      </c>
      <c r="S97" s="4" t="str">
        <f t="shared" si="24"/>
        <v>1</v>
      </c>
      <c r="T97" s="4">
        <f t="shared" si="23"/>
        <v>0</v>
      </c>
      <c r="U97" s="29"/>
      <c r="V97" s="30" t="s">
        <v>50</v>
      </c>
      <c r="W97" s="30"/>
      <c r="X97" s="30"/>
      <c r="Y97" s="30"/>
      <c r="Z97" s="30"/>
      <c r="AA97" s="30"/>
      <c r="AB97" s="29"/>
      <c r="AC97" s="29"/>
      <c r="AD97" s="37">
        <f t="shared" si="20"/>
        <v>30091</v>
      </c>
      <c r="AE97" s="3" t="str">
        <f t="shared" ca="1" si="18"/>
        <v>44 Tahun 3 bulan 12 Hari</v>
      </c>
      <c r="AF97" s="38">
        <f t="shared" si="21"/>
        <v>52018</v>
      </c>
    </row>
    <row r="98" spans="1:32" s="306" customFormat="1" ht="32.15" customHeight="1" x14ac:dyDescent="0.35">
      <c r="A98" s="26">
        <f t="shared" si="19"/>
        <v>89</v>
      </c>
      <c r="B98" s="27" t="s">
        <v>319</v>
      </c>
      <c r="C98" s="26"/>
      <c r="D98" s="67" t="s">
        <v>373</v>
      </c>
      <c r="E98" s="45" t="s">
        <v>3024</v>
      </c>
      <c r="F98" s="24" t="s">
        <v>43</v>
      </c>
      <c r="G98" s="44" t="s">
        <v>374</v>
      </c>
      <c r="H98" s="36" t="s">
        <v>375</v>
      </c>
      <c r="I98" s="4" t="s">
        <v>368</v>
      </c>
      <c r="J98" s="5" t="s">
        <v>199</v>
      </c>
      <c r="K98" s="3" t="str">
        <f t="shared" ca="1" si="15"/>
        <v xml:space="preserve">3 Tahun 11 bulan </v>
      </c>
      <c r="L98" s="30" t="s">
        <v>200</v>
      </c>
      <c r="M98" s="5" t="s">
        <v>199</v>
      </c>
      <c r="N98" s="3" t="str">
        <f t="shared" ca="1" si="16"/>
        <v xml:space="preserve">3 Tahun 11 bulan </v>
      </c>
      <c r="O98" s="36"/>
      <c r="P98" s="4" t="s">
        <v>35</v>
      </c>
      <c r="Q98" s="4" t="str">
        <f t="shared" si="17"/>
        <v>Laki-Laki</v>
      </c>
      <c r="R98" s="4">
        <f t="shared" si="14"/>
        <v>1</v>
      </c>
      <c r="S98" s="4" t="str">
        <f t="shared" si="24"/>
        <v>1</v>
      </c>
      <c r="T98" s="4">
        <f t="shared" si="23"/>
        <v>0</v>
      </c>
      <c r="U98" s="29"/>
      <c r="V98" s="30" t="s">
        <v>50</v>
      </c>
      <c r="W98" s="30"/>
      <c r="X98" s="30"/>
      <c r="Y98" s="30"/>
      <c r="Z98" s="30"/>
      <c r="AA98" s="30"/>
      <c r="AB98" s="29"/>
      <c r="AC98" s="29"/>
      <c r="AD98" s="37">
        <f t="shared" si="20"/>
        <v>28023</v>
      </c>
      <c r="AE98" s="3" t="str">
        <f t="shared" ca="1" si="18"/>
        <v>49 Tahun 11 bulan 12 Hari</v>
      </c>
      <c r="AF98" s="38">
        <f t="shared" si="21"/>
        <v>49949</v>
      </c>
    </row>
    <row r="99" spans="1:32" s="306" customFormat="1" ht="32.15" customHeight="1" x14ac:dyDescent="0.35">
      <c r="A99" s="26">
        <f t="shared" si="19"/>
        <v>90</v>
      </c>
      <c r="B99" s="27" t="s">
        <v>319</v>
      </c>
      <c r="C99" s="256" t="s">
        <v>376</v>
      </c>
      <c r="D99" s="257"/>
      <c r="E99" s="24" t="s">
        <v>377</v>
      </c>
      <c r="F99" s="24" t="s">
        <v>43</v>
      </c>
      <c r="G99" s="4" t="s">
        <v>378</v>
      </c>
      <c r="H99" s="4" t="s">
        <v>379</v>
      </c>
      <c r="I99" s="41" t="s">
        <v>46</v>
      </c>
      <c r="J99" s="5" t="s">
        <v>338</v>
      </c>
      <c r="K99" s="3" t="str">
        <f t="shared" ca="1" si="15"/>
        <v xml:space="preserve">2 Tahun 11 bulan </v>
      </c>
      <c r="L99" s="30" t="s">
        <v>346</v>
      </c>
      <c r="M99" s="5" t="s">
        <v>338</v>
      </c>
      <c r="N99" s="3" t="str">
        <f t="shared" ca="1" si="16"/>
        <v xml:space="preserve">2 Tahun 11 bulan </v>
      </c>
      <c r="O99" s="36"/>
      <c r="P99" s="4" t="s">
        <v>35</v>
      </c>
      <c r="Q99" s="4" t="str">
        <f t="shared" si="17"/>
        <v>Laki-Laki</v>
      </c>
      <c r="R99" s="4">
        <f t="shared" si="14"/>
        <v>1</v>
      </c>
      <c r="S99" s="4" t="str">
        <f t="shared" si="24"/>
        <v>1</v>
      </c>
      <c r="T99" s="4">
        <f t="shared" si="23"/>
        <v>0</v>
      </c>
      <c r="U99" s="29"/>
      <c r="V99" s="30" t="s">
        <v>50</v>
      </c>
      <c r="W99" s="30"/>
      <c r="X99" s="30"/>
      <c r="Y99" s="30"/>
      <c r="Z99" s="30"/>
      <c r="AA99" s="30"/>
      <c r="AB99" s="29"/>
      <c r="AC99" s="29"/>
      <c r="AD99" s="37">
        <f t="shared" si="20"/>
        <v>27284</v>
      </c>
      <c r="AE99" s="3" t="str">
        <f t="shared" ca="1" si="18"/>
        <v>51 Tahun 11 bulan 20 Hari</v>
      </c>
      <c r="AF99" s="38">
        <f t="shared" si="21"/>
        <v>49218</v>
      </c>
    </row>
    <row r="100" spans="1:32" s="306" customFormat="1" ht="32.15" customHeight="1" x14ac:dyDescent="0.35">
      <c r="A100" s="26">
        <f t="shared" si="19"/>
        <v>91</v>
      </c>
      <c r="B100" s="27" t="s">
        <v>319</v>
      </c>
      <c r="C100" s="26"/>
      <c r="D100" s="67" t="s">
        <v>380</v>
      </c>
      <c r="E100" s="24" t="s">
        <v>381</v>
      </c>
      <c r="F100" s="24" t="s">
        <v>43</v>
      </c>
      <c r="G100" s="4" t="s">
        <v>382</v>
      </c>
      <c r="H100" s="4" t="s">
        <v>259</v>
      </c>
      <c r="I100" s="41" t="s">
        <v>383</v>
      </c>
      <c r="J100" s="5" t="s">
        <v>338</v>
      </c>
      <c r="K100" s="3" t="str">
        <f t="shared" ca="1" si="15"/>
        <v xml:space="preserve">2 Tahun 11 bulan </v>
      </c>
      <c r="L100" s="30" t="s">
        <v>200</v>
      </c>
      <c r="M100" s="5" t="s">
        <v>338</v>
      </c>
      <c r="N100" s="3" t="str">
        <f t="shared" ca="1" si="16"/>
        <v xml:space="preserve">2 Tahun 11 bulan </v>
      </c>
      <c r="O100" s="4"/>
      <c r="P100" s="4" t="s">
        <v>35</v>
      </c>
      <c r="Q100" s="4" t="str">
        <f t="shared" si="17"/>
        <v>Laki-Laki</v>
      </c>
      <c r="R100" s="4">
        <f t="shared" si="14"/>
        <v>1</v>
      </c>
      <c r="S100" s="4" t="str">
        <f t="shared" si="24"/>
        <v>1</v>
      </c>
      <c r="T100" s="4">
        <f t="shared" si="23"/>
        <v>0</v>
      </c>
      <c r="U100" s="29"/>
      <c r="V100" s="30" t="s">
        <v>50</v>
      </c>
      <c r="W100" s="30"/>
      <c r="X100" s="30"/>
      <c r="Y100" s="30"/>
      <c r="Z100" s="30"/>
      <c r="AA100" s="30"/>
      <c r="AB100" s="29"/>
      <c r="AC100" s="29"/>
      <c r="AD100" s="37">
        <f t="shared" si="20"/>
        <v>29384</v>
      </c>
      <c r="AE100" s="3" t="str">
        <f t="shared" ca="1" si="18"/>
        <v>46 Tahun 2 bulan 20 Hari</v>
      </c>
      <c r="AF100" s="38">
        <f t="shared" si="21"/>
        <v>51318</v>
      </c>
    </row>
    <row r="101" spans="1:32" s="306" customFormat="1" ht="32.15" customHeight="1" x14ac:dyDescent="0.35">
      <c r="A101" s="26">
        <f t="shared" si="19"/>
        <v>92</v>
      </c>
      <c r="B101" s="27" t="s">
        <v>319</v>
      </c>
      <c r="C101" s="26"/>
      <c r="D101" s="67" t="s">
        <v>384</v>
      </c>
      <c r="E101" s="24" t="s">
        <v>3086</v>
      </c>
      <c r="F101" s="24" t="s">
        <v>43</v>
      </c>
      <c r="G101" s="3" t="s">
        <v>3087</v>
      </c>
      <c r="H101" s="4" t="s">
        <v>385</v>
      </c>
      <c r="I101" s="4" t="s">
        <v>86</v>
      </c>
      <c r="J101" s="5">
        <v>46260</v>
      </c>
      <c r="K101" s="3" t="str">
        <f t="shared" ca="1" si="15"/>
        <v xml:space="preserve">0 Tahun 0 bulan </v>
      </c>
      <c r="L101" s="30" t="s">
        <v>200</v>
      </c>
      <c r="M101" s="5"/>
      <c r="N101" s="3" t="str">
        <f t="shared" ca="1" si="16"/>
        <v/>
      </c>
      <c r="O101" s="4"/>
      <c r="P101" s="4" t="s">
        <v>35</v>
      </c>
      <c r="Q101" s="4" t="str">
        <f t="shared" si="17"/>
        <v>Laki-Laki</v>
      </c>
      <c r="R101" s="4">
        <f t="shared" si="14"/>
        <v>1</v>
      </c>
      <c r="S101" s="4" t="str">
        <f t="shared" si="24"/>
        <v>1</v>
      </c>
      <c r="T101" s="4">
        <f t="shared" si="23"/>
        <v>0</v>
      </c>
      <c r="U101" s="29"/>
      <c r="V101" s="30" t="s">
        <v>50</v>
      </c>
      <c r="W101" s="30"/>
      <c r="X101" s="30"/>
      <c r="Y101" s="30"/>
      <c r="Z101" s="30"/>
      <c r="AA101" s="30"/>
      <c r="AB101" s="29"/>
      <c r="AC101" s="29"/>
      <c r="AD101" s="37">
        <f t="shared" si="20"/>
        <v>27207</v>
      </c>
      <c r="AE101" s="3" t="str">
        <f t="shared" ca="1" si="18"/>
        <v>52 Tahun 2 bulan 5 Hari</v>
      </c>
      <c r="AF101" s="38">
        <f t="shared" si="21"/>
        <v>49126</v>
      </c>
    </row>
    <row r="102" spans="1:32" s="308" customFormat="1" ht="32.15" customHeight="1" x14ac:dyDescent="0.35">
      <c r="A102" s="4"/>
      <c r="B102" s="68" t="s">
        <v>387</v>
      </c>
      <c r="C102" s="269" t="s">
        <v>388</v>
      </c>
      <c r="D102" s="270"/>
      <c r="E102" s="271" t="str">
        <f ca="1">IF(J102="","",CONCATENATE(DATEDIF(J102,NOW(),"Y")," Tahun ",DATEDIF(J102,NOW(),"YM")," bulan "))</f>
        <v/>
      </c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3"/>
    </row>
    <row r="103" spans="1:32" s="306" customFormat="1" ht="32.15" customHeight="1" x14ac:dyDescent="0.35">
      <c r="A103" s="26">
        <f>A101+1</f>
        <v>93</v>
      </c>
      <c r="B103" s="27" t="s">
        <v>387</v>
      </c>
      <c r="C103" s="278" t="s">
        <v>389</v>
      </c>
      <c r="D103" s="279"/>
      <c r="E103" s="24" t="s">
        <v>390</v>
      </c>
      <c r="F103" s="24" t="s">
        <v>43</v>
      </c>
      <c r="G103" s="3" t="s">
        <v>391</v>
      </c>
      <c r="H103" s="4" t="s">
        <v>287</v>
      </c>
      <c r="I103" s="41"/>
      <c r="J103" s="5" t="s">
        <v>392</v>
      </c>
      <c r="K103" s="3" t="str">
        <f t="shared" ca="1" si="15"/>
        <v xml:space="preserve">0 Tahun 7 bulan </v>
      </c>
      <c r="L103" s="30" t="s">
        <v>56</v>
      </c>
      <c r="M103" s="5" t="s">
        <v>392</v>
      </c>
      <c r="N103" s="3" t="str">
        <f t="shared" ca="1" si="16"/>
        <v xml:space="preserve">0 Tahun 7 bulan </v>
      </c>
      <c r="O103" s="4"/>
      <c r="P103" s="4" t="s">
        <v>35</v>
      </c>
      <c r="Q103" s="4" t="str">
        <f t="shared" si="17"/>
        <v>Laki-Laki</v>
      </c>
      <c r="R103" s="4">
        <f>R101</f>
        <v>1</v>
      </c>
      <c r="S103" s="4" t="str">
        <f t="shared" ref="S103:S114" si="25">IF(E103="LOWONG","0","1")</f>
        <v>1</v>
      </c>
      <c r="T103" s="4">
        <f t="shared" si="23"/>
        <v>0</v>
      </c>
      <c r="U103" s="29"/>
      <c r="V103" s="30" t="s">
        <v>50</v>
      </c>
      <c r="W103" s="30"/>
      <c r="X103" s="30"/>
      <c r="Y103" s="30"/>
      <c r="Z103" s="30"/>
      <c r="AA103" s="30"/>
      <c r="AB103" s="29"/>
      <c r="AC103" s="29"/>
      <c r="AD103" s="37">
        <f t="shared" si="20"/>
        <v>25443</v>
      </c>
      <c r="AE103" s="3" t="str">
        <f t="shared" ca="1" si="18"/>
        <v>57 Tahun 0 bulan 4 Hari</v>
      </c>
      <c r="AF103" s="38">
        <f t="shared" si="21"/>
        <v>47362</v>
      </c>
    </row>
    <row r="104" spans="1:32" s="306" customFormat="1" ht="32.15" customHeight="1" x14ac:dyDescent="0.35">
      <c r="A104" s="26">
        <f t="shared" si="19"/>
        <v>94</v>
      </c>
      <c r="B104" s="27" t="s">
        <v>387</v>
      </c>
      <c r="C104" s="256" t="s">
        <v>393</v>
      </c>
      <c r="D104" s="257"/>
      <c r="E104" s="51" t="s">
        <v>394</v>
      </c>
      <c r="F104" s="24" t="s">
        <v>43</v>
      </c>
      <c r="G104" s="66" t="s">
        <v>395</v>
      </c>
      <c r="H104" s="4" t="s">
        <v>396</v>
      </c>
      <c r="I104" s="33" t="s">
        <v>198</v>
      </c>
      <c r="J104" s="5" t="s">
        <v>397</v>
      </c>
      <c r="K104" s="3" t="str">
        <f t="shared" ca="1" si="15"/>
        <v xml:space="preserve">5 Tahun 7 bulan </v>
      </c>
      <c r="L104" s="30" t="s">
        <v>79</v>
      </c>
      <c r="M104" s="5" t="s">
        <v>397</v>
      </c>
      <c r="N104" s="3" t="str">
        <f t="shared" ca="1" si="16"/>
        <v xml:space="preserve">5 Tahun 7 bulan </v>
      </c>
      <c r="O104" s="4"/>
      <c r="P104" s="4" t="s">
        <v>35</v>
      </c>
      <c r="Q104" s="4" t="str">
        <f t="shared" si="17"/>
        <v>Laki-Laki</v>
      </c>
      <c r="R104" s="4">
        <f t="shared" si="14"/>
        <v>1</v>
      </c>
      <c r="S104" s="4" t="str">
        <f t="shared" si="25"/>
        <v>1</v>
      </c>
      <c r="T104" s="4">
        <f t="shared" si="23"/>
        <v>0</v>
      </c>
      <c r="U104" s="29"/>
      <c r="V104" s="30" t="s">
        <v>50</v>
      </c>
      <c r="W104" s="30"/>
      <c r="X104" s="30"/>
      <c r="Y104" s="30"/>
      <c r="Z104" s="30"/>
      <c r="AA104" s="30"/>
      <c r="AB104" s="29"/>
      <c r="AC104" s="29"/>
      <c r="AD104" s="37">
        <f t="shared" si="20"/>
        <v>31848</v>
      </c>
      <c r="AE104" s="3" t="str">
        <f t="shared" ca="1" si="18"/>
        <v>39 Tahun 5 bulan 20 Hari</v>
      </c>
      <c r="AF104" s="38">
        <f t="shared" si="21"/>
        <v>53783</v>
      </c>
    </row>
    <row r="105" spans="1:32" s="306" customFormat="1" ht="32.15" customHeight="1" x14ac:dyDescent="0.35">
      <c r="A105" s="26">
        <f t="shared" si="19"/>
        <v>95</v>
      </c>
      <c r="B105" s="27" t="s">
        <v>387</v>
      </c>
      <c r="C105" s="26"/>
      <c r="D105" s="50" t="s">
        <v>398</v>
      </c>
      <c r="E105" s="24" t="s">
        <v>399</v>
      </c>
      <c r="F105" s="24" t="s">
        <v>43</v>
      </c>
      <c r="G105" s="4" t="s">
        <v>400</v>
      </c>
      <c r="H105" s="4" t="s">
        <v>401</v>
      </c>
      <c r="I105" s="41" t="s">
        <v>86</v>
      </c>
      <c r="J105" s="5" t="s">
        <v>386</v>
      </c>
      <c r="K105" s="3" t="str">
        <f t="shared" ca="1" si="15"/>
        <v xml:space="preserve">5 Tahun 5 bulan </v>
      </c>
      <c r="L105" s="30" t="s">
        <v>200</v>
      </c>
      <c r="M105" s="5" t="s">
        <v>386</v>
      </c>
      <c r="N105" s="3" t="str">
        <f t="shared" ca="1" si="16"/>
        <v xml:space="preserve">5 Tahun 5 bulan </v>
      </c>
      <c r="O105" s="4"/>
      <c r="P105" s="4" t="s">
        <v>35</v>
      </c>
      <c r="Q105" s="4" t="str">
        <f t="shared" si="17"/>
        <v>Laki-Laki</v>
      </c>
      <c r="R105" s="4">
        <f t="shared" si="14"/>
        <v>1</v>
      </c>
      <c r="S105" s="4" t="str">
        <f t="shared" si="25"/>
        <v>1</v>
      </c>
      <c r="T105" s="4">
        <f t="shared" si="23"/>
        <v>0</v>
      </c>
      <c r="U105" s="29"/>
      <c r="V105" s="30" t="s">
        <v>50</v>
      </c>
      <c r="W105" s="30"/>
      <c r="X105" s="30"/>
      <c r="Y105" s="30"/>
      <c r="Z105" s="30"/>
      <c r="AA105" s="30"/>
      <c r="AB105" s="29"/>
      <c r="AC105" s="29"/>
      <c r="AD105" s="37">
        <f t="shared" si="20"/>
        <v>29347</v>
      </c>
      <c r="AE105" s="3" t="str">
        <f t="shared" ca="1" si="18"/>
        <v>46 Tahun 3 bulan 26 Hari</v>
      </c>
      <c r="AF105" s="38">
        <f t="shared" si="21"/>
        <v>51288</v>
      </c>
    </row>
    <row r="106" spans="1:32" s="306" customFormat="1" ht="32.15" customHeight="1" x14ac:dyDescent="0.35">
      <c r="A106" s="26">
        <f t="shared" si="19"/>
        <v>96</v>
      </c>
      <c r="B106" s="27" t="s">
        <v>387</v>
      </c>
      <c r="C106" s="26"/>
      <c r="D106" s="50" t="s">
        <v>402</v>
      </c>
      <c r="E106" s="24" t="s">
        <v>403</v>
      </c>
      <c r="F106" s="24" t="s">
        <v>43</v>
      </c>
      <c r="G106" s="4" t="s">
        <v>404</v>
      </c>
      <c r="H106" s="4" t="s">
        <v>85</v>
      </c>
      <c r="I106" s="4" t="s">
        <v>86</v>
      </c>
      <c r="J106" s="5" t="s">
        <v>127</v>
      </c>
      <c r="K106" s="3" t="str">
        <f t="shared" ca="1" si="15"/>
        <v xml:space="preserve">5 Tahun 6 bulan </v>
      </c>
      <c r="L106" s="30" t="s">
        <v>200</v>
      </c>
      <c r="M106" s="5" t="s">
        <v>127</v>
      </c>
      <c r="N106" s="3" t="str">
        <f t="shared" ca="1" si="16"/>
        <v xml:space="preserve">5 Tahun 6 bulan </v>
      </c>
      <c r="O106" s="4"/>
      <c r="P106" s="4" t="s">
        <v>35</v>
      </c>
      <c r="Q106" s="4" t="str">
        <f t="shared" si="17"/>
        <v>Perempuan</v>
      </c>
      <c r="R106" s="4">
        <f t="shared" si="14"/>
        <v>1</v>
      </c>
      <c r="S106" s="4" t="str">
        <f t="shared" si="25"/>
        <v>1</v>
      </c>
      <c r="T106" s="4">
        <f t="shared" si="23"/>
        <v>0</v>
      </c>
      <c r="U106" s="29"/>
      <c r="V106" s="30"/>
      <c r="W106" s="30"/>
      <c r="X106" s="30"/>
      <c r="Y106" s="30"/>
      <c r="Z106" s="30"/>
      <c r="AA106" s="30"/>
      <c r="AB106" s="29"/>
      <c r="AC106" s="29"/>
      <c r="AD106" s="37">
        <f t="shared" si="20"/>
        <v>33143</v>
      </c>
      <c r="AE106" s="3" t="str">
        <f t="shared" ca="1" si="18"/>
        <v>35 Tahun 11 bulan 5 Hari</v>
      </c>
      <c r="AF106" s="38">
        <f t="shared" si="21"/>
        <v>55062</v>
      </c>
    </row>
    <row r="107" spans="1:32" s="306" customFormat="1" ht="32.15" customHeight="1" x14ac:dyDescent="0.35">
      <c r="A107" s="26">
        <f t="shared" si="19"/>
        <v>97</v>
      </c>
      <c r="B107" s="27" t="s">
        <v>387</v>
      </c>
      <c r="C107" s="256" t="s">
        <v>405</v>
      </c>
      <c r="D107" s="257"/>
      <c r="E107" s="24" t="s">
        <v>262</v>
      </c>
      <c r="F107" s="24" t="s">
        <v>43</v>
      </c>
      <c r="G107" s="3" t="s">
        <v>263</v>
      </c>
      <c r="H107" s="4" t="s">
        <v>181</v>
      </c>
      <c r="I107" s="33"/>
      <c r="J107" s="5">
        <v>46132</v>
      </c>
      <c r="K107" s="3" t="str">
        <f t="shared" ca="1" si="15"/>
        <v xml:space="preserve">0 Tahun 4 bulan </v>
      </c>
      <c r="L107" s="30" t="s">
        <v>346</v>
      </c>
      <c r="M107" s="5">
        <v>46132</v>
      </c>
      <c r="N107" s="3" t="str">
        <f t="shared" ca="1" si="16"/>
        <v xml:space="preserve">0 Tahun 4 bulan </v>
      </c>
      <c r="O107" s="4"/>
      <c r="P107" s="4" t="s">
        <v>35</v>
      </c>
      <c r="Q107" s="4" t="str">
        <f t="shared" si="17"/>
        <v>Laki-Laki</v>
      </c>
      <c r="R107" s="4">
        <f t="shared" si="14"/>
        <v>1</v>
      </c>
      <c r="S107" s="4" t="str">
        <f t="shared" si="25"/>
        <v>1</v>
      </c>
      <c r="T107" s="4">
        <f t="shared" si="23"/>
        <v>0</v>
      </c>
      <c r="U107" s="29"/>
      <c r="V107" s="30" t="s">
        <v>50</v>
      </c>
      <c r="W107" s="30"/>
      <c r="X107" s="30"/>
      <c r="Y107" s="30"/>
      <c r="Z107" s="30"/>
      <c r="AA107" s="30"/>
      <c r="AB107" s="29"/>
      <c r="AC107" s="29"/>
      <c r="AD107" s="37">
        <f t="shared" si="20"/>
        <v>25285</v>
      </c>
      <c r="AE107" s="3" t="str">
        <f t="shared" ca="1" si="18"/>
        <v>57 Tahun 5 bulan 9 Hari</v>
      </c>
      <c r="AF107" s="38">
        <f t="shared" si="21"/>
        <v>47209</v>
      </c>
    </row>
    <row r="108" spans="1:32" s="306" customFormat="1" ht="32.15" customHeight="1" x14ac:dyDescent="0.35">
      <c r="A108" s="26">
        <f t="shared" si="19"/>
        <v>98</v>
      </c>
      <c r="B108" s="27" t="s">
        <v>387</v>
      </c>
      <c r="C108" s="26"/>
      <c r="D108" s="67" t="s">
        <v>407</v>
      </c>
      <c r="E108" s="24" t="s">
        <v>408</v>
      </c>
      <c r="F108" s="24" t="s">
        <v>43</v>
      </c>
      <c r="G108" s="4" t="s">
        <v>409</v>
      </c>
      <c r="H108" s="4" t="s">
        <v>410</v>
      </c>
      <c r="I108" s="41" t="s">
        <v>46</v>
      </c>
      <c r="J108" s="5" t="s">
        <v>386</v>
      </c>
      <c r="K108" s="3" t="str">
        <f t="shared" ca="1" si="15"/>
        <v xml:space="preserve">5 Tahun 5 bulan </v>
      </c>
      <c r="L108" s="30" t="s">
        <v>200</v>
      </c>
      <c r="M108" s="5" t="s">
        <v>386</v>
      </c>
      <c r="N108" s="3" t="str">
        <f t="shared" ca="1" si="16"/>
        <v xml:space="preserve">5 Tahun 5 bulan </v>
      </c>
      <c r="O108" s="4"/>
      <c r="P108" s="4" t="s">
        <v>35</v>
      </c>
      <c r="Q108" s="4" t="str">
        <f t="shared" si="17"/>
        <v>Laki-Laki</v>
      </c>
      <c r="R108" s="4">
        <f t="shared" si="14"/>
        <v>1</v>
      </c>
      <c r="S108" s="4" t="str">
        <f t="shared" si="25"/>
        <v>1</v>
      </c>
      <c r="T108" s="4">
        <f t="shared" si="23"/>
        <v>0</v>
      </c>
      <c r="U108" s="29"/>
      <c r="V108" s="30" t="s">
        <v>50</v>
      </c>
      <c r="W108" s="30"/>
      <c r="X108" s="30"/>
      <c r="Y108" s="30"/>
      <c r="Z108" s="30"/>
      <c r="AA108" s="30"/>
      <c r="AB108" s="29"/>
      <c r="AC108" s="29"/>
      <c r="AD108" s="37">
        <f t="shared" si="20"/>
        <v>28218</v>
      </c>
      <c r="AE108" s="3" t="str">
        <f t="shared" ca="1" si="18"/>
        <v>49 Tahun 4 bulan 29 Hari</v>
      </c>
      <c r="AF108" s="38">
        <f t="shared" si="21"/>
        <v>50161</v>
      </c>
    </row>
    <row r="109" spans="1:32" s="306" customFormat="1" ht="32.15" customHeight="1" x14ac:dyDescent="0.35">
      <c r="A109" s="26">
        <f t="shared" si="19"/>
        <v>99</v>
      </c>
      <c r="B109" s="27" t="s">
        <v>387</v>
      </c>
      <c r="C109" s="26"/>
      <c r="D109" s="67" t="s">
        <v>411</v>
      </c>
      <c r="E109" s="45" t="s">
        <v>412</v>
      </c>
      <c r="F109" s="24" t="s">
        <v>43</v>
      </c>
      <c r="G109" s="44" t="s">
        <v>413</v>
      </c>
      <c r="H109" s="4" t="s">
        <v>414</v>
      </c>
      <c r="I109" s="4" t="s">
        <v>415</v>
      </c>
      <c r="J109" s="5" t="s">
        <v>127</v>
      </c>
      <c r="K109" s="3" t="str">
        <f t="shared" ca="1" si="15"/>
        <v xml:space="preserve">5 Tahun 6 bulan </v>
      </c>
      <c r="L109" s="30" t="s">
        <v>200</v>
      </c>
      <c r="M109" s="5" t="s">
        <v>127</v>
      </c>
      <c r="N109" s="3" t="str">
        <f t="shared" ca="1" si="16"/>
        <v xml:space="preserve">5 Tahun 6 bulan </v>
      </c>
      <c r="O109" s="36"/>
      <c r="P109" s="4" t="s">
        <v>35</v>
      </c>
      <c r="Q109" s="4" t="str">
        <f t="shared" si="17"/>
        <v>Laki-Laki</v>
      </c>
      <c r="R109" s="4">
        <f t="shared" si="14"/>
        <v>1</v>
      </c>
      <c r="S109" s="4" t="str">
        <f t="shared" si="25"/>
        <v>1</v>
      </c>
      <c r="T109" s="4">
        <f t="shared" si="23"/>
        <v>0</v>
      </c>
      <c r="U109" s="29"/>
      <c r="V109" s="30" t="s">
        <v>50</v>
      </c>
      <c r="W109" s="30"/>
      <c r="X109" s="30"/>
      <c r="Y109" s="30"/>
      <c r="Z109" s="30"/>
      <c r="AA109" s="30"/>
      <c r="AB109" s="29"/>
      <c r="AC109" s="29"/>
      <c r="AD109" s="37">
        <f t="shared" si="20"/>
        <v>28888</v>
      </c>
      <c r="AE109" s="3" t="str">
        <f t="shared" ca="1" si="18"/>
        <v>47 Tahun 6 bulan 30 Hari</v>
      </c>
      <c r="AF109" s="38">
        <f t="shared" si="21"/>
        <v>50830</v>
      </c>
    </row>
    <row r="110" spans="1:32" s="306" customFormat="1" ht="32.15" customHeight="1" x14ac:dyDescent="0.35">
      <c r="A110" s="26">
        <f t="shared" si="19"/>
        <v>100</v>
      </c>
      <c r="B110" s="27" t="s">
        <v>387</v>
      </c>
      <c r="C110" s="26"/>
      <c r="D110" s="67" t="s">
        <v>416</v>
      </c>
      <c r="E110" s="45" t="s">
        <v>108</v>
      </c>
      <c r="F110" s="45"/>
      <c r="G110" s="44"/>
      <c r="H110" s="36"/>
      <c r="I110" s="48"/>
      <c r="J110" s="5"/>
      <c r="K110" s="3" t="str">
        <f t="shared" ca="1" si="15"/>
        <v/>
      </c>
      <c r="L110" s="30" t="s">
        <v>88</v>
      </c>
      <c r="M110" s="5"/>
      <c r="N110" s="3" t="str">
        <f t="shared" ca="1" si="16"/>
        <v/>
      </c>
      <c r="O110" s="36"/>
      <c r="P110" s="4"/>
      <c r="Q110" s="4" t="str">
        <f t="shared" si="17"/>
        <v/>
      </c>
      <c r="R110" s="4">
        <f t="shared" si="14"/>
        <v>1</v>
      </c>
      <c r="S110" s="4" t="str">
        <f t="shared" si="25"/>
        <v>0</v>
      </c>
      <c r="T110" s="4">
        <f t="shared" si="23"/>
        <v>1</v>
      </c>
      <c r="U110" s="29"/>
      <c r="V110" s="30" t="s">
        <v>50</v>
      </c>
      <c r="W110" s="30"/>
      <c r="X110" s="30"/>
      <c r="Y110" s="30"/>
      <c r="Z110" s="30"/>
      <c r="AA110" s="30"/>
      <c r="AB110" s="29"/>
      <c r="AC110" s="29"/>
      <c r="AD110" s="37" t="str">
        <f t="shared" si="20"/>
        <v/>
      </c>
      <c r="AE110" s="3" t="str">
        <f t="shared" ca="1" si="18"/>
        <v/>
      </c>
      <c r="AF110" s="38" t="str">
        <f t="shared" si="21"/>
        <v/>
      </c>
    </row>
    <row r="111" spans="1:32" s="306" customFormat="1" ht="32.15" customHeight="1" x14ac:dyDescent="0.35">
      <c r="A111" s="26">
        <f t="shared" si="19"/>
        <v>101</v>
      </c>
      <c r="B111" s="27" t="s">
        <v>387</v>
      </c>
      <c r="C111" s="256" t="s">
        <v>420</v>
      </c>
      <c r="D111" s="257"/>
      <c r="E111" s="39" t="s">
        <v>421</v>
      </c>
      <c r="F111" s="24" t="s">
        <v>43</v>
      </c>
      <c r="G111" s="40" t="s">
        <v>422</v>
      </c>
      <c r="H111" s="4" t="s">
        <v>423</v>
      </c>
      <c r="I111" s="25" t="s">
        <v>86</v>
      </c>
      <c r="J111" s="5" t="s">
        <v>127</v>
      </c>
      <c r="K111" s="3" t="str">
        <f t="shared" ca="1" si="15"/>
        <v xml:space="preserve">5 Tahun 6 bulan </v>
      </c>
      <c r="L111" s="30" t="s">
        <v>346</v>
      </c>
      <c r="M111" s="5" t="s">
        <v>127</v>
      </c>
      <c r="N111" s="3" t="str">
        <f t="shared" ca="1" si="16"/>
        <v xml:space="preserve">5 Tahun 6 bulan </v>
      </c>
      <c r="O111" s="35"/>
      <c r="P111" s="4" t="s">
        <v>35</v>
      </c>
      <c r="Q111" s="4" t="str">
        <f t="shared" si="17"/>
        <v>Laki-Laki</v>
      </c>
      <c r="R111" s="4">
        <f t="shared" si="14"/>
        <v>1</v>
      </c>
      <c r="S111" s="4" t="str">
        <f t="shared" si="25"/>
        <v>1</v>
      </c>
      <c r="T111" s="4">
        <f t="shared" si="23"/>
        <v>0</v>
      </c>
      <c r="U111" s="29"/>
      <c r="V111" s="30" t="s">
        <v>50</v>
      </c>
      <c r="W111" s="30"/>
      <c r="X111" s="30"/>
      <c r="Y111" s="30"/>
      <c r="Z111" s="30"/>
      <c r="AA111" s="30"/>
      <c r="AB111" s="29"/>
      <c r="AC111" s="29"/>
      <c r="AD111" s="37">
        <f t="shared" si="20"/>
        <v>27127</v>
      </c>
      <c r="AE111" s="3" t="str">
        <f t="shared" ca="1" si="18"/>
        <v>52 Tahun 4 bulan 24 Hari</v>
      </c>
      <c r="AF111" s="38">
        <f t="shared" si="21"/>
        <v>49065</v>
      </c>
    </row>
    <row r="112" spans="1:32" s="306" customFormat="1" ht="38.25" customHeight="1" x14ac:dyDescent="0.35">
      <c r="A112" s="26">
        <f t="shared" si="19"/>
        <v>102</v>
      </c>
      <c r="B112" s="27" t="s">
        <v>387</v>
      </c>
      <c r="C112" s="26"/>
      <c r="D112" s="67" t="s">
        <v>424</v>
      </c>
      <c r="E112" s="24" t="s">
        <v>425</v>
      </c>
      <c r="F112" s="24" t="s">
        <v>43</v>
      </c>
      <c r="G112" s="3" t="s">
        <v>426</v>
      </c>
      <c r="H112" s="4" t="s">
        <v>427</v>
      </c>
      <c r="I112" s="4" t="s">
        <v>184</v>
      </c>
      <c r="J112" s="5" t="s">
        <v>127</v>
      </c>
      <c r="K112" s="3" t="str">
        <f t="shared" ca="1" si="15"/>
        <v xml:space="preserve">5 Tahun 6 bulan </v>
      </c>
      <c r="L112" s="30" t="s">
        <v>200</v>
      </c>
      <c r="M112" s="5" t="s">
        <v>127</v>
      </c>
      <c r="N112" s="3" t="str">
        <f t="shared" ca="1" si="16"/>
        <v xml:space="preserve">5 Tahun 6 bulan </v>
      </c>
      <c r="O112" s="4"/>
      <c r="P112" s="4" t="s">
        <v>35</v>
      </c>
      <c r="Q112" s="4" t="str">
        <f t="shared" si="17"/>
        <v>Laki-Laki</v>
      </c>
      <c r="R112" s="4">
        <f t="shared" si="14"/>
        <v>1</v>
      </c>
      <c r="S112" s="4" t="str">
        <f t="shared" si="25"/>
        <v>1</v>
      </c>
      <c r="T112" s="4">
        <f t="shared" si="23"/>
        <v>0</v>
      </c>
      <c r="U112" s="29"/>
      <c r="V112" s="30" t="s">
        <v>50</v>
      </c>
      <c r="W112" s="30"/>
      <c r="X112" s="30"/>
      <c r="Y112" s="30"/>
      <c r="Z112" s="30"/>
      <c r="AA112" s="30"/>
      <c r="AB112" s="29"/>
      <c r="AC112" s="29"/>
      <c r="AD112" s="37">
        <f t="shared" si="20"/>
        <v>28230</v>
      </c>
      <c r="AE112" s="3" t="str">
        <f t="shared" ca="1" si="18"/>
        <v>49 Tahun 4 bulan 17 Hari</v>
      </c>
      <c r="AF112" s="38">
        <f t="shared" si="21"/>
        <v>50161</v>
      </c>
    </row>
    <row r="113" spans="1:33" s="306" customFormat="1" ht="39" customHeight="1" x14ac:dyDescent="0.35">
      <c r="A113" s="26">
        <f t="shared" si="19"/>
        <v>103</v>
      </c>
      <c r="B113" s="27" t="s">
        <v>387</v>
      </c>
      <c r="C113" s="26"/>
      <c r="D113" s="67" t="s">
        <v>428</v>
      </c>
      <c r="E113" s="24" t="s">
        <v>417</v>
      </c>
      <c r="F113" s="24" t="s">
        <v>43</v>
      </c>
      <c r="G113" s="3" t="s">
        <v>418</v>
      </c>
      <c r="H113" s="4" t="s">
        <v>419</v>
      </c>
      <c r="I113" s="33" t="s">
        <v>1656</v>
      </c>
      <c r="J113" s="5">
        <v>46087</v>
      </c>
      <c r="K113" s="3" t="str">
        <f t="shared" ca="1" si="15"/>
        <v xml:space="preserve">0 Tahun 5 bulan </v>
      </c>
      <c r="L113" s="30" t="s">
        <v>200</v>
      </c>
      <c r="M113" s="5">
        <v>46087</v>
      </c>
      <c r="N113" s="3" t="str">
        <f t="shared" ca="1" si="16"/>
        <v xml:space="preserve">0 Tahun 5 bulan </v>
      </c>
      <c r="O113" s="4"/>
      <c r="P113" s="4" t="s">
        <v>35</v>
      </c>
      <c r="Q113" s="4" t="str">
        <f t="shared" si="17"/>
        <v>Laki-Laki</v>
      </c>
      <c r="R113" s="4">
        <f t="shared" si="14"/>
        <v>1</v>
      </c>
      <c r="S113" s="4" t="str">
        <f t="shared" si="25"/>
        <v>1</v>
      </c>
      <c r="T113" s="4">
        <f t="shared" si="23"/>
        <v>0</v>
      </c>
      <c r="U113" s="29"/>
      <c r="V113" s="30" t="s">
        <v>50</v>
      </c>
      <c r="W113" s="30"/>
      <c r="X113" s="30"/>
      <c r="Y113" s="30"/>
      <c r="Z113" s="30"/>
      <c r="AA113" s="30"/>
      <c r="AB113" s="29"/>
      <c r="AC113" s="29"/>
      <c r="AD113" s="37">
        <f t="shared" si="20"/>
        <v>27599</v>
      </c>
      <c r="AE113" s="3" t="str">
        <f t="shared" ca="1" si="18"/>
        <v>51 Tahun 1 bulan 8 Hari</v>
      </c>
      <c r="AF113" s="38">
        <f t="shared" si="21"/>
        <v>49522</v>
      </c>
    </row>
    <row r="114" spans="1:33" s="306" customFormat="1" ht="32.15" customHeight="1" x14ac:dyDescent="0.35">
      <c r="A114" s="26">
        <f t="shared" si="19"/>
        <v>104</v>
      </c>
      <c r="B114" s="27" t="s">
        <v>387</v>
      </c>
      <c r="C114" s="26"/>
      <c r="D114" s="67" t="s">
        <v>416</v>
      </c>
      <c r="E114" s="45" t="s">
        <v>431</v>
      </c>
      <c r="F114" s="24" t="s">
        <v>43</v>
      </c>
      <c r="G114" s="44" t="s">
        <v>432</v>
      </c>
      <c r="H114" s="4" t="s">
        <v>85</v>
      </c>
      <c r="I114" s="4" t="s">
        <v>184</v>
      </c>
      <c r="J114" s="5" t="s">
        <v>87</v>
      </c>
      <c r="K114" s="3" t="str">
        <f t="shared" ca="1" si="15"/>
        <v xml:space="preserve">4 Tahun 8 bulan </v>
      </c>
      <c r="L114" s="30" t="s">
        <v>88</v>
      </c>
      <c r="M114" s="5" t="s">
        <v>87</v>
      </c>
      <c r="N114" s="3" t="str">
        <f t="shared" ca="1" si="16"/>
        <v xml:space="preserve">4 Tahun 8 bulan </v>
      </c>
      <c r="O114" s="29"/>
      <c r="P114" s="4" t="s">
        <v>35</v>
      </c>
      <c r="Q114" s="4" t="str">
        <f t="shared" si="17"/>
        <v>Laki-Laki</v>
      </c>
      <c r="R114" s="4">
        <f t="shared" si="14"/>
        <v>1</v>
      </c>
      <c r="S114" s="4" t="str">
        <f t="shared" si="25"/>
        <v>1</v>
      </c>
      <c r="T114" s="4">
        <f t="shared" si="23"/>
        <v>0</v>
      </c>
      <c r="U114" s="29"/>
      <c r="V114" s="30" t="s">
        <v>50</v>
      </c>
      <c r="W114" s="30"/>
      <c r="X114" s="30"/>
      <c r="Y114" s="30"/>
      <c r="Z114" s="30"/>
      <c r="AA114" s="30"/>
      <c r="AB114" s="29"/>
      <c r="AC114" s="29"/>
      <c r="AD114" s="37">
        <f t="shared" si="20"/>
        <v>26764</v>
      </c>
      <c r="AE114" s="3" t="str">
        <f t="shared" ca="1" si="18"/>
        <v>53 Tahun 4 bulan 22 Hari</v>
      </c>
      <c r="AF114" s="38">
        <f t="shared" si="21"/>
        <v>48700</v>
      </c>
    </row>
    <row r="115" spans="1:33" s="308" customFormat="1" ht="32.15" customHeight="1" x14ac:dyDescent="0.35">
      <c r="A115" s="4"/>
      <c r="B115" s="32" t="s">
        <v>433</v>
      </c>
      <c r="C115" s="269" t="s">
        <v>434</v>
      </c>
      <c r="D115" s="270"/>
      <c r="E115" s="271" t="str">
        <f ca="1">IF(J115="","",CONCATENATE(DATEDIF(J115,NOW(),"Y")," Tahun ",DATEDIF(J115,NOW(),"YM")," bulan "))</f>
        <v/>
      </c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3"/>
    </row>
    <row r="116" spans="1:33" s="306" customFormat="1" ht="32.15" customHeight="1" x14ac:dyDescent="0.35">
      <c r="A116" s="26">
        <f>A114+1</f>
        <v>105</v>
      </c>
      <c r="B116" s="27" t="s">
        <v>433</v>
      </c>
      <c r="C116" s="278" t="s">
        <v>435</v>
      </c>
      <c r="D116" s="279"/>
      <c r="E116" s="24" t="s">
        <v>3034</v>
      </c>
      <c r="F116" s="24" t="s">
        <v>43</v>
      </c>
      <c r="G116" s="3" t="s">
        <v>436</v>
      </c>
      <c r="H116" s="4" t="s">
        <v>437</v>
      </c>
      <c r="I116" s="41" t="s">
        <v>438</v>
      </c>
      <c r="J116" s="5" t="s">
        <v>439</v>
      </c>
      <c r="K116" s="3" t="str">
        <f t="shared" ca="1" si="15"/>
        <v xml:space="preserve">6 Tahun 7 bulan </v>
      </c>
      <c r="L116" s="30" t="s">
        <v>56</v>
      </c>
      <c r="M116" s="5" t="s">
        <v>439</v>
      </c>
      <c r="N116" s="3" t="str">
        <f t="shared" ca="1" si="16"/>
        <v xml:space="preserve">6 Tahun 7 bulan </v>
      </c>
      <c r="O116" s="4" t="s">
        <v>81</v>
      </c>
      <c r="P116" s="4" t="s">
        <v>35</v>
      </c>
      <c r="Q116" s="4" t="str">
        <f t="shared" si="17"/>
        <v>Laki-Laki</v>
      </c>
      <c r="R116" s="4">
        <f>R114</f>
        <v>1</v>
      </c>
      <c r="S116" s="4" t="str">
        <f t="shared" ref="S116:S132" si="26">IF(E116="LOWONG","0","1")</f>
        <v>1</v>
      </c>
      <c r="T116" s="4">
        <f t="shared" si="23"/>
        <v>0</v>
      </c>
      <c r="U116" s="29"/>
      <c r="V116" s="30" t="s">
        <v>50</v>
      </c>
      <c r="W116" s="30"/>
      <c r="X116" s="30"/>
      <c r="Y116" s="30"/>
      <c r="Z116" s="30"/>
      <c r="AA116" s="30"/>
      <c r="AB116" s="29"/>
      <c r="AC116" s="29"/>
      <c r="AD116" s="37">
        <f t="shared" si="20"/>
        <v>29101</v>
      </c>
      <c r="AE116" s="3" t="str">
        <f t="shared" ca="1" si="18"/>
        <v>46 Tahun 11 bulan 29 Hari</v>
      </c>
      <c r="AF116" s="38">
        <f t="shared" si="21"/>
        <v>51044</v>
      </c>
    </row>
    <row r="117" spans="1:33" s="306" customFormat="1" ht="32.15" customHeight="1" x14ac:dyDescent="0.35">
      <c r="A117" s="26">
        <f t="shared" si="19"/>
        <v>106</v>
      </c>
      <c r="B117" s="27" t="s">
        <v>433</v>
      </c>
      <c r="C117" s="256" t="s">
        <v>440</v>
      </c>
      <c r="D117" s="257"/>
      <c r="E117" s="45" t="s">
        <v>3138</v>
      </c>
      <c r="F117" s="45" t="s">
        <v>43</v>
      </c>
      <c r="G117" s="44" t="s">
        <v>3139</v>
      </c>
      <c r="H117" s="4" t="s">
        <v>126</v>
      </c>
      <c r="I117" s="36" t="s">
        <v>3140</v>
      </c>
      <c r="J117" s="5">
        <v>46239</v>
      </c>
      <c r="K117" s="3" t="str">
        <f t="shared" ca="1" si="15"/>
        <v xml:space="preserve">0 Tahun 0 bulan </v>
      </c>
      <c r="L117" s="30" t="s">
        <v>79</v>
      </c>
      <c r="M117" s="5">
        <v>46239</v>
      </c>
      <c r="N117" s="3" t="str">
        <f t="shared" ca="1" si="16"/>
        <v xml:space="preserve">0 Tahun 0 bulan </v>
      </c>
      <c r="O117" s="4" t="s">
        <v>81</v>
      </c>
      <c r="P117" s="4" t="s">
        <v>35</v>
      </c>
      <c r="Q117" s="4" t="str">
        <f t="shared" si="17"/>
        <v>Perempuan</v>
      </c>
      <c r="R117" s="4">
        <f t="shared" si="14"/>
        <v>1</v>
      </c>
      <c r="S117" s="4" t="str">
        <f t="shared" si="26"/>
        <v>1</v>
      </c>
      <c r="T117" s="4">
        <f t="shared" si="23"/>
        <v>0</v>
      </c>
      <c r="U117" s="29"/>
      <c r="V117" s="30" t="s">
        <v>50</v>
      </c>
      <c r="W117" s="30"/>
      <c r="X117" s="30"/>
      <c r="Y117" s="30"/>
      <c r="Z117" s="30"/>
      <c r="AA117" s="30"/>
      <c r="AB117" s="29"/>
      <c r="AC117" s="29"/>
      <c r="AD117" s="37">
        <f t="shared" si="20"/>
        <v>27687</v>
      </c>
      <c r="AE117" s="3" t="str">
        <f t="shared" ca="1" si="18"/>
        <v>50 Tahun 10 bulan 12 Hari</v>
      </c>
      <c r="AF117" s="38">
        <f t="shared" si="21"/>
        <v>49614</v>
      </c>
    </row>
    <row r="118" spans="1:33" s="306" customFormat="1" ht="32.15" customHeight="1" x14ac:dyDescent="0.35">
      <c r="A118" s="26">
        <f t="shared" si="19"/>
        <v>107</v>
      </c>
      <c r="B118" s="27" t="s">
        <v>433</v>
      </c>
      <c r="C118" s="26"/>
      <c r="D118" s="50" t="s">
        <v>442</v>
      </c>
      <c r="E118" s="24" t="s">
        <v>443</v>
      </c>
      <c r="F118" s="24" t="s">
        <v>43</v>
      </c>
      <c r="G118" s="3" t="s">
        <v>444</v>
      </c>
      <c r="H118" s="4" t="s">
        <v>445</v>
      </c>
      <c r="I118" s="36" t="s">
        <v>446</v>
      </c>
      <c r="J118" s="5" t="s">
        <v>447</v>
      </c>
      <c r="K118" s="3" t="str">
        <f t="shared" ca="1" si="15"/>
        <v xml:space="preserve">2 Tahun 2 bulan </v>
      </c>
      <c r="L118" s="30" t="s">
        <v>200</v>
      </c>
      <c r="M118" s="5" t="s">
        <v>447</v>
      </c>
      <c r="N118" s="3" t="str">
        <f t="shared" ca="1" si="16"/>
        <v xml:space="preserve">2 Tahun 2 bulan </v>
      </c>
      <c r="O118" s="4"/>
      <c r="P118" s="4" t="s">
        <v>35</v>
      </c>
      <c r="Q118" s="4" t="str">
        <f t="shared" si="17"/>
        <v>Perempuan</v>
      </c>
      <c r="R118" s="4">
        <f t="shared" si="14"/>
        <v>1</v>
      </c>
      <c r="S118" s="4" t="str">
        <f t="shared" si="26"/>
        <v>1</v>
      </c>
      <c r="T118" s="4">
        <f t="shared" si="23"/>
        <v>0</v>
      </c>
      <c r="U118" s="29"/>
      <c r="V118" s="30"/>
      <c r="W118" s="30"/>
      <c r="X118" s="30"/>
      <c r="Y118" s="30"/>
      <c r="Z118" s="30"/>
      <c r="AA118" s="30"/>
      <c r="AB118" s="29"/>
      <c r="AC118" s="29"/>
      <c r="AD118" s="37">
        <f t="shared" si="20"/>
        <v>29872</v>
      </c>
      <c r="AE118" s="3" t="str">
        <f t="shared" ca="1" si="18"/>
        <v>44 Tahun 10 bulan 19 Hari</v>
      </c>
      <c r="AF118" s="38">
        <f t="shared" si="21"/>
        <v>51806</v>
      </c>
    </row>
    <row r="119" spans="1:33" s="306" customFormat="1" ht="32.15" customHeight="1" x14ac:dyDescent="0.35">
      <c r="A119" s="26">
        <f t="shared" si="19"/>
        <v>108</v>
      </c>
      <c r="B119" s="27" t="s">
        <v>433</v>
      </c>
      <c r="C119" s="26"/>
      <c r="D119" s="50" t="s">
        <v>448</v>
      </c>
      <c r="E119" s="45" t="s">
        <v>108</v>
      </c>
      <c r="F119" s="45"/>
      <c r="G119" s="44"/>
      <c r="H119" s="4"/>
      <c r="I119" s="36"/>
      <c r="J119" s="5"/>
      <c r="K119" s="3" t="str">
        <f t="shared" ca="1" si="15"/>
        <v/>
      </c>
      <c r="L119" s="30" t="s">
        <v>88</v>
      </c>
      <c r="M119" s="5"/>
      <c r="N119" s="3" t="str">
        <f t="shared" ca="1" si="16"/>
        <v/>
      </c>
      <c r="O119" s="4"/>
      <c r="P119" s="4"/>
      <c r="Q119" s="4" t="str">
        <f t="shared" si="17"/>
        <v/>
      </c>
      <c r="R119" s="4">
        <f t="shared" si="14"/>
        <v>1</v>
      </c>
      <c r="S119" s="4" t="str">
        <f t="shared" si="26"/>
        <v>0</v>
      </c>
      <c r="T119" s="4">
        <f t="shared" si="23"/>
        <v>1</v>
      </c>
      <c r="U119" s="29"/>
      <c r="V119" s="30"/>
      <c r="W119" s="30"/>
      <c r="X119" s="30"/>
      <c r="Y119" s="30"/>
      <c r="Z119" s="30"/>
      <c r="AA119" s="30"/>
      <c r="AB119" s="29"/>
      <c r="AC119" s="29"/>
      <c r="AD119" s="37" t="str">
        <f t="shared" si="20"/>
        <v/>
      </c>
      <c r="AE119" s="3" t="str">
        <f t="shared" ca="1" si="18"/>
        <v/>
      </c>
      <c r="AF119" s="38" t="str">
        <f t="shared" si="21"/>
        <v/>
      </c>
    </row>
    <row r="120" spans="1:33" s="306" customFormat="1" ht="32.15" customHeight="1" x14ac:dyDescent="0.35">
      <c r="A120" s="26">
        <f t="shared" si="19"/>
        <v>109</v>
      </c>
      <c r="B120" s="27" t="s">
        <v>433</v>
      </c>
      <c r="C120" s="26"/>
      <c r="D120" s="50" t="s">
        <v>449</v>
      </c>
      <c r="E120" s="45" t="s">
        <v>2955</v>
      </c>
      <c r="F120" s="45" t="s">
        <v>71</v>
      </c>
      <c r="G120" s="44" t="s">
        <v>2956</v>
      </c>
      <c r="H120" s="4" t="s">
        <v>2957</v>
      </c>
      <c r="I120" s="36" t="s">
        <v>2958</v>
      </c>
      <c r="J120" s="5">
        <v>46147</v>
      </c>
      <c r="K120" s="3" t="str">
        <f t="shared" ca="1" si="15"/>
        <v xml:space="preserve">0 Tahun 3 bulan </v>
      </c>
      <c r="L120" s="30" t="s">
        <v>200</v>
      </c>
      <c r="M120" s="5">
        <v>46147</v>
      </c>
      <c r="N120" s="3" t="str">
        <f t="shared" ca="1" si="16"/>
        <v xml:space="preserve">0 Tahun 3 bulan </v>
      </c>
      <c r="O120" s="4"/>
      <c r="P120" s="4" t="s">
        <v>35</v>
      </c>
      <c r="Q120" s="4" t="str">
        <f t="shared" si="17"/>
        <v>Perempuan</v>
      </c>
      <c r="R120" s="4">
        <f t="shared" si="14"/>
        <v>1</v>
      </c>
      <c r="S120" s="4" t="str">
        <f t="shared" si="26"/>
        <v>1</v>
      </c>
      <c r="T120" s="4">
        <f t="shared" si="23"/>
        <v>0</v>
      </c>
      <c r="U120" s="29"/>
      <c r="V120" s="30" t="s">
        <v>50</v>
      </c>
      <c r="W120" s="30"/>
      <c r="X120" s="30"/>
      <c r="Y120" s="30"/>
      <c r="Z120" s="30"/>
      <c r="AA120" s="30"/>
      <c r="AB120" s="29"/>
      <c r="AC120" s="29"/>
      <c r="AD120" s="37">
        <f t="shared" si="20"/>
        <v>32937</v>
      </c>
      <c r="AE120" s="3" t="str">
        <f t="shared" ca="1" si="18"/>
        <v>36 Tahun 5 bulan 27 Hari</v>
      </c>
      <c r="AF120" s="38">
        <f t="shared" si="21"/>
        <v>54879</v>
      </c>
    </row>
    <row r="121" spans="1:33" s="306" customFormat="1" ht="32.15" customHeight="1" x14ac:dyDescent="0.35">
      <c r="A121" s="26">
        <f t="shared" si="19"/>
        <v>110</v>
      </c>
      <c r="B121" s="27" t="s">
        <v>433</v>
      </c>
      <c r="C121" s="256" t="s">
        <v>451</v>
      </c>
      <c r="D121" s="257"/>
      <c r="E121" s="45" t="s">
        <v>452</v>
      </c>
      <c r="F121" s="24" t="s">
        <v>43</v>
      </c>
      <c r="G121" s="44" t="s">
        <v>453</v>
      </c>
      <c r="H121" s="4" t="s">
        <v>454</v>
      </c>
      <c r="I121" s="36" t="s">
        <v>107</v>
      </c>
      <c r="J121" s="5" t="s">
        <v>220</v>
      </c>
      <c r="K121" s="3" t="str">
        <f t="shared" ca="1" si="15"/>
        <v xml:space="preserve">2 Tahun 11 bulan </v>
      </c>
      <c r="L121" s="30" t="s">
        <v>346</v>
      </c>
      <c r="M121" s="5" t="s">
        <v>220</v>
      </c>
      <c r="N121" s="3" t="str">
        <f t="shared" ca="1" si="16"/>
        <v xml:space="preserve">2 Tahun 11 bulan </v>
      </c>
      <c r="O121" s="4"/>
      <c r="P121" s="4" t="s">
        <v>35</v>
      </c>
      <c r="Q121" s="4" t="str">
        <f t="shared" si="17"/>
        <v>Laki-Laki</v>
      </c>
      <c r="R121" s="4">
        <f t="shared" si="14"/>
        <v>1</v>
      </c>
      <c r="S121" s="4" t="str">
        <f t="shared" si="26"/>
        <v>1</v>
      </c>
      <c r="T121" s="4">
        <f t="shared" si="23"/>
        <v>0</v>
      </c>
      <c r="U121" s="29"/>
      <c r="V121" s="30" t="s">
        <v>50</v>
      </c>
      <c r="W121" s="30"/>
      <c r="X121" s="30"/>
      <c r="Y121" s="30"/>
      <c r="Z121" s="30"/>
      <c r="AA121" s="30"/>
      <c r="AB121" s="29"/>
      <c r="AC121" s="29"/>
      <c r="AD121" s="37">
        <f t="shared" si="20"/>
        <v>30427</v>
      </c>
      <c r="AE121" s="3" t="str">
        <f t="shared" ca="1" si="18"/>
        <v>43 Tahun 4 bulan 11 Hari</v>
      </c>
      <c r="AF121" s="38">
        <f t="shared" si="21"/>
        <v>52352</v>
      </c>
    </row>
    <row r="122" spans="1:33" s="306" customFormat="1" ht="32.15" customHeight="1" x14ac:dyDescent="0.35">
      <c r="A122" s="26">
        <f t="shared" si="19"/>
        <v>111</v>
      </c>
      <c r="B122" s="27" t="s">
        <v>433</v>
      </c>
      <c r="C122" s="26"/>
      <c r="D122" s="50" t="s">
        <v>455</v>
      </c>
      <c r="E122" s="24" t="s">
        <v>108</v>
      </c>
      <c r="F122" s="24"/>
      <c r="G122" s="4"/>
      <c r="H122" s="4"/>
      <c r="I122" s="33"/>
      <c r="J122" s="5"/>
      <c r="K122" s="3" t="str">
        <f t="shared" ca="1" si="15"/>
        <v/>
      </c>
      <c r="L122" s="30" t="s">
        <v>88</v>
      </c>
      <c r="M122" s="5"/>
      <c r="N122" s="3" t="str">
        <f t="shared" ca="1" si="16"/>
        <v/>
      </c>
      <c r="O122" s="4"/>
      <c r="P122" s="4"/>
      <c r="Q122" s="4" t="str">
        <f t="shared" si="17"/>
        <v/>
      </c>
      <c r="R122" s="4">
        <f t="shared" si="14"/>
        <v>1</v>
      </c>
      <c r="S122" s="4" t="str">
        <f t="shared" si="26"/>
        <v>0</v>
      </c>
      <c r="T122" s="4">
        <f t="shared" si="23"/>
        <v>1</v>
      </c>
      <c r="U122" s="29"/>
      <c r="V122" s="30" t="s">
        <v>50</v>
      </c>
      <c r="W122" s="30"/>
      <c r="X122" s="30"/>
      <c r="Y122" s="30"/>
      <c r="Z122" s="30"/>
      <c r="AA122" s="30"/>
      <c r="AB122" s="29"/>
      <c r="AC122" s="29"/>
      <c r="AD122" s="37" t="str">
        <f t="shared" si="20"/>
        <v/>
      </c>
      <c r="AE122" s="3" t="str">
        <f t="shared" ca="1" si="18"/>
        <v/>
      </c>
      <c r="AF122" s="38" t="str">
        <f t="shared" si="21"/>
        <v/>
      </c>
      <c r="AG122" s="307"/>
    </row>
    <row r="123" spans="1:33" s="306" customFormat="1" ht="32.15" customHeight="1" x14ac:dyDescent="0.35">
      <c r="A123" s="26">
        <f t="shared" si="19"/>
        <v>112</v>
      </c>
      <c r="B123" s="27" t="s">
        <v>433</v>
      </c>
      <c r="C123" s="26"/>
      <c r="D123" s="50" t="s">
        <v>455</v>
      </c>
      <c r="E123" s="24" t="s">
        <v>456</v>
      </c>
      <c r="F123" s="24" t="s">
        <v>43</v>
      </c>
      <c r="G123" s="3" t="s">
        <v>457</v>
      </c>
      <c r="H123" s="4" t="s">
        <v>458</v>
      </c>
      <c r="I123" s="41" t="s">
        <v>107</v>
      </c>
      <c r="J123" s="5" t="s">
        <v>87</v>
      </c>
      <c r="K123" s="3" t="str">
        <f t="shared" ca="1" si="15"/>
        <v xml:space="preserve">4 Tahun 8 bulan </v>
      </c>
      <c r="L123" s="30" t="s">
        <v>88</v>
      </c>
      <c r="M123" s="5" t="s">
        <v>87</v>
      </c>
      <c r="N123" s="3" t="str">
        <f t="shared" ca="1" si="16"/>
        <v xml:space="preserve">4 Tahun 8 bulan </v>
      </c>
      <c r="O123" s="4"/>
      <c r="P123" s="4" t="s">
        <v>35</v>
      </c>
      <c r="Q123" s="4" t="str">
        <f t="shared" si="17"/>
        <v>Laki-Laki</v>
      </c>
      <c r="R123" s="4">
        <f t="shared" si="14"/>
        <v>1</v>
      </c>
      <c r="S123" s="4" t="str">
        <f t="shared" si="26"/>
        <v>1</v>
      </c>
      <c r="T123" s="4">
        <f t="shared" si="23"/>
        <v>0</v>
      </c>
      <c r="U123" s="29"/>
      <c r="V123" s="30" t="s">
        <v>50</v>
      </c>
      <c r="W123" s="30"/>
      <c r="X123" s="30"/>
      <c r="Y123" s="30"/>
      <c r="Z123" s="30"/>
      <c r="AA123" s="30"/>
      <c r="AB123" s="29"/>
      <c r="AC123" s="29"/>
      <c r="AD123" s="37">
        <f t="shared" si="20"/>
        <v>28383</v>
      </c>
      <c r="AE123" s="3" t="str">
        <f t="shared" ca="1" si="18"/>
        <v>48 Tahun 11 bulan 17 Hari</v>
      </c>
      <c r="AF123" s="38">
        <f t="shared" si="21"/>
        <v>50314</v>
      </c>
    </row>
    <row r="124" spans="1:33" s="306" customFormat="1" ht="32.15" customHeight="1" x14ac:dyDescent="0.35">
      <c r="A124" s="26">
        <f t="shared" si="19"/>
        <v>113</v>
      </c>
      <c r="B124" s="27" t="s">
        <v>433</v>
      </c>
      <c r="C124" s="256" t="s">
        <v>459</v>
      </c>
      <c r="D124" s="257"/>
      <c r="E124" s="24" t="s">
        <v>460</v>
      </c>
      <c r="F124" s="24" t="s">
        <v>43</v>
      </c>
      <c r="G124" s="3" t="s">
        <v>461</v>
      </c>
      <c r="H124" s="4" t="s">
        <v>462</v>
      </c>
      <c r="I124" s="4" t="s">
        <v>86</v>
      </c>
      <c r="J124" s="5" t="s">
        <v>463</v>
      </c>
      <c r="K124" s="3" t="str">
        <f t="shared" ca="1" si="15"/>
        <v xml:space="preserve">3 Tahun 6 bulan </v>
      </c>
      <c r="L124" s="30" t="s">
        <v>346</v>
      </c>
      <c r="M124" s="5" t="s">
        <v>463</v>
      </c>
      <c r="N124" s="3" t="str">
        <f t="shared" ca="1" si="16"/>
        <v xml:space="preserve">3 Tahun 6 bulan </v>
      </c>
      <c r="O124" s="4"/>
      <c r="P124" s="4" t="s">
        <v>35</v>
      </c>
      <c r="Q124" s="4" t="str">
        <f t="shared" si="17"/>
        <v>Perempuan</v>
      </c>
      <c r="R124" s="4">
        <f t="shared" si="14"/>
        <v>1</v>
      </c>
      <c r="S124" s="4" t="str">
        <f t="shared" si="26"/>
        <v>1</v>
      </c>
      <c r="T124" s="4">
        <f t="shared" si="23"/>
        <v>0</v>
      </c>
      <c r="U124" s="29"/>
      <c r="V124" s="30"/>
      <c r="W124" s="30"/>
      <c r="X124" s="30"/>
      <c r="Y124" s="30"/>
      <c r="Z124" s="30"/>
      <c r="AA124" s="30"/>
      <c r="AB124" s="29"/>
      <c r="AC124" s="29"/>
      <c r="AD124" s="37">
        <f t="shared" si="20"/>
        <v>29724</v>
      </c>
      <c r="AE124" s="3" t="str">
        <f t="shared" ca="1" si="18"/>
        <v>45 Tahun 3 bulan 14 Hari</v>
      </c>
      <c r="AF124" s="38">
        <f t="shared" si="21"/>
        <v>51653</v>
      </c>
    </row>
    <row r="125" spans="1:33" s="306" customFormat="1" ht="32.15" customHeight="1" x14ac:dyDescent="0.35">
      <c r="A125" s="26">
        <f t="shared" si="19"/>
        <v>114</v>
      </c>
      <c r="B125" s="27" t="s">
        <v>433</v>
      </c>
      <c r="C125" s="26"/>
      <c r="D125" s="50" t="s">
        <v>455</v>
      </c>
      <c r="E125" s="45" t="s">
        <v>464</v>
      </c>
      <c r="F125" s="24" t="s">
        <v>43</v>
      </c>
      <c r="G125" s="36" t="s">
        <v>465</v>
      </c>
      <c r="H125" s="4" t="s">
        <v>466</v>
      </c>
      <c r="I125" s="69" t="s">
        <v>86</v>
      </c>
      <c r="J125" s="5" t="s">
        <v>87</v>
      </c>
      <c r="K125" s="3" t="str">
        <f t="shared" ca="1" si="15"/>
        <v xml:space="preserve">4 Tahun 8 bulan </v>
      </c>
      <c r="L125" s="30" t="s">
        <v>88</v>
      </c>
      <c r="M125" s="5" t="s">
        <v>87</v>
      </c>
      <c r="N125" s="3" t="str">
        <f t="shared" ca="1" si="16"/>
        <v xml:space="preserve">4 Tahun 8 bulan </v>
      </c>
      <c r="O125" s="4"/>
      <c r="P125" s="4" t="s">
        <v>35</v>
      </c>
      <c r="Q125" s="4" t="str">
        <f t="shared" si="17"/>
        <v>Perempuan</v>
      </c>
      <c r="R125" s="4">
        <f t="shared" ref="R125:R163" si="27">R124</f>
        <v>1</v>
      </c>
      <c r="S125" s="4" t="str">
        <f t="shared" si="26"/>
        <v>1</v>
      </c>
      <c r="T125" s="4">
        <f t="shared" si="23"/>
        <v>0</v>
      </c>
      <c r="U125" s="29"/>
      <c r="V125" s="30"/>
      <c r="W125" s="30"/>
      <c r="X125" s="30"/>
      <c r="Y125" s="30"/>
      <c r="Z125" s="30"/>
      <c r="AA125" s="30"/>
      <c r="AB125" s="29"/>
      <c r="AC125" s="29"/>
      <c r="AD125" s="37">
        <f t="shared" si="20"/>
        <v>28868</v>
      </c>
      <c r="AE125" s="3" t="str">
        <f t="shared" ca="1" si="18"/>
        <v>47 Tahun 7 bulan 19 Hari</v>
      </c>
      <c r="AF125" s="38">
        <f t="shared" si="21"/>
        <v>50802</v>
      </c>
    </row>
    <row r="126" spans="1:33" s="306" customFormat="1" ht="32.15" customHeight="1" x14ac:dyDescent="0.35">
      <c r="A126" s="26">
        <f t="shared" si="19"/>
        <v>115</v>
      </c>
      <c r="B126" s="27" t="s">
        <v>433</v>
      </c>
      <c r="C126" s="26"/>
      <c r="D126" s="50" t="s">
        <v>455</v>
      </c>
      <c r="E126" s="24" t="s">
        <v>467</v>
      </c>
      <c r="F126" s="24" t="s">
        <v>43</v>
      </c>
      <c r="G126" s="4" t="s">
        <v>468</v>
      </c>
      <c r="H126" s="4" t="s">
        <v>279</v>
      </c>
      <c r="I126" s="4" t="s">
        <v>86</v>
      </c>
      <c r="J126" s="5" t="s">
        <v>87</v>
      </c>
      <c r="K126" s="3" t="str">
        <f t="shared" ca="1" si="15"/>
        <v xml:space="preserve">4 Tahun 8 bulan </v>
      </c>
      <c r="L126" s="30" t="s">
        <v>88</v>
      </c>
      <c r="M126" s="5" t="s">
        <v>87</v>
      </c>
      <c r="N126" s="3" t="str">
        <f t="shared" ca="1" si="16"/>
        <v xml:space="preserve">4 Tahun 8 bulan </v>
      </c>
      <c r="O126" s="4"/>
      <c r="P126" s="4" t="s">
        <v>35</v>
      </c>
      <c r="Q126" s="4" t="str">
        <f t="shared" si="17"/>
        <v>Perempuan</v>
      </c>
      <c r="R126" s="4">
        <f t="shared" si="27"/>
        <v>1</v>
      </c>
      <c r="S126" s="4" t="str">
        <f t="shared" si="26"/>
        <v>1</v>
      </c>
      <c r="T126" s="4">
        <f t="shared" si="23"/>
        <v>0</v>
      </c>
      <c r="U126" s="29"/>
      <c r="V126" s="30"/>
      <c r="W126" s="30"/>
      <c r="X126" s="30"/>
      <c r="Y126" s="30"/>
      <c r="Z126" s="30"/>
      <c r="AA126" s="30"/>
      <c r="AB126" s="29"/>
      <c r="AC126" s="29"/>
      <c r="AD126" s="37">
        <f t="shared" si="20"/>
        <v>26465</v>
      </c>
      <c r="AE126" s="3" t="str">
        <f t="shared" ca="1" si="18"/>
        <v>54 Tahun 2 bulan 17 Hari</v>
      </c>
      <c r="AF126" s="38">
        <f t="shared" si="21"/>
        <v>48396</v>
      </c>
    </row>
    <row r="127" spans="1:33" s="306" customFormat="1" ht="41.25" customHeight="1" x14ac:dyDescent="0.35">
      <c r="A127" s="26">
        <f t="shared" si="19"/>
        <v>116</v>
      </c>
      <c r="B127" s="27" t="s">
        <v>433</v>
      </c>
      <c r="C127" s="256" t="s">
        <v>469</v>
      </c>
      <c r="D127" s="257"/>
      <c r="E127" s="24" t="s">
        <v>470</v>
      </c>
      <c r="F127" s="24" t="s">
        <v>43</v>
      </c>
      <c r="G127" s="3" t="s">
        <v>471</v>
      </c>
      <c r="H127" s="4" t="s">
        <v>472</v>
      </c>
      <c r="I127" s="36" t="s">
        <v>86</v>
      </c>
      <c r="J127" s="5" t="s">
        <v>473</v>
      </c>
      <c r="K127" s="3" t="str">
        <f t="shared" ca="1" si="15"/>
        <v xml:space="preserve">5 Tahun 8 bulan </v>
      </c>
      <c r="L127" s="30" t="s">
        <v>346</v>
      </c>
      <c r="M127" s="5" t="s">
        <v>473</v>
      </c>
      <c r="N127" s="3" t="str">
        <f t="shared" ca="1" si="16"/>
        <v xml:space="preserve">5 Tahun 8 bulan </v>
      </c>
      <c r="O127" s="4" t="s">
        <v>128</v>
      </c>
      <c r="P127" s="4" t="s">
        <v>35</v>
      </c>
      <c r="Q127" s="4" t="str">
        <f t="shared" si="17"/>
        <v>Perempuan</v>
      </c>
      <c r="R127" s="4">
        <f t="shared" si="27"/>
        <v>1</v>
      </c>
      <c r="S127" s="4" t="str">
        <f t="shared" si="26"/>
        <v>1</v>
      </c>
      <c r="T127" s="4">
        <f t="shared" si="23"/>
        <v>0</v>
      </c>
      <c r="U127" s="29"/>
      <c r="V127" s="30"/>
      <c r="W127" s="30"/>
      <c r="X127" s="30"/>
      <c r="Y127" s="30"/>
      <c r="Z127" s="30"/>
      <c r="AA127" s="30"/>
      <c r="AB127" s="29"/>
      <c r="AC127" s="29"/>
      <c r="AD127" s="37">
        <f t="shared" si="20"/>
        <v>26374</v>
      </c>
      <c r="AE127" s="3" t="str">
        <f t="shared" ca="1" si="18"/>
        <v>54 Tahun 5 bulan 16 Hari</v>
      </c>
      <c r="AF127" s="38">
        <f t="shared" si="21"/>
        <v>48305</v>
      </c>
    </row>
    <row r="128" spans="1:33" s="306" customFormat="1" ht="32.15" customHeight="1" x14ac:dyDescent="0.35">
      <c r="A128" s="26">
        <f t="shared" si="19"/>
        <v>117</v>
      </c>
      <c r="B128" s="27" t="s">
        <v>433</v>
      </c>
      <c r="C128" s="26"/>
      <c r="D128" s="50" t="s">
        <v>474</v>
      </c>
      <c r="E128" s="24" t="s">
        <v>475</v>
      </c>
      <c r="F128" s="24" t="s">
        <v>43</v>
      </c>
      <c r="G128" s="3" t="s">
        <v>476</v>
      </c>
      <c r="H128" s="4" t="s">
        <v>385</v>
      </c>
      <c r="I128" s="36" t="s">
        <v>46</v>
      </c>
      <c r="J128" s="5" t="s">
        <v>87</v>
      </c>
      <c r="K128" s="3" t="str">
        <f t="shared" ca="1" si="15"/>
        <v xml:space="preserve">4 Tahun 8 bulan </v>
      </c>
      <c r="L128" s="30" t="s">
        <v>88</v>
      </c>
      <c r="M128" s="5" t="s">
        <v>87</v>
      </c>
      <c r="N128" s="3" t="str">
        <f t="shared" ca="1" si="16"/>
        <v xml:space="preserve">4 Tahun 8 bulan </v>
      </c>
      <c r="O128" s="4"/>
      <c r="P128" s="4" t="s">
        <v>35</v>
      </c>
      <c r="Q128" s="4" t="str">
        <f t="shared" si="17"/>
        <v>Perempuan</v>
      </c>
      <c r="R128" s="4">
        <f t="shared" si="27"/>
        <v>1</v>
      </c>
      <c r="S128" s="4" t="str">
        <f t="shared" si="26"/>
        <v>1</v>
      </c>
      <c r="T128" s="4">
        <f t="shared" si="23"/>
        <v>0</v>
      </c>
      <c r="U128" s="29"/>
      <c r="V128" s="30"/>
      <c r="W128" s="30"/>
      <c r="X128" s="30"/>
      <c r="Y128" s="30"/>
      <c r="Z128" s="30"/>
      <c r="AA128" s="30"/>
      <c r="AB128" s="29"/>
      <c r="AC128" s="29"/>
      <c r="AD128" s="37">
        <f t="shared" si="20"/>
        <v>28010</v>
      </c>
      <c r="AE128" s="3" t="str">
        <f t="shared" ca="1" si="18"/>
        <v>49 Tahun 11 bulan 25 Hari</v>
      </c>
      <c r="AF128" s="38">
        <f t="shared" si="21"/>
        <v>49949</v>
      </c>
    </row>
    <row r="129" spans="1:32" s="306" customFormat="1" ht="32.15" customHeight="1" x14ac:dyDescent="0.35">
      <c r="A129" s="26">
        <f t="shared" si="19"/>
        <v>118</v>
      </c>
      <c r="B129" s="27" t="s">
        <v>433</v>
      </c>
      <c r="C129" s="26"/>
      <c r="D129" s="50" t="s">
        <v>455</v>
      </c>
      <c r="E129" s="45" t="s">
        <v>477</v>
      </c>
      <c r="F129" s="24" t="s">
        <v>43</v>
      </c>
      <c r="G129" s="44" t="s">
        <v>478</v>
      </c>
      <c r="H129" s="4" t="s">
        <v>479</v>
      </c>
      <c r="I129" s="36" t="s">
        <v>350</v>
      </c>
      <c r="J129" s="5" t="s">
        <v>87</v>
      </c>
      <c r="K129" s="3" t="str">
        <f t="shared" ca="1" si="15"/>
        <v xml:space="preserve">4 Tahun 8 bulan </v>
      </c>
      <c r="L129" s="30" t="s">
        <v>88</v>
      </c>
      <c r="M129" s="5" t="s">
        <v>87</v>
      </c>
      <c r="N129" s="3" t="str">
        <f t="shared" ca="1" si="16"/>
        <v xml:space="preserve">4 Tahun 8 bulan </v>
      </c>
      <c r="O129" s="4"/>
      <c r="P129" s="4" t="s">
        <v>35</v>
      </c>
      <c r="Q129" s="4" t="str">
        <f t="shared" si="17"/>
        <v>Perempuan</v>
      </c>
      <c r="R129" s="4">
        <f t="shared" si="27"/>
        <v>1</v>
      </c>
      <c r="S129" s="4" t="str">
        <f t="shared" si="26"/>
        <v>1</v>
      </c>
      <c r="T129" s="4">
        <f t="shared" si="23"/>
        <v>0</v>
      </c>
      <c r="U129" s="29"/>
      <c r="V129" s="30" t="s">
        <v>50</v>
      </c>
      <c r="W129" s="30"/>
      <c r="X129" s="30"/>
      <c r="Y129" s="30"/>
      <c r="Z129" s="30"/>
      <c r="AA129" s="30"/>
      <c r="AB129" s="29"/>
      <c r="AC129" s="29"/>
      <c r="AD129" s="37">
        <f t="shared" si="20"/>
        <v>26047</v>
      </c>
      <c r="AE129" s="3" t="str">
        <f t="shared" ca="1" si="18"/>
        <v>55 Tahun 4 bulan 8 Hari</v>
      </c>
      <c r="AF129" s="38">
        <f t="shared" si="21"/>
        <v>47969</v>
      </c>
    </row>
    <row r="130" spans="1:32" s="306" customFormat="1" ht="32.15" customHeight="1" x14ac:dyDescent="0.35">
      <c r="A130" s="26">
        <f t="shared" si="19"/>
        <v>119</v>
      </c>
      <c r="B130" s="27" t="s">
        <v>433</v>
      </c>
      <c r="C130" s="256" t="s">
        <v>480</v>
      </c>
      <c r="D130" s="257"/>
      <c r="E130" s="24" t="s">
        <v>481</v>
      </c>
      <c r="F130" s="24" t="s">
        <v>43</v>
      </c>
      <c r="G130" s="3" t="s">
        <v>482</v>
      </c>
      <c r="H130" s="4" t="s">
        <v>385</v>
      </c>
      <c r="I130" s="33" t="s">
        <v>46</v>
      </c>
      <c r="J130" s="5" t="s">
        <v>127</v>
      </c>
      <c r="K130" s="3" t="str">
        <f t="shared" ca="1" si="15"/>
        <v xml:space="preserve">5 Tahun 6 bulan </v>
      </c>
      <c r="L130" s="30" t="s">
        <v>346</v>
      </c>
      <c r="M130" s="5" t="s">
        <v>127</v>
      </c>
      <c r="N130" s="3" t="str">
        <f t="shared" ca="1" si="16"/>
        <v xml:space="preserve">5 Tahun 6 bulan </v>
      </c>
      <c r="O130" s="35" t="s">
        <v>128</v>
      </c>
      <c r="P130" s="4" t="s">
        <v>35</v>
      </c>
      <c r="Q130" s="4" t="str">
        <f t="shared" si="17"/>
        <v>Perempuan</v>
      </c>
      <c r="R130" s="4">
        <f t="shared" si="27"/>
        <v>1</v>
      </c>
      <c r="S130" s="4" t="str">
        <f t="shared" si="26"/>
        <v>1</v>
      </c>
      <c r="T130" s="4">
        <f t="shared" si="23"/>
        <v>0</v>
      </c>
      <c r="U130" s="29"/>
      <c r="V130" s="30"/>
      <c r="W130" s="30"/>
      <c r="X130" s="30"/>
      <c r="Y130" s="30"/>
      <c r="Z130" s="30"/>
      <c r="AA130" s="30"/>
      <c r="AB130" s="29"/>
      <c r="AC130" s="29"/>
      <c r="AD130" s="37">
        <f t="shared" si="20"/>
        <v>28557</v>
      </c>
      <c r="AE130" s="3" t="str">
        <f t="shared" ca="1" si="18"/>
        <v>48 Tahun 5 bulan 24 Hari</v>
      </c>
      <c r="AF130" s="38">
        <f t="shared" si="21"/>
        <v>50496</v>
      </c>
    </row>
    <row r="131" spans="1:32" s="306" customFormat="1" ht="32.15" customHeight="1" x14ac:dyDescent="0.35">
      <c r="A131" s="26">
        <f t="shared" si="19"/>
        <v>120</v>
      </c>
      <c r="B131" s="27" t="s">
        <v>433</v>
      </c>
      <c r="C131" s="26"/>
      <c r="D131" s="50" t="s">
        <v>474</v>
      </c>
      <c r="E131" s="45" t="s">
        <v>108</v>
      </c>
      <c r="F131" s="45" t="str">
        <f t="shared" ref="F131:F132" si="28">IF(E131="LOWONG","",E131)</f>
        <v/>
      </c>
      <c r="G131" s="44"/>
      <c r="H131" s="4"/>
      <c r="I131" s="36"/>
      <c r="J131" s="5"/>
      <c r="K131" s="3" t="str">
        <f t="shared" ca="1" si="15"/>
        <v/>
      </c>
      <c r="L131" s="30" t="s">
        <v>88</v>
      </c>
      <c r="M131" s="5"/>
      <c r="N131" s="3" t="str">
        <f t="shared" ca="1" si="16"/>
        <v/>
      </c>
      <c r="O131" s="4"/>
      <c r="P131" s="4"/>
      <c r="Q131" s="4" t="str">
        <f t="shared" si="17"/>
        <v/>
      </c>
      <c r="R131" s="4">
        <f t="shared" si="27"/>
        <v>1</v>
      </c>
      <c r="S131" s="4" t="str">
        <f t="shared" si="26"/>
        <v>0</v>
      </c>
      <c r="T131" s="4">
        <f t="shared" si="23"/>
        <v>1</v>
      </c>
      <c r="U131" s="29"/>
      <c r="V131" s="30"/>
      <c r="W131" s="30"/>
      <c r="X131" s="30"/>
      <c r="Y131" s="30"/>
      <c r="Z131" s="30"/>
      <c r="AA131" s="30"/>
      <c r="AB131" s="29"/>
      <c r="AC131" s="29"/>
      <c r="AD131" s="37" t="str">
        <f t="shared" si="20"/>
        <v/>
      </c>
      <c r="AE131" s="3" t="str">
        <f t="shared" ca="1" si="18"/>
        <v/>
      </c>
      <c r="AF131" s="38" t="str">
        <f t="shared" si="21"/>
        <v/>
      </c>
    </row>
    <row r="132" spans="1:32" s="306" customFormat="1" ht="32.15" customHeight="1" x14ac:dyDescent="0.35">
      <c r="A132" s="26">
        <f t="shared" si="19"/>
        <v>121</v>
      </c>
      <c r="B132" s="27" t="s">
        <v>433</v>
      </c>
      <c r="C132" s="26"/>
      <c r="D132" s="50" t="s">
        <v>474</v>
      </c>
      <c r="E132" s="45" t="s">
        <v>108</v>
      </c>
      <c r="F132" s="45" t="str">
        <f t="shared" si="28"/>
        <v/>
      </c>
      <c r="G132" s="44"/>
      <c r="H132" s="4"/>
      <c r="I132" s="36"/>
      <c r="J132" s="5"/>
      <c r="K132" s="3" t="str">
        <f t="shared" ca="1" si="15"/>
        <v/>
      </c>
      <c r="L132" s="30" t="s">
        <v>88</v>
      </c>
      <c r="M132" s="5"/>
      <c r="N132" s="3" t="str">
        <f t="shared" ca="1" si="16"/>
        <v/>
      </c>
      <c r="O132" s="4"/>
      <c r="P132" s="4"/>
      <c r="Q132" s="4" t="str">
        <f t="shared" si="17"/>
        <v/>
      </c>
      <c r="R132" s="4">
        <f t="shared" si="27"/>
        <v>1</v>
      </c>
      <c r="S132" s="4" t="str">
        <f t="shared" si="26"/>
        <v>0</v>
      </c>
      <c r="T132" s="4">
        <f t="shared" si="23"/>
        <v>1</v>
      </c>
      <c r="U132" s="29"/>
      <c r="V132" s="30"/>
      <c r="W132" s="30"/>
      <c r="X132" s="30"/>
      <c r="Y132" s="30"/>
      <c r="Z132" s="30"/>
      <c r="AA132" s="30"/>
      <c r="AB132" s="29"/>
      <c r="AC132" s="29"/>
      <c r="AD132" s="37" t="str">
        <f t="shared" si="20"/>
        <v/>
      </c>
      <c r="AE132" s="3" t="str">
        <f t="shared" ca="1" si="18"/>
        <v/>
      </c>
      <c r="AF132" s="38" t="str">
        <f t="shared" si="21"/>
        <v/>
      </c>
    </row>
    <row r="133" spans="1:32" s="308" customFormat="1" ht="32.15" customHeight="1" x14ac:dyDescent="0.35">
      <c r="A133" s="4"/>
      <c r="B133" s="32" t="s">
        <v>483</v>
      </c>
      <c r="C133" s="269" t="s">
        <v>484</v>
      </c>
      <c r="D133" s="270"/>
      <c r="E133" s="271" t="str">
        <f ca="1">IF(J133="","",CONCATENATE(DATEDIF(J133,NOW(),"Y")," Tahun ",DATEDIF(J133,NOW(),"YM")," bulan "))</f>
        <v/>
      </c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3"/>
    </row>
    <row r="134" spans="1:32" s="306" customFormat="1" ht="32.15" customHeight="1" x14ac:dyDescent="0.35">
      <c r="A134" s="26">
        <f>A132+1</f>
        <v>122</v>
      </c>
      <c r="B134" s="27" t="s">
        <v>483</v>
      </c>
      <c r="C134" s="278" t="s">
        <v>485</v>
      </c>
      <c r="D134" s="279"/>
      <c r="E134" s="24" t="s">
        <v>2875</v>
      </c>
      <c r="F134" s="24" t="s">
        <v>43</v>
      </c>
      <c r="G134" s="3" t="s">
        <v>2876</v>
      </c>
      <c r="H134" s="36" t="s">
        <v>2874</v>
      </c>
      <c r="I134" s="33"/>
      <c r="J134" s="5"/>
      <c r="K134" s="3" t="str">
        <f t="shared" ca="1" si="15"/>
        <v/>
      </c>
      <c r="L134" s="30" t="s">
        <v>56</v>
      </c>
      <c r="M134" s="5"/>
      <c r="N134" s="3" t="str">
        <f t="shared" ca="1" si="16"/>
        <v/>
      </c>
      <c r="O134" s="4"/>
      <c r="P134" s="4" t="s">
        <v>35</v>
      </c>
      <c r="Q134" s="4" t="str">
        <f t="shared" si="17"/>
        <v>Laki-Laki</v>
      </c>
      <c r="R134" s="4">
        <f>R131</f>
        <v>1</v>
      </c>
      <c r="S134" s="4" t="e">
        <f>IF(#REF!="LOWONG","0","1")</f>
        <v>#REF!</v>
      </c>
      <c r="T134" s="4" t="e">
        <f t="shared" si="23"/>
        <v>#REF!</v>
      </c>
      <c r="U134" s="29"/>
      <c r="V134" s="30" t="s">
        <v>50</v>
      </c>
      <c r="W134" s="30"/>
      <c r="X134" s="30"/>
      <c r="Y134" s="30"/>
      <c r="Z134" s="30"/>
      <c r="AA134" s="30"/>
      <c r="AB134" s="29"/>
      <c r="AC134" s="29"/>
      <c r="AD134" s="37">
        <f t="shared" si="20"/>
        <v>26572</v>
      </c>
      <c r="AE134" s="3" t="str">
        <f t="shared" ca="1" si="18"/>
        <v>53 Tahun 11 bulan 2 Hari</v>
      </c>
      <c r="AF134" s="38">
        <f t="shared" si="21"/>
        <v>48488</v>
      </c>
    </row>
    <row r="135" spans="1:32" s="306" customFormat="1" ht="32.15" customHeight="1" x14ac:dyDescent="0.35">
      <c r="A135" s="26">
        <f t="shared" si="19"/>
        <v>123</v>
      </c>
      <c r="B135" s="27" t="s">
        <v>483</v>
      </c>
      <c r="C135" s="256" t="s">
        <v>489</v>
      </c>
      <c r="D135" s="257"/>
      <c r="E135" s="24" t="s">
        <v>2932</v>
      </c>
      <c r="F135" s="24" t="s">
        <v>43</v>
      </c>
      <c r="G135" s="4" t="s">
        <v>2933</v>
      </c>
      <c r="H135" s="4" t="s">
        <v>2934</v>
      </c>
      <c r="I135" s="4"/>
      <c r="J135" s="5">
        <v>46132</v>
      </c>
      <c r="K135" s="3" t="str">
        <f t="shared" ref="K135:K198" ca="1" si="29">IF(J135="","",CONCATENATE(DATEDIF(J135,NOW(),"Y")," Tahun ",DATEDIF(J135,NOW(),"YM")," bulan "))</f>
        <v xml:space="preserve">0 Tahun 4 bulan </v>
      </c>
      <c r="L135" s="30" t="s">
        <v>79</v>
      </c>
      <c r="M135" s="5">
        <v>46132</v>
      </c>
      <c r="N135" s="3" t="str">
        <f t="shared" ref="N135:N198" ca="1" si="30">IF(M135="","",CONCATENATE(DATEDIF(M135,NOW(),"Y")," Tahun ",DATEDIF(M135,NOW(),"YM")," bulan "))</f>
        <v xml:space="preserve">0 Tahun 4 bulan </v>
      </c>
      <c r="O135" s="4"/>
      <c r="P135" s="4" t="s">
        <v>35</v>
      </c>
      <c r="Q135" s="4" t="str">
        <f t="shared" ref="Q135:Q198" si="31">CONCATENATE(IF(MID(G135,17,1)="1","Laki-Laki",IF(MID(G135,17,1)="2","Perempuan",)))</f>
        <v>Laki-Laki</v>
      </c>
      <c r="R135" s="4">
        <f>R134</f>
        <v>1</v>
      </c>
      <c r="S135" s="4" t="str">
        <f>IF(E135="LOWONG","0","1")</f>
        <v>1</v>
      </c>
      <c r="T135" s="4">
        <f t="shared" si="23"/>
        <v>0</v>
      </c>
      <c r="U135" s="29"/>
      <c r="V135" s="30" t="s">
        <v>50</v>
      </c>
      <c r="W135" s="30"/>
      <c r="X135" s="30"/>
      <c r="Y135" s="30"/>
      <c r="Z135" s="30"/>
      <c r="AA135" s="30"/>
      <c r="AB135" s="29"/>
      <c r="AC135" s="29"/>
      <c r="AD135" s="37">
        <f t="shared" si="20"/>
        <v>28443</v>
      </c>
      <c r="AE135" s="3" t="str">
        <f t="shared" ref="AE135:AE198" ca="1" si="32">IF(TRIM(AD135)="", "", CONCATENATE(DATEDIF(AD135,NOW(),"Y")," Tahun ",DATEDIF(AD135,NOW(),"YM")," bulan ",DATEDIF(AD135,NOW(),"MD")," Hari"))</f>
        <v>48 Tahun 9 bulan 18 Hari</v>
      </c>
      <c r="AF135" s="38">
        <f t="shared" si="21"/>
        <v>50375</v>
      </c>
    </row>
    <row r="136" spans="1:32" s="306" customFormat="1" ht="32.15" customHeight="1" x14ac:dyDescent="0.35">
      <c r="A136" s="26">
        <f t="shared" ref="A136:A199" si="33">A135+1</f>
        <v>124</v>
      </c>
      <c r="B136" s="27" t="s">
        <v>483</v>
      </c>
      <c r="C136" s="26"/>
      <c r="D136" s="50" t="s">
        <v>2936</v>
      </c>
      <c r="E136" s="45" t="s">
        <v>3011</v>
      </c>
      <c r="F136" s="24" t="s">
        <v>43</v>
      </c>
      <c r="G136" s="44" t="s">
        <v>3012</v>
      </c>
      <c r="H136" s="44" t="s">
        <v>3013</v>
      </c>
      <c r="I136" s="44" t="s">
        <v>3014</v>
      </c>
      <c r="J136" s="5">
        <v>46198</v>
      </c>
      <c r="K136" s="3" t="str">
        <f t="shared" ca="1" si="29"/>
        <v xml:space="preserve">0 Tahun 2 bulan </v>
      </c>
      <c r="L136" s="44" t="s">
        <v>200</v>
      </c>
      <c r="M136" s="210">
        <v>46198</v>
      </c>
      <c r="N136" s="3" t="str">
        <f t="shared" ca="1" si="30"/>
        <v xml:space="preserve">0 Tahun 2 bulan </v>
      </c>
      <c r="O136" s="44"/>
      <c r="P136" s="44" t="str">
        <f t="shared" ref="P136:V136" si="34">P988</f>
        <v>Islam</v>
      </c>
      <c r="Q136" s="4" t="str">
        <f t="shared" si="31"/>
        <v>Laki-Laki</v>
      </c>
      <c r="R136" s="44">
        <f t="shared" si="34"/>
        <v>1</v>
      </c>
      <c r="S136" s="44" t="str">
        <f t="shared" si="34"/>
        <v>1</v>
      </c>
      <c r="T136" s="44">
        <f t="shared" si="34"/>
        <v>0</v>
      </c>
      <c r="U136" s="44">
        <f t="shared" si="34"/>
        <v>0</v>
      </c>
      <c r="V136" s="44" t="str">
        <f t="shared" si="34"/>
        <v>Baik</v>
      </c>
      <c r="W136" s="30"/>
      <c r="X136" s="30"/>
      <c r="Y136" s="30"/>
      <c r="Z136" s="30"/>
      <c r="AA136" s="30"/>
      <c r="AB136" s="29"/>
      <c r="AC136" s="29"/>
      <c r="AD136" s="37">
        <f t="shared" ref="AD136:AD199" si="35">IF(TRIM(G136)="", "", DATE(LEFT(G136,4),MID(G136,5,2),MID(G136,7,2)))</f>
        <v>30891</v>
      </c>
      <c r="AE136" s="3" t="str">
        <f t="shared" ca="1" si="32"/>
        <v>42 Tahun 1 bulan 4 Hari</v>
      </c>
      <c r="AF136" s="38">
        <f t="shared" ref="AF136:AF199" si="36">IF(TRIM(AD136)="","",DATE(YEAR(AD136)+60,MONTH(AD136)+1,1))</f>
        <v>52810</v>
      </c>
    </row>
    <row r="137" spans="1:32" s="306" customFormat="1" ht="32.15" customHeight="1" x14ac:dyDescent="0.35">
      <c r="A137" s="26">
        <f t="shared" si="33"/>
        <v>125</v>
      </c>
      <c r="B137" s="27" t="s">
        <v>483</v>
      </c>
      <c r="C137" s="26"/>
      <c r="D137" s="50" t="s">
        <v>492</v>
      </c>
      <c r="E137" s="39" t="s">
        <v>493</v>
      </c>
      <c r="F137" s="24" t="s">
        <v>43</v>
      </c>
      <c r="G137" s="25" t="s">
        <v>494</v>
      </c>
      <c r="H137" s="4" t="s">
        <v>94</v>
      </c>
      <c r="I137" s="25" t="s">
        <v>495</v>
      </c>
      <c r="J137" s="5" t="s">
        <v>87</v>
      </c>
      <c r="K137" s="3" t="str">
        <f t="shared" ca="1" si="29"/>
        <v xml:space="preserve">4 Tahun 8 bulan </v>
      </c>
      <c r="L137" s="30" t="s">
        <v>88</v>
      </c>
      <c r="M137" s="5" t="s">
        <v>87</v>
      </c>
      <c r="N137" s="3" t="str">
        <f t="shared" ca="1" si="30"/>
        <v xml:space="preserve">4 Tahun 8 bulan </v>
      </c>
      <c r="O137" s="4"/>
      <c r="P137" s="4" t="s">
        <v>35</v>
      </c>
      <c r="Q137" s="4" t="str">
        <f t="shared" si="31"/>
        <v>Laki-Laki</v>
      </c>
      <c r="R137" s="4">
        <f t="shared" si="27"/>
        <v>1</v>
      </c>
      <c r="S137" s="4" t="str">
        <f t="shared" ref="S137:S158" si="37">IF(E137="LOWONG","0","1")</f>
        <v>1</v>
      </c>
      <c r="T137" s="4">
        <f t="shared" si="23"/>
        <v>0</v>
      </c>
      <c r="U137" s="29"/>
      <c r="V137" s="30" t="s">
        <v>50</v>
      </c>
      <c r="W137" s="30"/>
      <c r="X137" s="30"/>
      <c r="Y137" s="30"/>
      <c r="Z137" s="30"/>
      <c r="AA137" s="30"/>
      <c r="AB137" s="29"/>
      <c r="AC137" s="29"/>
      <c r="AD137" s="37">
        <f t="shared" si="35"/>
        <v>29510</v>
      </c>
      <c r="AE137" s="3" t="str">
        <f t="shared" ca="1" si="32"/>
        <v>45 Tahun 10 bulan 16 Hari</v>
      </c>
      <c r="AF137" s="38">
        <f t="shared" si="36"/>
        <v>51441</v>
      </c>
    </row>
    <row r="138" spans="1:32" s="306" customFormat="1" ht="32.15" customHeight="1" x14ac:dyDescent="0.35">
      <c r="A138" s="26">
        <f t="shared" si="33"/>
        <v>126</v>
      </c>
      <c r="B138" s="27" t="s">
        <v>483</v>
      </c>
      <c r="C138" s="26"/>
      <c r="D138" s="50" t="s">
        <v>496</v>
      </c>
      <c r="E138" s="24" t="s">
        <v>497</v>
      </c>
      <c r="F138" s="24" t="s">
        <v>43</v>
      </c>
      <c r="G138" s="4" t="s">
        <v>498</v>
      </c>
      <c r="H138" s="4" t="s">
        <v>91</v>
      </c>
      <c r="I138" s="4" t="s">
        <v>86</v>
      </c>
      <c r="J138" s="5" t="s">
        <v>87</v>
      </c>
      <c r="K138" s="3" t="str">
        <f t="shared" ca="1" si="29"/>
        <v xml:space="preserve">4 Tahun 8 bulan </v>
      </c>
      <c r="L138" s="30" t="s">
        <v>88</v>
      </c>
      <c r="M138" s="5" t="s">
        <v>87</v>
      </c>
      <c r="N138" s="3" t="str">
        <f t="shared" ca="1" si="30"/>
        <v xml:space="preserve">4 Tahun 8 bulan </v>
      </c>
      <c r="O138" s="4"/>
      <c r="P138" s="4" t="s">
        <v>35</v>
      </c>
      <c r="Q138" s="4" t="str">
        <f t="shared" si="31"/>
        <v>Perempuan</v>
      </c>
      <c r="R138" s="4">
        <f t="shared" si="27"/>
        <v>1</v>
      </c>
      <c r="S138" s="4" t="str">
        <f t="shared" si="37"/>
        <v>1</v>
      </c>
      <c r="T138" s="4">
        <f t="shared" si="23"/>
        <v>0</v>
      </c>
      <c r="U138" s="29"/>
      <c r="V138" s="30"/>
      <c r="W138" s="30"/>
      <c r="X138" s="30"/>
      <c r="Y138" s="30"/>
      <c r="Z138" s="30"/>
      <c r="AA138" s="30"/>
      <c r="AB138" s="29"/>
      <c r="AC138" s="29"/>
      <c r="AD138" s="37">
        <f t="shared" si="35"/>
        <v>29970</v>
      </c>
      <c r="AE138" s="3" t="str">
        <f t="shared" ca="1" si="32"/>
        <v>44 Tahun 7 bulan 13 Hari</v>
      </c>
      <c r="AF138" s="38">
        <f t="shared" si="36"/>
        <v>51898</v>
      </c>
    </row>
    <row r="139" spans="1:32" s="306" customFormat="1" ht="32.15" customHeight="1" x14ac:dyDescent="0.35">
      <c r="A139" s="26">
        <f t="shared" si="33"/>
        <v>127</v>
      </c>
      <c r="B139" s="27" t="s">
        <v>483</v>
      </c>
      <c r="C139" s="256" t="s">
        <v>499</v>
      </c>
      <c r="D139" s="257"/>
      <c r="E139" s="24" t="s">
        <v>1133</v>
      </c>
      <c r="F139" s="24" t="s">
        <v>43</v>
      </c>
      <c r="G139" s="3" t="s">
        <v>1134</v>
      </c>
      <c r="H139" s="4" t="s">
        <v>462</v>
      </c>
      <c r="I139" s="4" t="s">
        <v>2886</v>
      </c>
      <c r="J139" s="5">
        <v>46087</v>
      </c>
      <c r="K139" s="3" t="str">
        <f t="shared" ca="1" si="29"/>
        <v xml:space="preserve">0 Tahun 5 bulan </v>
      </c>
      <c r="L139" s="30" t="s">
        <v>346</v>
      </c>
      <c r="M139" s="5">
        <v>46087</v>
      </c>
      <c r="N139" s="3" t="str">
        <f t="shared" ca="1" si="30"/>
        <v xml:space="preserve">0 Tahun 5 bulan </v>
      </c>
      <c r="O139" s="4"/>
      <c r="P139" s="4" t="s">
        <v>35</v>
      </c>
      <c r="Q139" s="4" t="str">
        <f t="shared" si="31"/>
        <v>Perempuan</v>
      </c>
      <c r="R139" s="4">
        <f t="shared" si="27"/>
        <v>1</v>
      </c>
      <c r="S139" s="4" t="str">
        <f t="shared" si="37"/>
        <v>1</v>
      </c>
      <c r="T139" s="4">
        <f t="shared" si="23"/>
        <v>0</v>
      </c>
      <c r="U139" s="29"/>
      <c r="V139" s="30" t="s">
        <v>50</v>
      </c>
      <c r="W139" s="30"/>
      <c r="X139" s="30"/>
      <c r="Y139" s="30"/>
      <c r="Z139" s="30"/>
      <c r="AA139" s="30"/>
      <c r="AB139" s="29"/>
      <c r="AC139" s="29"/>
      <c r="AD139" s="37">
        <f t="shared" si="35"/>
        <v>28916</v>
      </c>
      <c r="AE139" s="3" t="str">
        <f t="shared" ca="1" si="32"/>
        <v>47 Tahun 5 bulan 30 Hari</v>
      </c>
      <c r="AF139" s="38">
        <f t="shared" si="36"/>
        <v>50861</v>
      </c>
    </row>
    <row r="140" spans="1:32" s="306" customFormat="1" ht="32.15" customHeight="1" x14ac:dyDescent="0.35">
      <c r="A140" s="26">
        <f t="shared" si="33"/>
        <v>128</v>
      </c>
      <c r="B140" s="27" t="s">
        <v>483</v>
      </c>
      <c r="C140" s="26"/>
      <c r="D140" s="67" t="s">
        <v>500</v>
      </c>
      <c r="E140" s="24" t="s">
        <v>2895</v>
      </c>
      <c r="F140" s="24" t="s">
        <v>43</v>
      </c>
      <c r="G140" s="4" t="s">
        <v>2896</v>
      </c>
      <c r="H140" s="4" t="s">
        <v>2897</v>
      </c>
      <c r="I140" s="25" t="s">
        <v>2861</v>
      </c>
      <c r="J140" s="5">
        <v>46087</v>
      </c>
      <c r="K140" s="3" t="str">
        <f t="shared" ca="1" si="29"/>
        <v xml:space="preserve">0 Tahun 5 bulan </v>
      </c>
      <c r="L140" s="30" t="s">
        <v>200</v>
      </c>
      <c r="M140" s="5">
        <v>46087</v>
      </c>
      <c r="N140" s="3" t="str">
        <f t="shared" ca="1" si="30"/>
        <v xml:space="preserve">0 Tahun 5 bulan </v>
      </c>
      <c r="O140" s="4"/>
      <c r="P140" s="4" t="s">
        <v>35</v>
      </c>
      <c r="Q140" s="4" t="str">
        <f t="shared" si="31"/>
        <v>Perempuan</v>
      </c>
      <c r="R140" s="4">
        <f t="shared" si="27"/>
        <v>1</v>
      </c>
      <c r="S140" s="4" t="str">
        <f t="shared" si="37"/>
        <v>1</v>
      </c>
      <c r="T140" s="4">
        <f t="shared" si="23"/>
        <v>0</v>
      </c>
      <c r="U140" s="29"/>
      <c r="V140" s="30" t="s">
        <v>50</v>
      </c>
      <c r="W140" s="30"/>
      <c r="X140" s="30"/>
      <c r="Y140" s="30"/>
      <c r="Z140" s="30"/>
      <c r="AA140" s="30"/>
      <c r="AB140" s="29"/>
      <c r="AC140" s="29"/>
      <c r="AD140" s="37">
        <f t="shared" si="35"/>
        <v>28315</v>
      </c>
      <c r="AE140" s="3" t="str">
        <f t="shared" ca="1" si="32"/>
        <v>49 Tahun 1 bulan 23 Hari</v>
      </c>
      <c r="AF140" s="38">
        <f t="shared" si="36"/>
        <v>50253</v>
      </c>
    </row>
    <row r="141" spans="1:32" s="306" customFormat="1" ht="32.15" customHeight="1" x14ac:dyDescent="0.35">
      <c r="A141" s="26">
        <f t="shared" si="33"/>
        <v>129</v>
      </c>
      <c r="B141" s="27" t="s">
        <v>483</v>
      </c>
      <c r="C141" s="26"/>
      <c r="D141" s="67" t="s">
        <v>502</v>
      </c>
      <c r="E141" s="24" t="s">
        <v>2289</v>
      </c>
      <c r="F141" s="24" t="s">
        <v>43</v>
      </c>
      <c r="G141" s="4" t="s">
        <v>2290</v>
      </c>
      <c r="H141" s="4" t="s">
        <v>2894</v>
      </c>
      <c r="I141" s="33" t="s">
        <v>1961</v>
      </c>
      <c r="J141" s="5">
        <v>46087</v>
      </c>
      <c r="K141" s="3" t="str">
        <f t="shared" ca="1" si="29"/>
        <v xml:space="preserve">0 Tahun 5 bulan </v>
      </c>
      <c r="L141" s="30" t="s">
        <v>200</v>
      </c>
      <c r="M141" s="5"/>
      <c r="N141" s="3" t="str">
        <f t="shared" ca="1" si="30"/>
        <v/>
      </c>
      <c r="O141" s="4"/>
      <c r="P141" s="4" t="s">
        <v>35</v>
      </c>
      <c r="Q141" s="4" t="str">
        <f t="shared" si="31"/>
        <v>Perempuan</v>
      </c>
      <c r="R141" s="4">
        <f t="shared" si="27"/>
        <v>1</v>
      </c>
      <c r="S141" s="4" t="str">
        <f t="shared" si="37"/>
        <v>1</v>
      </c>
      <c r="T141" s="4">
        <f t="shared" si="23"/>
        <v>0</v>
      </c>
      <c r="U141" s="29"/>
      <c r="V141" s="30"/>
      <c r="W141" s="30"/>
      <c r="X141" s="30"/>
      <c r="Y141" s="30"/>
      <c r="Z141" s="30"/>
      <c r="AA141" s="30"/>
      <c r="AB141" s="29"/>
      <c r="AC141" s="29"/>
      <c r="AD141" s="37">
        <f t="shared" si="35"/>
        <v>27864</v>
      </c>
      <c r="AE141" s="3" t="str">
        <f t="shared" ca="1" si="32"/>
        <v>50 Tahun 4 bulan 18 Hari</v>
      </c>
      <c r="AF141" s="38">
        <f t="shared" si="36"/>
        <v>49796</v>
      </c>
    </row>
    <row r="142" spans="1:32" s="306" customFormat="1" ht="32.15" customHeight="1" x14ac:dyDescent="0.35">
      <c r="A142" s="26">
        <f t="shared" si="33"/>
        <v>130</v>
      </c>
      <c r="B142" s="27" t="s">
        <v>483</v>
      </c>
      <c r="C142" s="26"/>
      <c r="D142" s="67" t="s">
        <v>504</v>
      </c>
      <c r="E142" s="24" t="s">
        <v>108</v>
      </c>
      <c r="F142" s="24"/>
      <c r="G142" s="3"/>
      <c r="H142" s="4"/>
      <c r="I142" s="4"/>
      <c r="J142" s="5"/>
      <c r="K142" s="3" t="str">
        <f t="shared" ca="1" si="29"/>
        <v/>
      </c>
      <c r="L142" s="30" t="s">
        <v>88</v>
      </c>
      <c r="M142" s="5"/>
      <c r="N142" s="3" t="str">
        <f t="shared" ca="1" si="30"/>
        <v/>
      </c>
      <c r="O142" s="4"/>
      <c r="P142" s="4"/>
      <c r="Q142" s="4" t="str">
        <f t="shared" si="31"/>
        <v/>
      </c>
      <c r="R142" s="4">
        <f t="shared" si="27"/>
        <v>1</v>
      </c>
      <c r="S142" s="4" t="str">
        <f t="shared" si="37"/>
        <v>0</v>
      </c>
      <c r="T142" s="4">
        <f t="shared" si="23"/>
        <v>1</v>
      </c>
      <c r="U142" s="29"/>
      <c r="V142" s="30"/>
      <c r="W142" s="30"/>
      <c r="X142" s="30"/>
      <c r="Y142" s="30"/>
      <c r="Z142" s="30"/>
      <c r="AA142" s="30"/>
      <c r="AB142" s="29"/>
      <c r="AC142" s="29"/>
      <c r="AD142" s="37" t="str">
        <f t="shared" si="35"/>
        <v/>
      </c>
      <c r="AE142" s="3" t="str">
        <f t="shared" ca="1" si="32"/>
        <v/>
      </c>
      <c r="AF142" s="38" t="str">
        <f t="shared" si="36"/>
        <v/>
      </c>
    </row>
    <row r="143" spans="1:32" s="306" customFormat="1" ht="32.15" customHeight="1" x14ac:dyDescent="0.35">
      <c r="A143" s="26">
        <f t="shared" si="33"/>
        <v>131</v>
      </c>
      <c r="B143" s="27" t="s">
        <v>483</v>
      </c>
      <c r="C143" s="256" t="s">
        <v>505</v>
      </c>
      <c r="D143" s="257"/>
      <c r="E143" s="24" t="s">
        <v>2883</v>
      </c>
      <c r="F143" s="24" t="s">
        <v>43</v>
      </c>
      <c r="G143" s="4" t="s">
        <v>2884</v>
      </c>
      <c r="H143" s="4" t="s">
        <v>2885</v>
      </c>
      <c r="I143" s="4" t="s">
        <v>1020</v>
      </c>
      <c r="J143" s="5">
        <v>46087</v>
      </c>
      <c r="K143" s="3" t="str">
        <f t="shared" ca="1" si="29"/>
        <v xml:space="preserve">0 Tahun 5 bulan </v>
      </c>
      <c r="L143" s="30" t="s">
        <v>346</v>
      </c>
      <c r="M143" s="5">
        <v>46087</v>
      </c>
      <c r="N143" s="3" t="str">
        <f t="shared" ca="1" si="30"/>
        <v xml:space="preserve">0 Tahun 5 bulan </v>
      </c>
      <c r="O143" s="4"/>
      <c r="P143" s="4" t="s">
        <v>35</v>
      </c>
      <c r="Q143" s="4" t="str">
        <f t="shared" si="31"/>
        <v>Laki-Laki</v>
      </c>
      <c r="R143" s="4">
        <f t="shared" si="27"/>
        <v>1</v>
      </c>
      <c r="S143" s="4" t="str">
        <f t="shared" si="37"/>
        <v>1</v>
      </c>
      <c r="T143" s="4">
        <f t="shared" si="23"/>
        <v>0</v>
      </c>
      <c r="U143" s="29"/>
      <c r="V143" s="30" t="s">
        <v>50</v>
      </c>
      <c r="W143" s="30"/>
      <c r="X143" s="30"/>
      <c r="Y143" s="30"/>
      <c r="Z143" s="30"/>
      <c r="AA143" s="30"/>
      <c r="AB143" s="29"/>
      <c r="AC143" s="29"/>
      <c r="AD143" s="37">
        <f t="shared" si="35"/>
        <v>25389</v>
      </c>
      <c r="AE143" s="3" t="str">
        <f t="shared" ca="1" si="32"/>
        <v>57 Tahun 1 bulan 27 Hari</v>
      </c>
      <c r="AF143" s="38">
        <f t="shared" si="36"/>
        <v>47331</v>
      </c>
    </row>
    <row r="144" spans="1:32" s="306" customFormat="1" ht="32.15" customHeight="1" x14ac:dyDescent="0.35">
      <c r="A144" s="26">
        <f t="shared" si="33"/>
        <v>132</v>
      </c>
      <c r="B144" s="27" t="s">
        <v>483</v>
      </c>
      <c r="C144" s="26"/>
      <c r="D144" s="67" t="s">
        <v>507</v>
      </c>
      <c r="E144" s="24" t="s">
        <v>2146</v>
      </c>
      <c r="F144" s="24" t="s">
        <v>43</v>
      </c>
      <c r="G144" s="3" t="s">
        <v>2147</v>
      </c>
      <c r="H144" s="4" t="s">
        <v>1936</v>
      </c>
      <c r="I144" s="4" t="s">
        <v>2898</v>
      </c>
      <c r="J144" s="5">
        <v>46087</v>
      </c>
      <c r="K144" s="3" t="str">
        <f t="shared" ca="1" si="29"/>
        <v xml:space="preserve">0 Tahun 5 bulan </v>
      </c>
      <c r="L144" s="30" t="s">
        <v>200</v>
      </c>
      <c r="M144" s="5">
        <v>45187</v>
      </c>
      <c r="N144" s="3" t="str">
        <f t="shared" ca="1" si="30"/>
        <v xml:space="preserve">2 Tahun 11 bulan </v>
      </c>
      <c r="O144" s="24"/>
      <c r="P144" s="4" t="s">
        <v>35</v>
      </c>
      <c r="Q144" s="4" t="str">
        <f t="shared" si="31"/>
        <v>Laki-Laki</v>
      </c>
      <c r="R144" s="4">
        <f t="shared" si="27"/>
        <v>1</v>
      </c>
      <c r="S144" s="4" t="str">
        <f t="shared" si="37"/>
        <v>1</v>
      </c>
      <c r="T144" s="4">
        <f t="shared" si="23"/>
        <v>0</v>
      </c>
      <c r="U144" s="29"/>
      <c r="V144" s="30"/>
      <c r="W144" s="30"/>
      <c r="X144" s="30"/>
      <c r="Y144" s="30"/>
      <c r="Z144" s="30"/>
      <c r="AA144" s="30"/>
      <c r="AB144" s="29"/>
      <c r="AC144" s="29"/>
      <c r="AD144" s="37">
        <f t="shared" si="35"/>
        <v>25321</v>
      </c>
      <c r="AE144" s="3" t="str">
        <f t="shared" ca="1" si="32"/>
        <v>57 Tahun 4 bulan 4 Hari</v>
      </c>
      <c r="AF144" s="38">
        <f t="shared" si="36"/>
        <v>47239</v>
      </c>
    </row>
    <row r="145" spans="1:33" s="306" customFormat="1" ht="32.15" customHeight="1" x14ac:dyDescent="0.35">
      <c r="A145" s="26">
        <f t="shared" si="33"/>
        <v>133</v>
      </c>
      <c r="B145" s="27" t="s">
        <v>483</v>
      </c>
      <c r="C145" s="26"/>
      <c r="D145" s="67" t="s">
        <v>508</v>
      </c>
      <c r="E145" s="24" t="s">
        <v>3009</v>
      </c>
      <c r="F145" s="24" t="s">
        <v>43</v>
      </c>
      <c r="G145" s="3" t="s">
        <v>3010</v>
      </c>
      <c r="H145" s="4" t="s">
        <v>2662</v>
      </c>
      <c r="I145" s="4" t="s">
        <v>2715</v>
      </c>
      <c r="J145" s="5">
        <v>46198</v>
      </c>
      <c r="K145" s="3" t="str">
        <f t="shared" ca="1" si="29"/>
        <v xml:space="preserve">0 Tahun 2 bulan </v>
      </c>
      <c r="L145" s="30" t="s">
        <v>200</v>
      </c>
      <c r="M145" s="5">
        <v>46198</v>
      </c>
      <c r="N145" s="3" t="str">
        <f t="shared" ca="1" si="30"/>
        <v xml:space="preserve">0 Tahun 2 bulan </v>
      </c>
      <c r="O145" s="24"/>
      <c r="P145" s="4" t="s">
        <v>35</v>
      </c>
      <c r="Q145" s="4" t="str">
        <f t="shared" si="31"/>
        <v>Laki-Laki</v>
      </c>
      <c r="R145" s="4">
        <f t="shared" si="27"/>
        <v>1</v>
      </c>
      <c r="S145" s="4" t="str">
        <f t="shared" si="37"/>
        <v>1</v>
      </c>
      <c r="T145" s="4">
        <f t="shared" si="23"/>
        <v>0</v>
      </c>
      <c r="U145" s="29"/>
      <c r="V145" s="30" t="s">
        <v>50</v>
      </c>
      <c r="W145" s="30"/>
      <c r="X145" s="30"/>
      <c r="Y145" s="30"/>
      <c r="Z145" s="30"/>
      <c r="AA145" s="30"/>
      <c r="AB145" s="29"/>
      <c r="AC145" s="29"/>
      <c r="AD145" s="37">
        <f t="shared" si="35"/>
        <v>32301</v>
      </c>
      <c r="AE145" s="3" t="str">
        <f t="shared" ca="1" si="32"/>
        <v>38 Tahun 2 bulan 25 Hari</v>
      </c>
      <c r="AF145" s="38">
        <f t="shared" si="36"/>
        <v>54240</v>
      </c>
    </row>
    <row r="146" spans="1:33" s="306" customFormat="1" ht="32.15" customHeight="1" x14ac:dyDescent="0.35">
      <c r="A146" s="26">
        <f t="shared" si="33"/>
        <v>134</v>
      </c>
      <c r="B146" s="27" t="s">
        <v>483</v>
      </c>
      <c r="C146" s="26"/>
      <c r="D146" s="67" t="s">
        <v>511</v>
      </c>
      <c r="E146" s="45" t="s">
        <v>512</v>
      </c>
      <c r="F146" s="24" t="s">
        <v>43</v>
      </c>
      <c r="G146" s="4" t="s">
        <v>513</v>
      </c>
      <c r="H146" s="4" t="s">
        <v>85</v>
      </c>
      <c r="I146" s="4" t="s">
        <v>514</v>
      </c>
      <c r="J146" s="5" t="s">
        <v>515</v>
      </c>
      <c r="K146" s="3" t="str">
        <f t="shared" ca="1" si="29"/>
        <v xml:space="preserve">4 Tahun 8 bulan </v>
      </c>
      <c r="L146" s="30" t="s">
        <v>88</v>
      </c>
      <c r="M146" s="5" t="s">
        <v>87</v>
      </c>
      <c r="N146" s="3" t="str">
        <f t="shared" ca="1" si="30"/>
        <v xml:space="preserve">4 Tahun 8 bulan </v>
      </c>
      <c r="O146" s="4"/>
      <c r="P146" s="4" t="s">
        <v>35</v>
      </c>
      <c r="Q146" s="4" t="str">
        <f t="shared" si="31"/>
        <v>Perempuan</v>
      </c>
      <c r="R146" s="4">
        <f t="shared" si="27"/>
        <v>1</v>
      </c>
      <c r="S146" s="4" t="str">
        <f t="shared" si="37"/>
        <v>1</v>
      </c>
      <c r="T146" s="4">
        <f t="shared" si="23"/>
        <v>0</v>
      </c>
      <c r="U146" s="29"/>
      <c r="V146" s="30"/>
      <c r="W146" s="30"/>
      <c r="X146" s="30"/>
      <c r="Y146" s="30"/>
      <c r="Z146" s="30"/>
      <c r="AA146" s="30"/>
      <c r="AB146" s="29"/>
      <c r="AC146" s="29"/>
      <c r="AD146" s="37">
        <f t="shared" si="35"/>
        <v>30375</v>
      </c>
      <c r="AE146" s="3" t="str">
        <f t="shared" ca="1" si="32"/>
        <v>43 Tahun 6 bulan 4 Hari</v>
      </c>
      <c r="AF146" s="38">
        <f t="shared" si="36"/>
        <v>52291</v>
      </c>
    </row>
    <row r="147" spans="1:33" s="306" customFormat="1" ht="32.15" customHeight="1" x14ac:dyDescent="0.35">
      <c r="A147" s="26">
        <f t="shared" si="33"/>
        <v>135</v>
      </c>
      <c r="B147" s="27" t="s">
        <v>483</v>
      </c>
      <c r="C147" s="256" t="s">
        <v>516</v>
      </c>
      <c r="D147" s="257"/>
      <c r="E147" s="45" t="s">
        <v>517</v>
      </c>
      <c r="F147" s="24" t="s">
        <v>43</v>
      </c>
      <c r="G147" s="36" t="s">
        <v>2817</v>
      </c>
      <c r="H147" s="4" t="s">
        <v>1154</v>
      </c>
      <c r="I147" s="36" t="s">
        <v>2818</v>
      </c>
      <c r="J147" s="5">
        <v>45993</v>
      </c>
      <c r="K147" s="3" t="str">
        <f t="shared" ca="1" si="29"/>
        <v xml:space="preserve">0 Tahun 8 bulan </v>
      </c>
      <c r="L147" s="30" t="s">
        <v>346</v>
      </c>
      <c r="M147" s="5"/>
      <c r="N147" s="3" t="str">
        <f t="shared" ca="1" si="30"/>
        <v/>
      </c>
      <c r="O147" s="4"/>
      <c r="P147" s="4" t="s">
        <v>35</v>
      </c>
      <c r="Q147" s="4" t="str">
        <f t="shared" si="31"/>
        <v>Perempuan</v>
      </c>
      <c r="R147" s="4">
        <f t="shared" si="27"/>
        <v>1</v>
      </c>
      <c r="S147" s="4" t="str">
        <f t="shared" si="37"/>
        <v>1</v>
      </c>
      <c r="T147" s="4">
        <f t="shared" ref="T147:T217" si="38">R147-S147</f>
        <v>0</v>
      </c>
      <c r="U147" s="29"/>
      <c r="V147" s="30"/>
      <c r="W147" s="30"/>
      <c r="X147" s="30"/>
      <c r="Y147" s="30"/>
      <c r="Z147" s="30"/>
      <c r="AA147" s="30"/>
      <c r="AB147" s="29"/>
      <c r="AC147" s="29"/>
      <c r="AD147" s="37">
        <f t="shared" si="35"/>
        <v>29084</v>
      </c>
      <c r="AE147" s="3" t="str">
        <f t="shared" ca="1" si="32"/>
        <v>47 Tahun 0 bulan 15 Hari</v>
      </c>
      <c r="AF147" s="38">
        <f t="shared" si="36"/>
        <v>51014</v>
      </c>
    </row>
    <row r="148" spans="1:33" s="306" customFormat="1" ht="32.15" customHeight="1" x14ac:dyDescent="0.35">
      <c r="A148" s="26">
        <f t="shared" si="33"/>
        <v>136</v>
      </c>
      <c r="B148" s="27" t="s">
        <v>483</v>
      </c>
      <c r="C148" s="26"/>
      <c r="D148" s="67" t="s">
        <v>518</v>
      </c>
      <c r="E148" s="24" t="s">
        <v>1349</v>
      </c>
      <c r="F148" s="24" t="s">
        <v>43</v>
      </c>
      <c r="G148" s="4" t="s">
        <v>1350</v>
      </c>
      <c r="H148" s="4" t="s">
        <v>2962</v>
      </c>
      <c r="I148" s="33" t="s">
        <v>2965</v>
      </c>
      <c r="J148" s="5">
        <v>46198</v>
      </c>
      <c r="K148" s="3" t="str">
        <f t="shared" ca="1" si="29"/>
        <v xml:space="preserve">0 Tahun 2 bulan </v>
      </c>
      <c r="L148" s="30" t="s">
        <v>200</v>
      </c>
      <c r="M148" s="5">
        <v>44280</v>
      </c>
      <c r="N148" s="3" t="str">
        <f t="shared" ca="1" si="30"/>
        <v xml:space="preserve">5 Tahun 5 bulan </v>
      </c>
      <c r="O148" s="30"/>
      <c r="P148" s="4"/>
      <c r="Q148" s="4" t="str">
        <f t="shared" si="31"/>
        <v>Perempuan</v>
      </c>
      <c r="R148" s="4">
        <f t="shared" si="27"/>
        <v>1</v>
      </c>
      <c r="S148" s="4" t="str">
        <f t="shared" si="37"/>
        <v>1</v>
      </c>
      <c r="T148" s="4">
        <f t="shared" si="38"/>
        <v>0</v>
      </c>
      <c r="U148" s="29"/>
      <c r="V148" s="30"/>
      <c r="W148" s="30"/>
      <c r="X148" s="30"/>
      <c r="Y148" s="30"/>
      <c r="Z148" s="30"/>
      <c r="AA148" s="30"/>
      <c r="AB148" s="29"/>
      <c r="AC148" s="29"/>
      <c r="AD148" s="37">
        <f t="shared" si="35"/>
        <v>28426</v>
      </c>
      <c r="AE148" s="3" t="str">
        <f t="shared" ca="1" si="32"/>
        <v>48 Tahun 10 bulan 4 Hari</v>
      </c>
      <c r="AF148" s="38">
        <f t="shared" si="36"/>
        <v>50345</v>
      </c>
    </row>
    <row r="149" spans="1:33" s="306" customFormat="1" ht="32.15" customHeight="1" x14ac:dyDescent="0.35">
      <c r="A149" s="26">
        <f t="shared" si="33"/>
        <v>137</v>
      </c>
      <c r="B149" s="27" t="s">
        <v>483</v>
      </c>
      <c r="C149" s="26"/>
      <c r="D149" s="67" t="s">
        <v>519</v>
      </c>
      <c r="E149" s="24" t="s">
        <v>108</v>
      </c>
      <c r="F149" s="24"/>
      <c r="G149" s="4"/>
      <c r="H149" s="4"/>
      <c r="I149" s="33"/>
      <c r="J149" s="5"/>
      <c r="K149" s="3" t="str">
        <f t="shared" ca="1" si="29"/>
        <v/>
      </c>
      <c r="L149" s="30" t="s">
        <v>200</v>
      </c>
      <c r="M149" s="5"/>
      <c r="N149" s="3" t="str">
        <f t="shared" ca="1" si="30"/>
        <v/>
      </c>
      <c r="O149" s="4"/>
      <c r="P149" s="4" t="s">
        <v>35</v>
      </c>
      <c r="Q149" s="4" t="str">
        <f t="shared" si="31"/>
        <v/>
      </c>
      <c r="R149" s="4">
        <f t="shared" si="27"/>
        <v>1</v>
      </c>
      <c r="S149" s="4" t="str">
        <f t="shared" si="37"/>
        <v>0</v>
      </c>
      <c r="T149" s="4">
        <f t="shared" si="38"/>
        <v>1</v>
      </c>
      <c r="U149" s="29"/>
      <c r="V149" s="30" t="s">
        <v>50</v>
      </c>
      <c r="W149" s="30"/>
      <c r="X149" s="30"/>
      <c r="Y149" s="30"/>
      <c r="Z149" s="30"/>
      <c r="AA149" s="30"/>
      <c r="AB149" s="29"/>
      <c r="AC149" s="29"/>
      <c r="AD149" s="37" t="str">
        <f t="shared" si="35"/>
        <v/>
      </c>
      <c r="AE149" s="3" t="str">
        <f t="shared" ca="1" si="32"/>
        <v/>
      </c>
      <c r="AF149" s="38" t="str">
        <f t="shared" si="36"/>
        <v/>
      </c>
    </row>
    <row r="150" spans="1:33" s="306" customFormat="1" ht="32.15" customHeight="1" x14ac:dyDescent="0.35">
      <c r="A150" s="26">
        <f t="shared" si="33"/>
        <v>138</v>
      </c>
      <c r="B150" s="27" t="s">
        <v>483</v>
      </c>
      <c r="C150" s="26"/>
      <c r="D150" s="67" t="s">
        <v>520</v>
      </c>
      <c r="E150" s="24" t="s">
        <v>521</v>
      </c>
      <c r="F150" s="24" t="s">
        <v>43</v>
      </c>
      <c r="G150" s="3" t="s">
        <v>522</v>
      </c>
      <c r="H150" s="4" t="s">
        <v>523</v>
      </c>
      <c r="I150" s="4" t="s">
        <v>524</v>
      </c>
      <c r="J150" s="5" t="s">
        <v>87</v>
      </c>
      <c r="K150" s="3" t="str">
        <f t="shared" ca="1" si="29"/>
        <v xml:space="preserve">4 Tahun 8 bulan </v>
      </c>
      <c r="L150" s="30" t="s">
        <v>88</v>
      </c>
      <c r="M150" s="5" t="s">
        <v>87</v>
      </c>
      <c r="N150" s="3" t="str">
        <f t="shared" ca="1" si="30"/>
        <v xml:space="preserve">4 Tahun 8 bulan </v>
      </c>
      <c r="O150" s="4"/>
      <c r="P150" s="4" t="s">
        <v>35</v>
      </c>
      <c r="Q150" s="4" t="str">
        <f t="shared" si="31"/>
        <v>Perempuan</v>
      </c>
      <c r="R150" s="4">
        <f t="shared" si="27"/>
        <v>1</v>
      </c>
      <c r="S150" s="4" t="str">
        <f t="shared" si="37"/>
        <v>1</v>
      </c>
      <c r="T150" s="4">
        <f t="shared" si="38"/>
        <v>0</v>
      </c>
      <c r="U150" s="29"/>
      <c r="V150" s="30"/>
      <c r="W150" s="30"/>
      <c r="X150" s="30"/>
      <c r="Y150" s="30"/>
      <c r="Z150" s="30"/>
      <c r="AA150" s="30"/>
      <c r="AB150" s="29"/>
      <c r="AC150" s="29"/>
      <c r="AD150" s="37">
        <f t="shared" si="35"/>
        <v>28522</v>
      </c>
      <c r="AE150" s="3" t="str">
        <f t="shared" ca="1" si="32"/>
        <v>48 Tahun 7 bulan 0 Hari</v>
      </c>
      <c r="AF150" s="38">
        <f t="shared" si="36"/>
        <v>50465</v>
      </c>
    </row>
    <row r="151" spans="1:33" s="306" customFormat="1" ht="32.15" customHeight="1" x14ac:dyDescent="0.35">
      <c r="A151" s="26">
        <f t="shared" si="33"/>
        <v>139</v>
      </c>
      <c r="B151" s="27" t="s">
        <v>483</v>
      </c>
      <c r="C151" s="256" t="s">
        <v>525</v>
      </c>
      <c r="D151" s="257"/>
      <c r="E151" s="24" t="s">
        <v>526</v>
      </c>
      <c r="F151" s="24" t="s">
        <v>43</v>
      </c>
      <c r="G151" s="4" t="s">
        <v>2819</v>
      </c>
      <c r="H151" s="4" t="s">
        <v>988</v>
      </c>
      <c r="I151" s="33" t="s">
        <v>2820</v>
      </c>
      <c r="J151" s="5">
        <v>45993</v>
      </c>
      <c r="K151" s="3" t="str">
        <f t="shared" ca="1" si="29"/>
        <v xml:space="preserve">0 Tahun 8 bulan </v>
      </c>
      <c r="L151" s="30" t="s">
        <v>346</v>
      </c>
      <c r="M151" s="5"/>
      <c r="N151" s="3" t="str">
        <f t="shared" ca="1" si="30"/>
        <v/>
      </c>
      <c r="O151" s="4"/>
      <c r="P151" s="4" t="s">
        <v>35</v>
      </c>
      <c r="Q151" s="4" t="str">
        <f t="shared" si="31"/>
        <v>Laki-Laki</v>
      </c>
      <c r="R151" s="4">
        <f t="shared" si="27"/>
        <v>1</v>
      </c>
      <c r="S151" s="4" t="str">
        <f t="shared" si="37"/>
        <v>1</v>
      </c>
      <c r="T151" s="4">
        <f t="shared" si="38"/>
        <v>0</v>
      </c>
      <c r="U151" s="29"/>
      <c r="V151" s="30" t="s">
        <v>50</v>
      </c>
      <c r="W151" s="30"/>
      <c r="X151" s="30"/>
      <c r="Y151" s="30"/>
      <c r="Z151" s="30"/>
      <c r="AA151" s="30"/>
      <c r="AB151" s="29"/>
      <c r="AC151" s="29"/>
      <c r="AD151" s="37">
        <f t="shared" si="35"/>
        <v>26098</v>
      </c>
      <c r="AE151" s="3" t="str">
        <f t="shared" ca="1" si="32"/>
        <v>55 Tahun 2 bulan 18 Hari</v>
      </c>
      <c r="AF151" s="38">
        <f t="shared" si="36"/>
        <v>48030</v>
      </c>
    </row>
    <row r="152" spans="1:33" s="306" customFormat="1" ht="39" customHeight="1" x14ac:dyDescent="0.35">
      <c r="A152" s="26">
        <f t="shared" si="33"/>
        <v>140</v>
      </c>
      <c r="B152" s="27" t="s">
        <v>483</v>
      </c>
      <c r="C152" s="26"/>
      <c r="D152" s="67" t="s">
        <v>527</v>
      </c>
      <c r="E152" s="45" t="s">
        <v>528</v>
      </c>
      <c r="F152" s="24" t="s">
        <v>43</v>
      </c>
      <c r="G152" s="44" t="s">
        <v>2968</v>
      </c>
      <c r="H152" s="4" t="s">
        <v>1728</v>
      </c>
      <c r="I152" s="4" t="s">
        <v>2969</v>
      </c>
      <c r="J152" s="5">
        <v>45993</v>
      </c>
      <c r="K152" s="3" t="str">
        <f t="shared" ca="1" si="29"/>
        <v xml:space="preserve">0 Tahun 8 bulan </v>
      </c>
      <c r="L152" s="30" t="s">
        <v>200</v>
      </c>
      <c r="M152" s="5">
        <v>45993</v>
      </c>
      <c r="N152" s="3" t="str">
        <f t="shared" ca="1" si="30"/>
        <v xml:space="preserve">0 Tahun 8 bulan </v>
      </c>
      <c r="O152" s="4"/>
      <c r="P152" s="4" t="s">
        <v>35</v>
      </c>
      <c r="Q152" s="4" t="str">
        <f t="shared" si="31"/>
        <v>Laki-Laki</v>
      </c>
      <c r="R152" s="4">
        <f t="shared" si="27"/>
        <v>1</v>
      </c>
      <c r="S152" s="4" t="str">
        <f t="shared" si="37"/>
        <v>1</v>
      </c>
      <c r="T152" s="4">
        <f t="shared" si="38"/>
        <v>0</v>
      </c>
      <c r="U152" s="29"/>
      <c r="V152" s="30" t="s">
        <v>50</v>
      </c>
      <c r="W152" s="30"/>
      <c r="X152" s="30"/>
      <c r="Y152" s="30"/>
      <c r="Z152" s="30"/>
      <c r="AA152" s="30"/>
      <c r="AB152" s="29"/>
      <c r="AC152" s="29"/>
      <c r="AD152" s="37">
        <f t="shared" si="35"/>
        <v>32042</v>
      </c>
      <c r="AE152" s="3" t="str">
        <f t="shared" ca="1" si="32"/>
        <v>38 Tahun 11 bulan 10 Hari</v>
      </c>
      <c r="AF152" s="38">
        <f t="shared" si="36"/>
        <v>53966</v>
      </c>
    </row>
    <row r="153" spans="1:33" s="306" customFormat="1" ht="33.75" customHeight="1" x14ac:dyDescent="0.35">
      <c r="A153" s="26">
        <f t="shared" si="33"/>
        <v>141</v>
      </c>
      <c r="B153" s="27" t="s">
        <v>483</v>
      </c>
      <c r="C153" s="26"/>
      <c r="D153" s="67" t="s">
        <v>529</v>
      </c>
      <c r="E153" s="45" t="s">
        <v>530</v>
      </c>
      <c r="F153" s="24" t="s">
        <v>71</v>
      </c>
      <c r="G153" s="4" t="s">
        <v>531</v>
      </c>
      <c r="H153" s="4" t="s">
        <v>379</v>
      </c>
      <c r="I153" s="4" t="s">
        <v>446</v>
      </c>
      <c r="J153" s="5" t="s">
        <v>532</v>
      </c>
      <c r="K153" s="3" t="str">
        <f t="shared" ca="1" si="29"/>
        <v xml:space="preserve">1 Tahun 6 bulan </v>
      </c>
      <c r="L153" s="30" t="s">
        <v>200</v>
      </c>
      <c r="M153" s="5" t="s">
        <v>533</v>
      </c>
      <c r="N153" s="3" t="str">
        <f t="shared" ca="1" si="30"/>
        <v xml:space="preserve">9 Tahun 7 bulan </v>
      </c>
      <c r="O153" s="4"/>
      <c r="P153" s="4" t="s">
        <v>35</v>
      </c>
      <c r="Q153" s="4" t="str">
        <f t="shared" si="31"/>
        <v>Laki-Laki</v>
      </c>
      <c r="R153" s="4">
        <f t="shared" si="27"/>
        <v>1</v>
      </c>
      <c r="S153" s="4" t="str">
        <f t="shared" si="37"/>
        <v>1</v>
      </c>
      <c r="T153" s="4">
        <f t="shared" si="38"/>
        <v>0</v>
      </c>
      <c r="U153" s="29"/>
      <c r="V153" s="30" t="s">
        <v>50</v>
      </c>
      <c r="W153" s="30"/>
      <c r="X153" s="30"/>
      <c r="Y153" s="30"/>
      <c r="Z153" s="30"/>
      <c r="AA153" s="30"/>
      <c r="AB153" s="29"/>
      <c r="AC153" s="29"/>
      <c r="AD153" s="37">
        <f t="shared" si="35"/>
        <v>28646</v>
      </c>
      <c r="AE153" s="3" t="str">
        <f t="shared" ca="1" si="32"/>
        <v>48 Tahun 2 bulan 27 Hari</v>
      </c>
      <c r="AF153" s="38">
        <f t="shared" si="36"/>
        <v>50587</v>
      </c>
    </row>
    <row r="154" spans="1:33" s="306" customFormat="1" ht="32.15" customHeight="1" x14ac:dyDescent="0.35">
      <c r="A154" s="26">
        <f t="shared" si="33"/>
        <v>142</v>
      </c>
      <c r="B154" s="27" t="s">
        <v>483</v>
      </c>
      <c r="C154" s="26"/>
      <c r="D154" s="67" t="s">
        <v>534</v>
      </c>
      <c r="E154" s="24" t="s">
        <v>108</v>
      </c>
      <c r="F154" s="24"/>
      <c r="G154" s="3"/>
      <c r="H154" s="4"/>
      <c r="I154" s="33"/>
      <c r="J154" s="5"/>
      <c r="K154" s="3" t="str">
        <f t="shared" ca="1" si="29"/>
        <v/>
      </c>
      <c r="L154" s="30" t="s">
        <v>88</v>
      </c>
      <c r="M154" s="5"/>
      <c r="N154" s="3" t="str">
        <f t="shared" ca="1" si="30"/>
        <v/>
      </c>
      <c r="O154" s="4"/>
      <c r="P154" s="4" t="s">
        <v>35</v>
      </c>
      <c r="Q154" s="4" t="str">
        <f t="shared" si="31"/>
        <v/>
      </c>
      <c r="R154" s="4">
        <f t="shared" si="27"/>
        <v>1</v>
      </c>
      <c r="S154" s="4" t="str">
        <f t="shared" si="37"/>
        <v>0</v>
      </c>
      <c r="T154" s="4">
        <f t="shared" si="38"/>
        <v>1</v>
      </c>
      <c r="U154" s="29"/>
      <c r="V154" s="30" t="s">
        <v>50</v>
      </c>
      <c r="W154" s="30"/>
      <c r="X154" s="30"/>
      <c r="Y154" s="30"/>
      <c r="Z154" s="30"/>
      <c r="AA154" s="30"/>
      <c r="AB154" s="29"/>
      <c r="AC154" s="29"/>
      <c r="AD154" s="37" t="str">
        <f t="shared" si="35"/>
        <v/>
      </c>
      <c r="AE154" s="3" t="str">
        <f t="shared" ca="1" si="32"/>
        <v/>
      </c>
      <c r="AF154" s="38" t="str">
        <f t="shared" si="36"/>
        <v/>
      </c>
      <c r="AG154" s="307"/>
    </row>
    <row r="155" spans="1:33" s="306" customFormat="1" ht="32.15" customHeight="1" x14ac:dyDescent="0.35">
      <c r="A155" s="26">
        <f t="shared" si="33"/>
        <v>143</v>
      </c>
      <c r="B155" s="27" t="s">
        <v>483</v>
      </c>
      <c r="C155" s="256" t="s">
        <v>535</v>
      </c>
      <c r="D155" s="257"/>
      <c r="E155" s="24" t="s">
        <v>536</v>
      </c>
      <c r="F155" s="24" t="s">
        <v>43</v>
      </c>
      <c r="G155" s="4" t="s">
        <v>1157</v>
      </c>
      <c r="H155" s="4" t="s">
        <v>1158</v>
      </c>
      <c r="I155" s="4" t="s">
        <v>2821</v>
      </c>
      <c r="J155" s="5">
        <v>45993</v>
      </c>
      <c r="K155" s="3" t="str">
        <f t="shared" ca="1" si="29"/>
        <v xml:space="preserve">0 Tahun 8 bulan </v>
      </c>
      <c r="L155" s="30" t="s">
        <v>346</v>
      </c>
      <c r="M155" s="5"/>
      <c r="N155" s="3" t="str">
        <f t="shared" ca="1" si="30"/>
        <v/>
      </c>
      <c r="O155" s="4"/>
      <c r="P155" s="4" t="s">
        <v>35</v>
      </c>
      <c r="Q155" s="4" t="str">
        <f t="shared" si="31"/>
        <v>Perempuan</v>
      </c>
      <c r="R155" s="4">
        <f>R385</f>
        <v>1</v>
      </c>
      <c r="S155" s="4" t="str">
        <f t="shared" si="37"/>
        <v>1</v>
      </c>
      <c r="T155" s="4">
        <f>R155-S155</f>
        <v>0</v>
      </c>
      <c r="U155" s="29"/>
      <c r="V155" s="30"/>
      <c r="W155" s="30"/>
      <c r="X155" s="30"/>
      <c r="Y155" s="30"/>
      <c r="Z155" s="30"/>
      <c r="AA155" s="30"/>
      <c r="AB155" s="29"/>
      <c r="AC155" s="29"/>
      <c r="AD155" s="37">
        <f t="shared" si="35"/>
        <v>29552</v>
      </c>
      <c r="AE155" s="3" t="str">
        <f t="shared" ca="1" si="32"/>
        <v>45 Tahun 9 bulan 5 Hari</v>
      </c>
      <c r="AF155" s="38">
        <f t="shared" si="36"/>
        <v>51471</v>
      </c>
    </row>
    <row r="156" spans="1:33" s="306" customFormat="1" ht="32.15" customHeight="1" x14ac:dyDescent="0.35">
      <c r="A156" s="26">
        <f>A155+1</f>
        <v>144</v>
      </c>
      <c r="B156" s="27" t="s">
        <v>483</v>
      </c>
      <c r="C156" s="26"/>
      <c r="D156" s="50" t="s">
        <v>537</v>
      </c>
      <c r="E156" s="24" t="s">
        <v>538</v>
      </c>
      <c r="F156" s="24" t="s">
        <v>43</v>
      </c>
      <c r="G156" s="3" t="s">
        <v>539</v>
      </c>
      <c r="H156" s="4" t="s">
        <v>337</v>
      </c>
      <c r="I156" s="33" t="s">
        <v>86</v>
      </c>
      <c r="J156" s="5" t="s">
        <v>87</v>
      </c>
      <c r="K156" s="3" t="str">
        <f t="shared" ca="1" si="29"/>
        <v xml:space="preserve">4 Tahun 8 bulan </v>
      </c>
      <c r="L156" s="30" t="s">
        <v>88</v>
      </c>
      <c r="M156" s="5" t="s">
        <v>87</v>
      </c>
      <c r="N156" s="3" t="str">
        <f t="shared" ca="1" si="30"/>
        <v xml:space="preserve">4 Tahun 8 bulan </v>
      </c>
      <c r="O156" s="4"/>
      <c r="P156" s="4" t="s">
        <v>35</v>
      </c>
      <c r="Q156" s="4" t="str">
        <f t="shared" si="31"/>
        <v>Laki-Laki</v>
      </c>
      <c r="R156" s="4">
        <f>R155</f>
        <v>1</v>
      </c>
      <c r="S156" s="4" t="str">
        <f t="shared" si="37"/>
        <v>1</v>
      </c>
      <c r="T156" s="4">
        <f>R156-S156</f>
        <v>0</v>
      </c>
      <c r="U156" s="29"/>
      <c r="V156" s="30" t="s">
        <v>50</v>
      </c>
      <c r="W156" s="30"/>
      <c r="X156" s="30"/>
      <c r="Y156" s="30"/>
      <c r="Z156" s="30"/>
      <c r="AA156" s="30"/>
      <c r="AB156" s="29"/>
      <c r="AC156" s="29"/>
      <c r="AD156" s="37">
        <f t="shared" si="35"/>
        <v>29785</v>
      </c>
      <c r="AE156" s="3" t="str">
        <f t="shared" ca="1" si="32"/>
        <v>45 Tahun 1 bulan 14 Hari</v>
      </c>
      <c r="AF156" s="38">
        <f t="shared" si="36"/>
        <v>51714</v>
      </c>
    </row>
    <row r="157" spans="1:33" s="306" customFormat="1" ht="32.15" customHeight="1" x14ac:dyDescent="0.35">
      <c r="A157" s="26">
        <f>A156+1</f>
        <v>145</v>
      </c>
      <c r="B157" s="27" t="s">
        <v>483</v>
      </c>
      <c r="C157" s="26"/>
      <c r="D157" s="50" t="s">
        <v>537</v>
      </c>
      <c r="E157" s="45" t="s">
        <v>540</v>
      </c>
      <c r="F157" s="24" t="s">
        <v>43</v>
      </c>
      <c r="G157" s="44" t="s">
        <v>541</v>
      </c>
      <c r="H157" s="4" t="s">
        <v>542</v>
      </c>
      <c r="I157" s="25" t="s">
        <v>86</v>
      </c>
      <c r="J157" s="5" t="s">
        <v>87</v>
      </c>
      <c r="K157" s="3" t="str">
        <f t="shared" ca="1" si="29"/>
        <v xml:space="preserve">4 Tahun 8 bulan </v>
      </c>
      <c r="L157" s="30" t="s">
        <v>88</v>
      </c>
      <c r="M157" s="5" t="s">
        <v>87</v>
      </c>
      <c r="N157" s="3" t="str">
        <f t="shared" ca="1" si="30"/>
        <v xml:space="preserve">4 Tahun 8 bulan </v>
      </c>
      <c r="O157" s="4"/>
      <c r="P157" s="4" t="s">
        <v>35</v>
      </c>
      <c r="Q157" s="4" t="str">
        <f t="shared" si="31"/>
        <v/>
      </c>
      <c r="R157" s="4">
        <f>R156</f>
        <v>1</v>
      </c>
      <c r="S157" s="4" t="str">
        <f t="shared" si="37"/>
        <v>1</v>
      </c>
      <c r="T157" s="4">
        <f>R157-S157</f>
        <v>0</v>
      </c>
      <c r="U157" s="29"/>
      <c r="V157" s="30"/>
      <c r="W157" s="30"/>
      <c r="X157" s="30"/>
      <c r="Y157" s="30"/>
      <c r="Z157" s="30"/>
      <c r="AA157" s="30"/>
      <c r="AB157" s="29"/>
      <c r="AC157" s="29"/>
      <c r="AD157" s="37">
        <f t="shared" si="35"/>
        <v>26587</v>
      </c>
      <c r="AE157" s="3" t="str">
        <f t="shared" ca="1" si="32"/>
        <v>53 Tahun 10 bulan 17 Hari</v>
      </c>
      <c r="AF157" s="38">
        <f t="shared" si="36"/>
        <v>48519</v>
      </c>
    </row>
    <row r="158" spans="1:33" s="306" customFormat="1" ht="32.15" customHeight="1" x14ac:dyDescent="0.35">
      <c r="A158" s="26">
        <f>A157+1</f>
        <v>146</v>
      </c>
      <c r="B158" s="27" t="s">
        <v>483</v>
      </c>
      <c r="C158" s="26"/>
      <c r="D158" s="50" t="s">
        <v>537</v>
      </c>
      <c r="E158" s="39" t="s">
        <v>543</v>
      </c>
      <c r="F158" s="24" t="s">
        <v>43</v>
      </c>
      <c r="G158" s="25" t="s">
        <v>544</v>
      </c>
      <c r="H158" s="4" t="s">
        <v>545</v>
      </c>
      <c r="I158" s="25" t="s">
        <v>86</v>
      </c>
      <c r="J158" s="5" t="s">
        <v>87</v>
      </c>
      <c r="K158" s="3" t="str">
        <f t="shared" ca="1" si="29"/>
        <v xml:space="preserve">4 Tahun 8 bulan </v>
      </c>
      <c r="L158" s="30" t="s">
        <v>88</v>
      </c>
      <c r="M158" s="5" t="s">
        <v>87</v>
      </c>
      <c r="N158" s="3" t="str">
        <f t="shared" ca="1" si="30"/>
        <v xml:space="preserve">4 Tahun 8 bulan </v>
      </c>
      <c r="O158" s="4"/>
      <c r="P158" s="4" t="s">
        <v>35</v>
      </c>
      <c r="Q158" s="4" t="str">
        <f t="shared" si="31"/>
        <v>Laki-Laki</v>
      </c>
      <c r="R158" s="4">
        <f>R157</f>
        <v>1</v>
      </c>
      <c r="S158" s="4" t="str">
        <f t="shared" si="37"/>
        <v>1</v>
      </c>
      <c r="T158" s="4">
        <f>R158-S158</f>
        <v>0</v>
      </c>
      <c r="U158" s="29"/>
      <c r="V158" s="30"/>
      <c r="W158" s="30"/>
      <c r="X158" s="30"/>
      <c r="Y158" s="30"/>
      <c r="Z158" s="30"/>
      <c r="AA158" s="30"/>
      <c r="AB158" s="29"/>
      <c r="AC158" s="29"/>
      <c r="AD158" s="37">
        <f t="shared" si="35"/>
        <v>28523</v>
      </c>
      <c r="AE158" s="3" t="str">
        <f t="shared" ca="1" si="32"/>
        <v>48 Tahun 6 bulan 30 Hari</v>
      </c>
      <c r="AF158" s="38">
        <f t="shared" si="36"/>
        <v>50465</v>
      </c>
    </row>
    <row r="159" spans="1:33" s="308" customFormat="1" ht="32.15" customHeight="1" x14ac:dyDescent="0.35">
      <c r="A159" s="4"/>
      <c r="B159" s="32" t="s">
        <v>546</v>
      </c>
      <c r="C159" s="269" t="s">
        <v>547</v>
      </c>
      <c r="D159" s="270"/>
      <c r="E159" s="271" t="str">
        <f ca="1">IF(J159="","",CONCATENATE(DATEDIF(J159,NOW(),"Y")," Tahun ",DATEDIF(J159,NOW(),"YM")," bulan "))</f>
        <v/>
      </c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3"/>
    </row>
    <row r="160" spans="1:33" s="306" customFormat="1" ht="32.15" customHeight="1" x14ac:dyDescent="0.35">
      <c r="A160" s="26">
        <f>A158+1</f>
        <v>147</v>
      </c>
      <c r="B160" s="27" t="s">
        <v>546</v>
      </c>
      <c r="C160" s="278" t="s">
        <v>548</v>
      </c>
      <c r="D160" s="279"/>
      <c r="E160" s="24" t="s">
        <v>549</v>
      </c>
      <c r="F160" s="24" t="s">
        <v>43</v>
      </c>
      <c r="G160" s="70" t="s">
        <v>550</v>
      </c>
      <c r="H160" s="4" t="s">
        <v>287</v>
      </c>
      <c r="I160" s="25"/>
      <c r="J160" s="5">
        <v>46048</v>
      </c>
      <c r="K160" s="3" t="str">
        <f t="shared" ca="1" si="29"/>
        <v xml:space="preserve">0 Tahun 7 bulan </v>
      </c>
      <c r="L160" s="30" t="s">
        <v>56</v>
      </c>
      <c r="M160" s="5">
        <v>46048</v>
      </c>
      <c r="N160" s="3" t="str">
        <f t="shared" ca="1" si="30"/>
        <v xml:space="preserve">0 Tahun 7 bulan </v>
      </c>
      <c r="O160" s="4"/>
      <c r="P160" s="4" t="s">
        <v>35</v>
      </c>
      <c r="Q160" s="4" t="str">
        <f t="shared" si="31"/>
        <v>Laki-Laki</v>
      </c>
      <c r="R160" s="4">
        <f>R154</f>
        <v>1</v>
      </c>
      <c r="S160" s="4" t="str">
        <f t="shared" ref="S160:S177" si="39">IF(E160="LOWONG","0","1")</f>
        <v>1</v>
      </c>
      <c r="T160" s="4">
        <f t="shared" si="38"/>
        <v>0</v>
      </c>
      <c r="U160" s="29"/>
      <c r="V160" s="30" t="s">
        <v>50</v>
      </c>
      <c r="W160" s="30"/>
      <c r="X160" s="30"/>
      <c r="Y160" s="30"/>
      <c r="Z160" s="30"/>
      <c r="AA160" s="30"/>
      <c r="AB160" s="29"/>
      <c r="AC160" s="29"/>
      <c r="AD160" s="37">
        <f t="shared" si="35"/>
        <v>26627</v>
      </c>
      <c r="AE160" s="3" t="str">
        <f t="shared" ca="1" si="32"/>
        <v>53 Tahun 9 bulan 8 Hari</v>
      </c>
      <c r="AF160" s="38">
        <f t="shared" si="36"/>
        <v>48549</v>
      </c>
    </row>
    <row r="161" spans="1:33" s="306" customFormat="1" ht="32.15" customHeight="1" x14ac:dyDescent="0.35">
      <c r="A161" s="26">
        <f t="shared" si="33"/>
        <v>148</v>
      </c>
      <c r="B161" s="27" t="s">
        <v>546</v>
      </c>
      <c r="C161" s="256" t="s">
        <v>551</v>
      </c>
      <c r="D161" s="257"/>
      <c r="E161" s="71" t="s">
        <v>2996</v>
      </c>
      <c r="F161" s="24" t="s">
        <v>43</v>
      </c>
      <c r="G161" s="70" t="s">
        <v>2475</v>
      </c>
      <c r="H161" s="4" t="s">
        <v>781</v>
      </c>
      <c r="I161" s="25" t="s">
        <v>1692</v>
      </c>
      <c r="J161" s="5">
        <v>46198</v>
      </c>
      <c r="K161" s="3" t="str">
        <f t="shared" ca="1" si="29"/>
        <v xml:space="preserve">0 Tahun 2 bulan </v>
      </c>
      <c r="L161" s="30" t="s">
        <v>79</v>
      </c>
      <c r="M161" s="5">
        <v>46198</v>
      </c>
      <c r="N161" s="3" t="str">
        <f t="shared" ca="1" si="30"/>
        <v xml:space="preserve">0 Tahun 2 bulan </v>
      </c>
      <c r="O161" s="4"/>
      <c r="P161" s="4" t="s">
        <v>35</v>
      </c>
      <c r="Q161" s="4" t="str">
        <f t="shared" si="31"/>
        <v>Laki-Laki</v>
      </c>
      <c r="R161" s="4">
        <f t="shared" si="27"/>
        <v>1</v>
      </c>
      <c r="S161" s="4" t="str">
        <f t="shared" si="39"/>
        <v>1</v>
      </c>
      <c r="T161" s="4">
        <f t="shared" si="38"/>
        <v>0</v>
      </c>
      <c r="U161" s="29"/>
      <c r="V161" s="30" t="s">
        <v>50</v>
      </c>
      <c r="W161" s="30"/>
      <c r="X161" s="30"/>
      <c r="Y161" s="30"/>
      <c r="Z161" s="30"/>
      <c r="AA161" s="30"/>
      <c r="AB161" s="29"/>
      <c r="AC161" s="29"/>
      <c r="AD161" s="37">
        <f t="shared" si="35"/>
        <v>29321</v>
      </c>
      <c r="AE161" s="3" t="str">
        <f t="shared" ca="1" si="32"/>
        <v>46 Tahun 4 bulan 22 Hari</v>
      </c>
      <c r="AF161" s="38">
        <f t="shared" si="36"/>
        <v>51257</v>
      </c>
    </row>
    <row r="162" spans="1:33" s="306" customFormat="1" ht="33.75" customHeight="1" x14ac:dyDescent="0.35">
      <c r="A162" s="26">
        <f t="shared" si="33"/>
        <v>149</v>
      </c>
      <c r="B162" s="27" t="s">
        <v>546</v>
      </c>
      <c r="C162" s="26"/>
      <c r="D162" s="50" t="s">
        <v>552</v>
      </c>
      <c r="E162" s="39" t="s">
        <v>3026</v>
      </c>
      <c r="F162" s="24" t="s">
        <v>43</v>
      </c>
      <c r="G162" s="73" t="s">
        <v>3027</v>
      </c>
      <c r="H162" s="4" t="s">
        <v>3028</v>
      </c>
      <c r="I162" s="4" t="s">
        <v>3029</v>
      </c>
      <c r="J162" s="5">
        <v>46260</v>
      </c>
      <c r="K162" s="3" t="str">
        <f t="shared" ca="1" si="29"/>
        <v xml:space="preserve">0 Tahun 0 bulan </v>
      </c>
      <c r="L162" s="30" t="s">
        <v>200</v>
      </c>
      <c r="M162" s="5">
        <v>46260</v>
      </c>
      <c r="N162" s="3" t="str">
        <f t="shared" ca="1" si="30"/>
        <v xml:space="preserve">0 Tahun 0 bulan </v>
      </c>
      <c r="O162" s="29"/>
      <c r="P162" s="4" t="s">
        <v>35</v>
      </c>
      <c r="Q162" s="4" t="str">
        <f t="shared" si="31"/>
        <v>Perempuan</v>
      </c>
      <c r="R162" s="4">
        <f t="shared" si="27"/>
        <v>1</v>
      </c>
      <c r="S162" s="4" t="str">
        <f t="shared" si="39"/>
        <v>1</v>
      </c>
      <c r="T162" s="4">
        <f t="shared" si="38"/>
        <v>0</v>
      </c>
      <c r="U162" s="29"/>
      <c r="V162" s="30" t="s">
        <v>50</v>
      </c>
      <c r="W162" s="30"/>
      <c r="X162" s="30"/>
      <c r="Y162" s="30"/>
      <c r="Z162" s="30"/>
      <c r="AA162" s="30"/>
      <c r="AB162" s="29"/>
      <c r="AC162" s="29"/>
      <c r="AD162" s="37">
        <f t="shared" si="35"/>
        <v>34951</v>
      </c>
      <c r="AE162" s="3" t="str">
        <f t="shared" ca="1" si="32"/>
        <v>30 Tahun 11 bulan 23 Hari</v>
      </c>
      <c r="AF162" s="38">
        <f t="shared" si="36"/>
        <v>56888</v>
      </c>
    </row>
    <row r="163" spans="1:33" s="306" customFormat="1" ht="32.15" customHeight="1" x14ac:dyDescent="0.35">
      <c r="A163" s="26">
        <f t="shared" si="33"/>
        <v>150</v>
      </c>
      <c r="B163" s="27" t="s">
        <v>546</v>
      </c>
      <c r="C163" s="26"/>
      <c r="D163" s="50" t="s">
        <v>555</v>
      </c>
      <c r="E163" s="24" t="s">
        <v>3088</v>
      </c>
      <c r="F163" s="24" t="s">
        <v>43</v>
      </c>
      <c r="G163" s="3" t="s">
        <v>3089</v>
      </c>
      <c r="H163" s="4" t="s">
        <v>3013</v>
      </c>
      <c r="I163" s="33"/>
      <c r="J163" s="5">
        <v>46260</v>
      </c>
      <c r="K163" s="3" t="str">
        <f t="shared" ca="1" si="29"/>
        <v xml:space="preserve">0 Tahun 0 bulan </v>
      </c>
      <c r="L163" s="30" t="s">
        <v>200</v>
      </c>
      <c r="M163" s="5"/>
      <c r="N163" s="3" t="str">
        <f t="shared" ca="1" si="30"/>
        <v/>
      </c>
      <c r="O163" s="4"/>
      <c r="P163" s="4" t="s">
        <v>35</v>
      </c>
      <c r="Q163" s="4" t="str">
        <f t="shared" si="31"/>
        <v>Laki-Laki</v>
      </c>
      <c r="R163" s="4">
        <f t="shared" si="27"/>
        <v>1</v>
      </c>
      <c r="S163" s="4" t="str">
        <f t="shared" si="39"/>
        <v>1</v>
      </c>
      <c r="T163" s="4">
        <f t="shared" si="38"/>
        <v>0</v>
      </c>
      <c r="U163" s="29"/>
      <c r="V163" s="30" t="s">
        <v>50</v>
      </c>
      <c r="W163" s="30"/>
      <c r="X163" s="30"/>
      <c r="Y163" s="30"/>
      <c r="Z163" s="30"/>
      <c r="AA163" s="30"/>
      <c r="AB163" s="29"/>
      <c r="AC163" s="29"/>
      <c r="AD163" s="37">
        <f t="shared" si="35"/>
        <v>32997</v>
      </c>
      <c r="AE163" s="3" t="str">
        <f t="shared" ca="1" si="32"/>
        <v>36 Tahun 3 bulan 28 Hari</v>
      </c>
      <c r="AF163" s="38">
        <f t="shared" si="36"/>
        <v>54940</v>
      </c>
    </row>
    <row r="164" spans="1:33" s="306" customFormat="1" ht="32.15" customHeight="1" x14ac:dyDescent="0.35">
      <c r="A164" s="26">
        <f t="shared" si="33"/>
        <v>151</v>
      </c>
      <c r="B164" s="27" t="s">
        <v>546</v>
      </c>
      <c r="C164" s="26"/>
      <c r="D164" s="50" t="s">
        <v>559</v>
      </c>
      <c r="E164" s="58" t="s">
        <v>108</v>
      </c>
      <c r="F164" s="24"/>
      <c r="G164" s="29"/>
      <c r="H164" s="29"/>
      <c r="I164" s="29"/>
      <c r="J164" s="5"/>
      <c r="K164" s="3" t="str">
        <f t="shared" ca="1" si="29"/>
        <v/>
      </c>
      <c r="L164" s="30" t="s">
        <v>88</v>
      </c>
      <c r="M164" s="5"/>
      <c r="N164" s="3" t="str">
        <f t="shared" ca="1" si="30"/>
        <v/>
      </c>
      <c r="O164" s="29"/>
      <c r="P164" s="29"/>
      <c r="Q164" s="4" t="str">
        <f t="shared" si="31"/>
        <v/>
      </c>
      <c r="R164" s="4">
        <v>1</v>
      </c>
      <c r="S164" s="4" t="str">
        <f t="shared" si="39"/>
        <v>0</v>
      </c>
      <c r="T164" s="4">
        <f t="shared" si="38"/>
        <v>1</v>
      </c>
      <c r="U164" s="29"/>
      <c r="V164" s="30"/>
      <c r="W164" s="30"/>
      <c r="X164" s="30"/>
      <c r="Y164" s="30"/>
      <c r="Z164" s="30"/>
      <c r="AA164" s="30"/>
      <c r="AB164" s="29"/>
      <c r="AC164" s="29"/>
      <c r="AD164" s="37" t="str">
        <f t="shared" si="35"/>
        <v/>
      </c>
      <c r="AE164" s="3" t="str">
        <f t="shared" ca="1" si="32"/>
        <v/>
      </c>
      <c r="AF164" s="38" t="str">
        <f t="shared" si="36"/>
        <v/>
      </c>
    </row>
    <row r="165" spans="1:33" s="306" customFormat="1" ht="32.15" customHeight="1" x14ac:dyDescent="0.35">
      <c r="A165" s="26">
        <f t="shared" si="33"/>
        <v>152</v>
      </c>
      <c r="B165" s="27" t="s">
        <v>546</v>
      </c>
      <c r="C165" s="256" t="s">
        <v>560</v>
      </c>
      <c r="D165" s="257"/>
      <c r="E165" s="24" t="s">
        <v>561</v>
      </c>
      <c r="F165" s="24" t="s">
        <v>43</v>
      </c>
      <c r="G165" s="3" t="s">
        <v>562</v>
      </c>
      <c r="H165" s="4" t="s">
        <v>563</v>
      </c>
      <c r="I165" s="4" t="s">
        <v>564</v>
      </c>
      <c r="J165" s="5" t="s">
        <v>565</v>
      </c>
      <c r="K165" s="3" t="str">
        <f t="shared" ca="1" si="29"/>
        <v xml:space="preserve">5 Tahun 9 bulan </v>
      </c>
      <c r="L165" s="30" t="s">
        <v>346</v>
      </c>
      <c r="M165" s="5" t="s">
        <v>565</v>
      </c>
      <c r="N165" s="3" t="str">
        <f t="shared" ca="1" si="30"/>
        <v xml:space="preserve">5 Tahun 9 bulan </v>
      </c>
      <c r="O165" s="4"/>
      <c r="P165" s="4" t="s">
        <v>35</v>
      </c>
      <c r="Q165" s="4" t="str">
        <f t="shared" si="31"/>
        <v>Perempuan</v>
      </c>
      <c r="R165" s="4">
        <f>[1]Sheet2!J4</f>
        <v>1</v>
      </c>
      <c r="S165" s="4" t="str">
        <f t="shared" si="39"/>
        <v>1</v>
      </c>
      <c r="T165" s="4">
        <f t="shared" si="38"/>
        <v>0</v>
      </c>
      <c r="U165" s="29"/>
      <c r="V165" s="30"/>
      <c r="W165" s="30"/>
      <c r="X165" s="30"/>
      <c r="Y165" s="30"/>
      <c r="Z165" s="30"/>
      <c r="AA165" s="30"/>
      <c r="AB165" s="29"/>
      <c r="AC165" s="29"/>
      <c r="AD165" s="37">
        <f t="shared" si="35"/>
        <v>27049</v>
      </c>
      <c r="AE165" s="3" t="str">
        <f t="shared" ca="1" si="32"/>
        <v>52 Tahun 7 bulan 12 Hari</v>
      </c>
      <c r="AF165" s="38">
        <f t="shared" si="36"/>
        <v>48976</v>
      </c>
    </row>
    <row r="166" spans="1:33" s="306" customFormat="1" ht="32.15" customHeight="1" x14ac:dyDescent="0.35">
      <c r="A166" s="26">
        <f t="shared" si="33"/>
        <v>153</v>
      </c>
      <c r="B166" s="27" t="s">
        <v>546</v>
      </c>
      <c r="C166" s="26"/>
      <c r="D166" s="50" t="s">
        <v>566</v>
      </c>
      <c r="E166" s="24" t="s">
        <v>108</v>
      </c>
      <c r="F166" s="24"/>
      <c r="G166" s="3"/>
      <c r="H166" s="4"/>
      <c r="I166" s="4"/>
      <c r="J166" s="5"/>
      <c r="K166" s="3" t="str">
        <f t="shared" ca="1" si="29"/>
        <v/>
      </c>
      <c r="L166" s="30" t="s">
        <v>88</v>
      </c>
      <c r="M166" s="5"/>
      <c r="N166" s="3" t="str">
        <f t="shared" ca="1" si="30"/>
        <v/>
      </c>
      <c r="O166" s="4"/>
      <c r="P166" s="4"/>
      <c r="Q166" s="4" t="str">
        <f t="shared" si="31"/>
        <v/>
      </c>
      <c r="R166" s="4">
        <f>R165</f>
        <v>1</v>
      </c>
      <c r="S166" s="4" t="str">
        <f t="shared" si="39"/>
        <v>0</v>
      </c>
      <c r="T166" s="4">
        <f t="shared" si="38"/>
        <v>1</v>
      </c>
      <c r="U166" s="29"/>
      <c r="V166" s="30"/>
      <c r="W166" s="30"/>
      <c r="X166" s="30"/>
      <c r="Y166" s="30"/>
      <c r="Z166" s="30"/>
      <c r="AA166" s="30"/>
      <c r="AB166" s="29"/>
      <c r="AC166" s="29"/>
      <c r="AD166" s="37" t="str">
        <f t="shared" si="35"/>
        <v/>
      </c>
      <c r="AE166" s="3" t="str">
        <f t="shared" ca="1" si="32"/>
        <v/>
      </c>
      <c r="AF166" s="38" t="str">
        <f t="shared" si="36"/>
        <v/>
      </c>
    </row>
    <row r="167" spans="1:33" s="306" customFormat="1" ht="32.15" customHeight="1" x14ac:dyDescent="0.35">
      <c r="A167" s="26">
        <f t="shared" si="33"/>
        <v>154</v>
      </c>
      <c r="B167" s="27" t="s">
        <v>546</v>
      </c>
      <c r="C167" s="26"/>
      <c r="D167" s="50" t="s">
        <v>566</v>
      </c>
      <c r="E167" s="24" t="s">
        <v>567</v>
      </c>
      <c r="F167" s="24" t="s">
        <v>43</v>
      </c>
      <c r="G167" s="3" t="s">
        <v>568</v>
      </c>
      <c r="H167" s="4" t="s">
        <v>135</v>
      </c>
      <c r="I167" s="4" t="s">
        <v>46</v>
      </c>
      <c r="J167" s="5" t="s">
        <v>87</v>
      </c>
      <c r="K167" s="3" t="str">
        <f t="shared" ca="1" si="29"/>
        <v xml:space="preserve">4 Tahun 8 bulan </v>
      </c>
      <c r="L167" s="30" t="s">
        <v>88</v>
      </c>
      <c r="M167" s="5" t="s">
        <v>87</v>
      </c>
      <c r="N167" s="3" t="str">
        <f t="shared" ca="1" si="30"/>
        <v xml:space="preserve">4 Tahun 8 bulan </v>
      </c>
      <c r="O167" s="4"/>
      <c r="P167" s="4" t="s">
        <v>35</v>
      </c>
      <c r="Q167" s="4" t="str">
        <f t="shared" si="31"/>
        <v>Perempuan</v>
      </c>
      <c r="R167" s="4">
        <f>R166</f>
        <v>1</v>
      </c>
      <c r="S167" s="4" t="str">
        <f t="shared" si="39"/>
        <v>1</v>
      </c>
      <c r="T167" s="4">
        <f t="shared" si="38"/>
        <v>0</v>
      </c>
      <c r="U167" s="29"/>
      <c r="V167" s="30"/>
      <c r="W167" s="30"/>
      <c r="X167" s="30"/>
      <c r="Y167" s="30"/>
      <c r="Z167" s="30"/>
      <c r="AA167" s="30"/>
      <c r="AB167" s="29"/>
      <c r="AC167" s="29"/>
      <c r="AD167" s="37">
        <f t="shared" si="35"/>
        <v>27933</v>
      </c>
      <c r="AE167" s="3" t="str">
        <f t="shared" ca="1" si="32"/>
        <v>50 Tahun 2 bulan 10 Hari</v>
      </c>
      <c r="AF167" s="38">
        <f t="shared" si="36"/>
        <v>49857</v>
      </c>
    </row>
    <row r="168" spans="1:33" s="306" customFormat="1" ht="32.15" customHeight="1" x14ac:dyDescent="0.35">
      <c r="A168" s="26">
        <f t="shared" si="33"/>
        <v>155</v>
      </c>
      <c r="B168" s="27" t="s">
        <v>546</v>
      </c>
      <c r="C168" s="256" t="s">
        <v>569</v>
      </c>
      <c r="D168" s="257"/>
      <c r="E168" s="24" t="s">
        <v>2937</v>
      </c>
      <c r="F168" s="24" t="s">
        <v>43</v>
      </c>
      <c r="G168" s="3" t="s">
        <v>553</v>
      </c>
      <c r="H168" s="4" t="s">
        <v>2938</v>
      </c>
      <c r="I168" s="4" t="s">
        <v>2862</v>
      </c>
      <c r="J168" s="5">
        <v>46198</v>
      </c>
      <c r="K168" s="3" t="str">
        <f t="shared" ca="1" si="29"/>
        <v xml:space="preserve">0 Tahun 2 bulan </v>
      </c>
      <c r="L168" s="30" t="s">
        <v>346</v>
      </c>
      <c r="M168" s="5">
        <v>46198</v>
      </c>
      <c r="N168" s="3" t="str">
        <f t="shared" ca="1" si="30"/>
        <v xml:space="preserve">0 Tahun 2 bulan </v>
      </c>
      <c r="O168" s="6"/>
      <c r="P168" s="4" t="s">
        <v>35</v>
      </c>
      <c r="Q168" s="4" t="str">
        <f t="shared" si="31"/>
        <v>Laki-Laki</v>
      </c>
      <c r="R168" s="4">
        <f>R167</f>
        <v>1</v>
      </c>
      <c r="S168" s="4" t="str">
        <f t="shared" si="39"/>
        <v>1</v>
      </c>
      <c r="T168" s="4">
        <f t="shared" si="38"/>
        <v>0</v>
      </c>
      <c r="U168" s="29"/>
      <c r="V168" s="30" t="s">
        <v>50</v>
      </c>
      <c r="W168" s="30"/>
      <c r="X168" s="30"/>
      <c r="Y168" s="30"/>
      <c r="Z168" s="30"/>
      <c r="AA168" s="30"/>
      <c r="AB168" s="29"/>
      <c r="AC168" s="29"/>
      <c r="AD168" s="37">
        <f t="shared" si="35"/>
        <v>30852</v>
      </c>
      <c r="AE168" s="3" t="str">
        <f t="shared" ca="1" si="32"/>
        <v>42 Tahun 2 bulan 13 Hari</v>
      </c>
      <c r="AF168" s="38">
        <f t="shared" si="36"/>
        <v>52779</v>
      </c>
    </row>
    <row r="169" spans="1:33" s="306" customFormat="1" ht="32.15" customHeight="1" x14ac:dyDescent="0.35">
      <c r="A169" s="26">
        <f t="shared" si="33"/>
        <v>156</v>
      </c>
      <c r="B169" s="27" t="s">
        <v>546</v>
      </c>
      <c r="C169" s="26"/>
      <c r="D169" s="50" t="s">
        <v>566</v>
      </c>
      <c r="E169" s="24" t="s">
        <v>572</v>
      </c>
      <c r="F169" s="24" t="s">
        <v>43</v>
      </c>
      <c r="G169" s="3" t="s">
        <v>573</v>
      </c>
      <c r="H169" s="4" t="s">
        <v>574</v>
      </c>
      <c r="I169" s="4" t="s">
        <v>564</v>
      </c>
      <c r="J169" s="5" t="s">
        <v>87</v>
      </c>
      <c r="K169" s="3" t="str">
        <f t="shared" ca="1" si="29"/>
        <v xml:space="preserve">4 Tahun 8 bulan </v>
      </c>
      <c r="L169" s="30" t="s">
        <v>88</v>
      </c>
      <c r="M169" s="5" t="s">
        <v>87</v>
      </c>
      <c r="N169" s="3" t="str">
        <f t="shared" ca="1" si="30"/>
        <v xml:space="preserve">4 Tahun 8 bulan </v>
      </c>
      <c r="O169" s="4"/>
      <c r="P169" s="4" t="s">
        <v>35</v>
      </c>
      <c r="Q169" s="4" t="str">
        <f t="shared" si="31"/>
        <v>Laki-Laki</v>
      </c>
      <c r="R169" s="4">
        <f>R168</f>
        <v>1</v>
      </c>
      <c r="S169" s="4" t="str">
        <f t="shared" si="39"/>
        <v>1</v>
      </c>
      <c r="T169" s="4">
        <f t="shared" si="38"/>
        <v>0</v>
      </c>
      <c r="U169" s="29"/>
      <c r="V169" s="30" t="s">
        <v>50</v>
      </c>
      <c r="W169" s="30"/>
      <c r="X169" s="30"/>
      <c r="Y169" s="30"/>
      <c r="Z169" s="30"/>
      <c r="AA169" s="30"/>
      <c r="AB169" s="29"/>
      <c r="AC169" s="29"/>
      <c r="AD169" s="37">
        <f t="shared" si="35"/>
        <v>30714</v>
      </c>
      <c r="AE169" s="3" t="str">
        <f t="shared" ca="1" si="32"/>
        <v>42 Tahun 6 bulan 30 Hari</v>
      </c>
      <c r="AF169" s="38">
        <f t="shared" si="36"/>
        <v>52657</v>
      </c>
    </row>
    <row r="170" spans="1:33" s="306" customFormat="1" ht="32.15" customHeight="1" x14ac:dyDescent="0.35">
      <c r="A170" s="26">
        <f t="shared" si="33"/>
        <v>157</v>
      </c>
      <c r="B170" s="27" t="s">
        <v>546</v>
      </c>
      <c r="C170" s="26"/>
      <c r="D170" s="50" t="s">
        <v>566</v>
      </c>
      <c r="E170" s="24" t="s">
        <v>575</v>
      </c>
      <c r="F170" s="24" t="s">
        <v>43</v>
      </c>
      <c r="G170" s="3" t="s">
        <v>576</v>
      </c>
      <c r="H170" s="4" t="s">
        <v>414</v>
      </c>
      <c r="I170" s="4" t="s">
        <v>577</v>
      </c>
      <c r="J170" s="5" t="s">
        <v>87</v>
      </c>
      <c r="K170" s="3" t="str">
        <f t="shared" ca="1" si="29"/>
        <v xml:space="preserve">4 Tahun 8 bulan </v>
      </c>
      <c r="L170" s="30" t="s">
        <v>88</v>
      </c>
      <c r="M170" s="5" t="s">
        <v>87</v>
      </c>
      <c r="N170" s="3" t="str">
        <f t="shared" ca="1" si="30"/>
        <v xml:space="preserve">4 Tahun 8 bulan </v>
      </c>
      <c r="O170" s="4"/>
      <c r="P170" s="4" t="s">
        <v>35</v>
      </c>
      <c r="Q170" s="4" t="str">
        <f t="shared" si="31"/>
        <v>Perempuan</v>
      </c>
      <c r="R170" s="4">
        <f>R169</f>
        <v>1</v>
      </c>
      <c r="S170" s="4" t="str">
        <f t="shared" si="39"/>
        <v>1</v>
      </c>
      <c r="T170" s="4">
        <f t="shared" si="38"/>
        <v>0</v>
      </c>
      <c r="U170" s="29"/>
      <c r="V170" s="30"/>
      <c r="W170" s="30"/>
      <c r="X170" s="30"/>
      <c r="Y170" s="30"/>
      <c r="Z170" s="30"/>
      <c r="AA170" s="30"/>
      <c r="AB170" s="29"/>
      <c r="AC170" s="29"/>
      <c r="AD170" s="37">
        <f t="shared" si="35"/>
        <v>28038</v>
      </c>
      <c r="AE170" s="3" t="str">
        <f t="shared" ca="1" si="32"/>
        <v>49 Tahun 10 bulan 27 Hari</v>
      </c>
      <c r="AF170" s="38">
        <f t="shared" si="36"/>
        <v>49980</v>
      </c>
    </row>
    <row r="171" spans="1:33" s="306" customFormat="1" ht="32.15" customHeight="1" x14ac:dyDescent="0.35">
      <c r="A171" s="26">
        <f t="shared" si="33"/>
        <v>158</v>
      </c>
      <c r="B171" s="27" t="s">
        <v>546</v>
      </c>
      <c r="C171" s="256" t="s">
        <v>578</v>
      </c>
      <c r="D171" s="257"/>
      <c r="E171" s="24" t="s">
        <v>579</v>
      </c>
      <c r="F171" s="24" t="s">
        <v>43</v>
      </c>
      <c r="G171" s="3" t="s">
        <v>580</v>
      </c>
      <c r="H171" s="4" t="s">
        <v>66</v>
      </c>
      <c r="I171" s="4" t="s">
        <v>46</v>
      </c>
      <c r="J171" s="5" t="s">
        <v>98</v>
      </c>
      <c r="K171" s="3" t="str">
        <f t="shared" ca="1" si="29"/>
        <v xml:space="preserve">3 Tahun 0 bulan </v>
      </c>
      <c r="L171" s="30" t="s">
        <v>346</v>
      </c>
      <c r="M171" s="5" t="s">
        <v>98</v>
      </c>
      <c r="N171" s="3" t="str">
        <f t="shared" ca="1" si="30"/>
        <v xml:space="preserve">3 Tahun 0 bulan </v>
      </c>
      <c r="O171" s="4"/>
      <c r="P171" s="4" t="s">
        <v>35</v>
      </c>
      <c r="Q171" s="4" t="str">
        <f t="shared" si="31"/>
        <v>Laki-Laki</v>
      </c>
      <c r="R171" s="4">
        <f>R213</f>
        <v>1</v>
      </c>
      <c r="S171" s="4" t="str">
        <f t="shared" si="39"/>
        <v>1</v>
      </c>
      <c r="T171" s="4">
        <f t="shared" si="38"/>
        <v>0</v>
      </c>
      <c r="U171" s="29"/>
      <c r="V171" s="30" t="s">
        <v>50</v>
      </c>
      <c r="W171" s="30"/>
      <c r="X171" s="30"/>
      <c r="Y171" s="30"/>
      <c r="Z171" s="30"/>
      <c r="AA171" s="30"/>
      <c r="AB171" s="29"/>
      <c r="AC171" s="29"/>
      <c r="AD171" s="37">
        <f t="shared" si="35"/>
        <v>27246</v>
      </c>
      <c r="AE171" s="3" t="str">
        <f t="shared" ca="1" si="32"/>
        <v>52 Tahun 0 bulan 27 Hari</v>
      </c>
      <c r="AF171" s="38">
        <f t="shared" si="36"/>
        <v>49188</v>
      </c>
    </row>
    <row r="172" spans="1:33" s="306" customFormat="1" ht="32.15" customHeight="1" x14ac:dyDescent="0.35">
      <c r="A172" s="26">
        <f t="shared" si="33"/>
        <v>159</v>
      </c>
      <c r="B172" s="27" t="s">
        <v>546</v>
      </c>
      <c r="C172" s="26"/>
      <c r="D172" s="50" t="s">
        <v>581</v>
      </c>
      <c r="E172" s="24" t="s">
        <v>582</v>
      </c>
      <c r="F172" s="24" t="s">
        <v>43</v>
      </c>
      <c r="G172" s="3" t="s">
        <v>583</v>
      </c>
      <c r="H172" s="4" t="s">
        <v>584</v>
      </c>
      <c r="I172" s="4" t="s">
        <v>585</v>
      </c>
      <c r="J172" s="5" t="s">
        <v>87</v>
      </c>
      <c r="K172" s="3" t="str">
        <f t="shared" ca="1" si="29"/>
        <v xml:space="preserve">4 Tahun 8 bulan </v>
      </c>
      <c r="L172" s="30" t="s">
        <v>88</v>
      </c>
      <c r="M172" s="5" t="s">
        <v>87</v>
      </c>
      <c r="N172" s="3" t="str">
        <f t="shared" ca="1" si="30"/>
        <v xml:space="preserve">4 Tahun 8 bulan </v>
      </c>
      <c r="O172" s="4"/>
      <c r="P172" s="4" t="s">
        <v>35</v>
      </c>
      <c r="Q172" s="4" t="str">
        <f t="shared" si="31"/>
        <v>Perempuan</v>
      </c>
      <c r="R172" s="4">
        <f>R161</f>
        <v>1</v>
      </c>
      <c r="S172" s="4" t="str">
        <f t="shared" si="39"/>
        <v>1</v>
      </c>
      <c r="T172" s="4">
        <f t="shared" si="38"/>
        <v>0</v>
      </c>
      <c r="U172" s="29"/>
      <c r="V172" s="30"/>
      <c r="W172" s="30"/>
      <c r="X172" s="30"/>
      <c r="Y172" s="30"/>
      <c r="Z172" s="30"/>
      <c r="AA172" s="30"/>
      <c r="AB172" s="29"/>
      <c r="AC172" s="29"/>
      <c r="AD172" s="37">
        <f t="shared" si="35"/>
        <v>29677</v>
      </c>
      <c r="AE172" s="3" t="str">
        <f t="shared" ca="1" si="32"/>
        <v>45 Tahun 5 bulan 0 Hari</v>
      </c>
      <c r="AF172" s="38">
        <f t="shared" si="36"/>
        <v>51622</v>
      </c>
    </row>
    <row r="173" spans="1:33" s="306" customFormat="1" ht="32.15" customHeight="1" x14ac:dyDescent="0.35">
      <c r="A173" s="26">
        <f t="shared" si="33"/>
        <v>160</v>
      </c>
      <c r="B173" s="27" t="s">
        <v>546</v>
      </c>
      <c r="C173" s="26"/>
      <c r="D173" s="50" t="s">
        <v>581</v>
      </c>
      <c r="E173" s="71" t="s">
        <v>586</v>
      </c>
      <c r="F173" s="24" t="s">
        <v>43</v>
      </c>
      <c r="G173" s="70" t="s">
        <v>587</v>
      </c>
      <c r="H173" s="4" t="s">
        <v>574</v>
      </c>
      <c r="I173" s="56" t="s">
        <v>588</v>
      </c>
      <c r="J173" s="5" t="s">
        <v>87</v>
      </c>
      <c r="K173" s="3" t="str">
        <f t="shared" ca="1" si="29"/>
        <v xml:space="preserve">4 Tahun 8 bulan </v>
      </c>
      <c r="L173" s="30" t="s">
        <v>88</v>
      </c>
      <c r="M173" s="5" t="s">
        <v>87</v>
      </c>
      <c r="N173" s="3" t="str">
        <f t="shared" ca="1" si="30"/>
        <v xml:space="preserve">4 Tahun 8 bulan </v>
      </c>
      <c r="O173" s="74"/>
      <c r="P173" s="4" t="s">
        <v>35</v>
      </c>
      <c r="Q173" s="4" t="str">
        <f t="shared" si="31"/>
        <v>Laki-Laki</v>
      </c>
      <c r="R173" s="4">
        <f t="shared" ref="R173:R180" si="40">R172</f>
        <v>1</v>
      </c>
      <c r="S173" s="4" t="str">
        <f t="shared" si="39"/>
        <v>1</v>
      </c>
      <c r="T173" s="4">
        <f t="shared" si="38"/>
        <v>0</v>
      </c>
      <c r="U173" s="29"/>
      <c r="V173" s="30" t="s">
        <v>50</v>
      </c>
      <c r="W173" s="30"/>
      <c r="X173" s="30"/>
      <c r="Y173" s="30"/>
      <c r="Z173" s="30"/>
      <c r="AA173" s="30"/>
      <c r="AB173" s="29"/>
      <c r="AC173" s="29"/>
      <c r="AD173" s="37">
        <f t="shared" si="35"/>
        <v>28135</v>
      </c>
      <c r="AE173" s="3" t="str">
        <f t="shared" ca="1" si="32"/>
        <v>49 Tahun 7 bulan 22 Hari</v>
      </c>
      <c r="AF173" s="38">
        <f t="shared" si="36"/>
        <v>50072</v>
      </c>
    </row>
    <row r="174" spans="1:33" s="306" customFormat="1" ht="32.15" customHeight="1" x14ac:dyDescent="0.35">
      <c r="A174" s="26">
        <f t="shared" si="33"/>
        <v>161</v>
      </c>
      <c r="B174" s="27" t="s">
        <v>546</v>
      </c>
      <c r="C174" s="26"/>
      <c r="D174" s="50" t="s">
        <v>581</v>
      </c>
      <c r="E174" s="24" t="s">
        <v>108</v>
      </c>
      <c r="F174" s="24"/>
      <c r="G174" s="3"/>
      <c r="H174" s="4"/>
      <c r="I174" s="4"/>
      <c r="J174" s="5"/>
      <c r="K174" s="3" t="str">
        <f t="shared" ca="1" si="29"/>
        <v/>
      </c>
      <c r="L174" s="30" t="s">
        <v>88</v>
      </c>
      <c r="M174" s="5"/>
      <c r="N174" s="3" t="str">
        <f t="shared" ca="1" si="30"/>
        <v/>
      </c>
      <c r="O174" s="4"/>
      <c r="P174" s="4" t="s">
        <v>35</v>
      </c>
      <c r="Q174" s="4" t="str">
        <f t="shared" si="31"/>
        <v/>
      </c>
      <c r="R174" s="4">
        <f t="shared" si="40"/>
        <v>1</v>
      </c>
      <c r="S174" s="4" t="str">
        <f t="shared" si="39"/>
        <v>0</v>
      </c>
      <c r="T174" s="4">
        <f t="shared" si="38"/>
        <v>1</v>
      </c>
      <c r="U174" s="29"/>
      <c r="V174" s="30" t="s">
        <v>50</v>
      </c>
      <c r="W174" s="30"/>
      <c r="X174" s="30"/>
      <c r="Y174" s="30"/>
      <c r="Z174" s="30"/>
      <c r="AA174" s="30"/>
      <c r="AB174" s="29"/>
      <c r="AC174" s="29"/>
      <c r="AD174" s="37" t="str">
        <f t="shared" si="35"/>
        <v/>
      </c>
      <c r="AE174" s="3" t="str">
        <f t="shared" ca="1" si="32"/>
        <v/>
      </c>
      <c r="AF174" s="38" t="str">
        <f t="shared" si="36"/>
        <v/>
      </c>
      <c r="AG174" s="307"/>
    </row>
    <row r="175" spans="1:33" s="306" customFormat="1" ht="32.15" customHeight="1" x14ac:dyDescent="0.35">
      <c r="A175" s="26">
        <f t="shared" si="33"/>
        <v>162</v>
      </c>
      <c r="B175" s="27" t="s">
        <v>546</v>
      </c>
      <c r="C175" s="256" t="s">
        <v>590</v>
      </c>
      <c r="D175" s="257"/>
      <c r="E175" s="24" t="s">
        <v>2863</v>
      </c>
      <c r="F175" s="24" t="s">
        <v>43</v>
      </c>
      <c r="G175" s="3" t="s">
        <v>592</v>
      </c>
      <c r="H175" s="4" t="s">
        <v>102</v>
      </c>
      <c r="I175" s="4" t="s">
        <v>2891</v>
      </c>
      <c r="J175" s="5">
        <v>46087</v>
      </c>
      <c r="K175" s="3" t="str">
        <f t="shared" ca="1" si="29"/>
        <v xml:space="preserve">0 Tahun 5 bulan </v>
      </c>
      <c r="L175" s="30" t="s">
        <v>346</v>
      </c>
      <c r="M175" s="5">
        <v>46087</v>
      </c>
      <c r="N175" s="3" t="str">
        <f t="shared" ca="1" si="30"/>
        <v xml:space="preserve">0 Tahun 5 bulan </v>
      </c>
      <c r="O175" s="4"/>
      <c r="P175" s="4" t="s">
        <v>35</v>
      </c>
      <c r="Q175" s="4" t="s">
        <v>591</v>
      </c>
      <c r="R175" s="4">
        <f t="shared" si="40"/>
        <v>1</v>
      </c>
      <c r="S175" s="4" t="str">
        <f t="shared" si="39"/>
        <v>1</v>
      </c>
      <c r="T175" s="4">
        <f t="shared" si="38"/>
        <v>0</v>
      </c>
      <c r="U175" s="29"/>
      <c r="V175" s="30" t="s">
        <v>50</v>
      </c>
      <c r="W175" s="30"/>
      <c r="X175" s="30"/>
      <c r="Y175" s="30"/>
      <c r="Z175" s="30"/>
      <c r="AA175" s="30"/>
      <c r="AB175" s="29"/>
      <c r="AC175" s="29"/>
      <c r="AD175" s="37">
        <f t="shared" si="35"/>
        <v>28254</v>
      </c>
      <c r="AE175" s="3" t="str">
        <f t="shared" ca="1" si="32"/>
        <v>49 Tahun 3 bulan 23 Hari</v>
      </c>
      <c r="AF175" s="38">
        <f t="shared" si="36"/>
        <v>50192</v>
      </c>
    </row>
    <row r="176" spans="1:33" s="306" customFormat="1" ht="32.15" customHeight="1" x14ac:dyDescent="0.35">
      <c r="A176" s="26">
        <f t="shared" si="33"/>
        <v>163</v>
      </c>
      <c r="B176" s="27" t="s">
        <v>546</v>
      </c>
      <c r="C176" s="26"/>
      <c r="D176" s="50" t="s">
        <v>566</v>
      </c>
      <c r="E176" s="24" t="s">
        <v>2999</v>
      </c>
      <c r="F176" s="24" t="s">
        <v>43</v>
      </c>
      <c r="G176" s="4" t="s">
        <v>3000</v>
      </c>
      <c r="H176" s="56" t="s">
        <v>2962</v>
      </c>
      <c r="I176" s="4" t="s">
        <v>3003</v>
      </c>
      <c r="J176" s="5">
        <v>46198</v>
      </c>
      <c r="K176" s="3" t="str">
        <f t="shared" ca="1" si="29"/>
        <v xml:space="preserve">0 Tahun 2 bulan </v>
      </c>
      <c r="L176" s="30" t="s">
        <v>88</v>
      </c>
      <c r="M176" s="5">
        <v>41820</v>
      </c>
      <c r="N176" s="3" t="str">
        <f t="shared" ca="1" si="30"/>
        <v xml:space="preserve">12 Tahun 2 bulan </v>
      </c>
      <c r="O176" s="4"/>
      <c r="P176" s="4" t="s">
        <v>2805</v>
      </c>
      <c r="Q176" s="4" t="str">
        <f t="shared" si="31"/>
        <v>Perempuan</v>
      </c>
      <c r="R176" s="4">
        <f t="shared" si="40"/>
        <v>1</v>
      </c>
      <c r="S176" s="4" t="str">
        <f t="shared" si="39"/>
        <v>1</v>
      </c>
      <c r="T176" s="4">
        <f t="shared" si="38"/>
        <v>0</v>
      </c>
      <c r="U176" s="29"/>
      <c r="V176" s="30"/>
      <c r="W176" s="30"/>
      <c r="X176" s="30"/>
      <c r="Y176" s="30"/>
      <c r="Z176" s="30"/>
      <c r="AA176" s="30"/>
      <c r="AB176" s="29"/>
      <c r="AC176" s="29"/>
      <c r="AD176" s="37">
        <f t="shared" si="35"/>
        <v>27595</v>
      </c>
      <c r="AE176" s="3" t="str">
        <f t="shared" ca="1" si="32"/>
        <v>51 Tahun 1 bulan 12 Hari</v>
      </c>
      <c r="AF176" s="38">
        <f t="shared" si="36"/>
        <v>49522</v>
      </c>
    </row>
    <row r="177" spans="1:32" s="306" customFormat="1" ht="32.15" customHeight="1" x14ac:dyDescent="0.35">
      <c r="A177" s="26">
        <f t="shared" si="33"/>
        <v>164</v>
      </c>
      <c r="B177" s="27" t="s">
        <v>546</v>
      </c>
      <c r="C177" s="26"/>
      <c r="D177" s="50" t="s">
        <v>566</v>
      </c>
      <c r="E177" s="24" t="s">
        <v>3001</v>
      </c>
      <c r="F177" s="24" t="s">
        <v>43</v>
      </c>
      <c r="G177" s="3" t="s">
        <v>3002</v>
      </c>
      <c r="H177" s="4" t="s">
        <v>102</v>
      </c>
      <c r="I177" s="4" t="s">
        <v>2549</v>
      </c>
      <c r="J177" s="5">
        <v>46198</v>
      </c>
      <c r="K177" s="3" t="str">
        <f t="shared" ca="1" si="29"/>
        <v xml:space="preserve">0 Tahun 2 bulan </v>
      </c>
      <c r="L177" s="30" t="s">
        <v>88</v>
      </c>
      <c r="M177" s="5">
        <v>41820</v>
      </c>
      <c r="N177" s="3" t="str">
        <f t="shared" ca="1" si="30"/>
        <v xml:space="preserve">12 Tahun 2 bulan </v>
      </c>
      <c r="O177" s="4"/>
      <c r="P177" s="4" t="s">
        <v>35</v>
      </c>
      <c r="Q177" s="4" t="str">
        <f t="shared" si="31"/>
        <v>Perempuan</v>
      </c>
      <c r="R177" s="4">
        <f t="shared" si="40"/>
        <v>1</v>
      </c>
      <c r="S177" s="4" t="str">
        <f t="shared" si="39"/>
        <v>1</v>
      </c>
      <c r="T177" s="4">
        <f t="shared" si="38"/>
        <v>0</v>
      </c>
      <c r="U177" s="29"/>
      <c r="V177" s="30"/>
      <c r="W177" s="30"/>
      <c r="X177" s="30"/>
      <c r="Y177" s="30"/>
      <c r="Z177" s="30"/>
      <c r="AA177" s="30"/>
      <c r="AB177" s="29"/>
      <c r="AC177" s="29"/>
      <c r="AD177" s="37">
        <f t="shared" si="35"/>
        <v>31665</v>
      </c>
      <c r="AE177" s="3" t="str">
        <f t="shared" ca="1" si="32"/>
        <v>39 Tahun 11 bulan 22 Hari</v>
      </c>
      <c r="AF177" s="38">
        <f t="shared" si="36"/>
        <v>53601</v>
      </c>
    </row>
    <row r="178" spans="1:32" s="308" customFormat="1" ht="32.15" customHeight="1" x14ac:dyDescent="0.35">
      <c r="A178" s="4"/>
      <c r="B178" s="32" t="s">
        <v>593</v>
      </c>
      <c r="C178" s="269" t="s">
        <v>594</v>
      </c>
      <c r="D178" s="270"/>
      <c r="E178" s="271" t="str">
        <f ca="1">IF(J178="","",CONCATENATE(DATEDIF(J178,NOW(),"Y")," Tahun ",DATEDIF(J178,NOW(),"YM")," bulan "))</f>
        <v/>
      </c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3"/>
      <c r="W178" s="25"/>
      <c r="X178" s="25"/>
      <c r="Y178" s="25"/>
      <c r="Z178" s="25"/>
      <c r="AA178" s="25"/>
      <c r="AB178" s="35"/>
      <c r="AC178" s="35"/>
      <c r="AD178" s="37" t="str">
        <f t="shared" si="35"/>
        <v/>
      </c>
      <c r="AE178" s="3" t="str">
        <f t="shared" ca="1" si="32"/>
        <v/>
      </c>
      <c r="AF178" s="38" t="str">
        <f t="shared" si="36"/>
        <v/>
      </c>
    </row>
    <row r="179" spans="1:32" s="306" customFormat="1" ht="32.15" customHeight="1" x14ac:dyDescent="0.35">
      <c r="A179" s="26">
        <f>A177+1</f>
        <v>165</v>
      </c>
      <c r="B179" s="27" t="s">
        <v>593</v>
      </c>
      <c r="C179" s="278" t="s">
        <v>595</v>
      </c>
      <c r="D179" s="279"/>
      <c r="E179" s="24" t="s">
        <v>2866</v>
      </c>
      <c r="F179" s="24" t="s">
        <v>71</v>
      </c>
      <c r="G179" s="3" t="s">
        <v>2867</v>
      </c>
      <c r="H179" s="4" t="s">
        <v>3129</v>
      </c>
      <c r="I179" s="33" t="s">
        <v>2921</v>
      </c>
      <c r="J179" s="5">
        <v>46260</v>
      </c>
      <c r="K179" s="3" t="str">
        <f t="shared" ca="1" si="29"/>
        <v xml:space="preserve">0 Tahun 0 bulan </v>
      </c>
      <c r="L179" s="30" t="s">
        <v>56</v>
      </c>
      <c r="M179" s="5">
        <v>46260</v>
      </c>
      <c r="N179" s="3" t="str">
        <f t="shared" ca="1" si="30"/>
        <v xml:space="preserve">0 Tahun 0 bulan </v>
      </c>
      <c r="O179" s="4"/>
      <c r="P179" s="4" t="s">
        <v>35</v>
      </c>
      <c r="Q179" s="4" t="str">
        <f t="shared" si="31"/>
        <v>Laki-Laki</v>
      </c>
      <c r="R179" s="4">
        <f>R177</f>
        <v>1</v>
      </c>
      <c r="S179" s="4" t="str">
        <f t="shared" ref="S179:S207" si="41">IF(E179="LOWONG","0","1")</f>
        <v>1</v>
      </c>
      <c r="T179" s="4">
        <f t="shared" si="38"/>
        <v>0</v>
      </c>
      <c r="U179" s="29"/>
      <c r="V179" s="30" t="s">
        <v>50</v>
      </c>
      <c r="W179" s="30"/>
      <c r="X179" s="30"/>
      <c r="Y179" s="30"/>
      <c r="Z179" s="30"/>
      <c r="AA179" s="30"/>
      <c r="AB179" s="29"/>
      <c r="AC179" s="29"/>
      <c r="AD179" s="37">
        <f t="shared" si="35"/>
        <v>29587</v>
      </c>
      <c r="AE179" s="3" t="str">
        <f t="shared" ca="1" si="32"/>
        <v>45 Tahun 8 bulan 0 Hari</v>
      </c>
      <c r="AF179" s="38">
        <f t="shared" si="36"/>
        <v>51533</v>
      </c>
    </row>
    <row r="180" spans="1:32" s="306" customFormat="1" ht="32.15" customHeight="1" x14ac:dyDescent="0.35">
      <c r="A180" s="26">
        <f t="shared" si="33"/>
        <v>166</v>
      </c>
      <c r="B180" s="27" t="s">
        <v>593</v>
      </c>
      <c r="C180" s="256" t="s">
        <v>600</v>
      </c>
      <c r="D180" s="257"/>
      <c r="E180" s="24" t="s">
        <v>601</v>
      </c>
      <c r="F180" s="24" t="s">
        <v>43</v>
      </c>
      <c r="G180" s="3" t="s">
        <v>2822</v>
      </c>
      <c r="H180" s="4" t="s">
        <v>3033</v>
      </c>
      <c r="I180" s="33" t="s">
        <v>2823</v>
      </c>
      <c r="J180" s="5">
        <v>45993</v>
      </c>
      <c r="K180" s="3" t="str">
        <f t="shared" ca="1" si="29"/>
        <v xml:space="preserve">0 Tahun 8 bulan </v>
      </c>
      <c r="L180" s="30" t="s">
        <v>79</v>
      </c>
      <c r="M180" s="5">
        <v>45993</v>
      </c>
      <c r="N180" s="3" t="str">
        <f t="shared" ca="1" si="30"/>
        <v xml:space="preserve">0 Tahun 8 bulan </v>
      </c>
      <c r="O180" s="4"/>
      <c r="P180" s="4" t="s">
        <v>35</v>
      </c>
      <c r="Q180" s="4" t="str">
        <f t="shared" si="31"/>
        <v>Laki-Laki</v>
      </c>
      <c r="R180" s="4">
        <f t="shared" si="40"/>
        <v>1</v>
      </c>
      <c r="S180" s="4" t="str">
        <f t="shared" si="41"/>
        <v>1</v>
      </c>
      <c r="T180" s="4">
        <f t="shared" si="38"/>
        <v>0</v>
      </c>
      <c r="U180" s="29"/>
      <c r="V180" s="30" t="s">
        <v>50</v>
      </c>
      <c r="W180" s="30"/>
      <c r="X180" s="30"/>
      <c r="Y180" s="30"/>
      <c r="Z180" s="30"/>
      <c r="AA180" s="30"/>
      <c r="AB180" s="29"/>
      <c r="AC180" s="29"/>
      <c r="AD180" s="37">
        <f t="shared" si="35"/>
        <v>28949</v>
      </c>
      <c r="AE180" s="3" t="str">
        <f t="shared" ca="1" si="32"/>
        <v>47 Tahun 4 bulan 28 Hari</v>
      </c>
      <c r="AF180" s="38">
        <f t="shared" si="36"/>
        <v>50891</v>
      </c>
    </row>
    <row r="181" spans="1:32" s="306" customFormat="1" ht="32.15" customHeight="1" x14ac:dyDescent="0.35">
      <c r="A181" s="26">
        <f t="shared" si="33"/>
        <v>167</v>
      </c>
      <c r="B181" s="27" t="s">
        <v>593</v>
      </c>
      <c r="C181" s="26"/>
      <c r="D181" s="50" t="s">
        <v>602</v>
      </c>
      <c r="E181" s="51" t="s">
        <v>3006</v>
      </c>
      <c r="F181" s="24" t="s">
        <v>43</v>
      </c>
      <c r="G181" s="59" t="s">
        <v>3007</v>
      </c>
      <c r="H181" s="4" t="s">
        <v>3008</v>
      </c>
      <c r="I181" s="33" t="s">
        <v>2965</v>
      </c>
      <c r="J181" s="5">
        <v>46198</v>
      </c>
      <c r="K181" s="3" t="str">
        <f t="shared" ca="1" si="29"/>
        <v xml:space="preserve">0 Tahun 2 bulan </v>
      </c>
      <c r="L181" s="30" t="s">
        <v>200</v>
      </c>
      <c r="M181" s="5">
        <v>46198</v>
      </c>
      <c r="N181" s="3" t="str">
        <f t="shared" ca="1" si="30"/>
        <v xml:space="preserve">0 Tahun 2 bulan </v>
      </c>
      <c r="O181" s="4"/>
      <c r="P181" s="4"/>
      <c r="Q181" s="4" t="str">
        <f t="shared" si="31"/>
        <v>Laki-Laki</v>
      </c>
      <c r="R181" s="4">
        <v>1</v>
      </c>
      <c r="S181" s="4" t="str">
        <f t="shared" si="41"/>
        <v>1</v>
      </c>
      <c r="T181" s="4">
        <f t="shared" si="38"/>
        <v>0</v>
      </c>
      <c r="U181" s="29"/>
      <c r="V181" s="30"/>
      <c r="W181" s="30"/>
      <c r="X181" s="30"/>
      <c r="Y181" s="30"/>
      <c r="Z181" s="30"/>
      <c r="AA181" s="30"/>
      <c r="AB181" s="29"/>
      <c r="AC181" s="29"/>
      <c r="AD181" s="37">
        <f t="shared" si="35"/>
        <v>26395</v>
      </c>
      <c r="AE181" s="3" t="str">
        <f t="shared" ca="1" si="32"/>
        <v>54 Tahun 4 bulan 26 Hari</v>
      </c>
      <c r="AF181" s="38">
        <f t="shared" si="36"/>
        <v>48335</v>
      </c>
    </row>
    <row r="182" spans="1:32" s="306" customFormat="1" ht="32.15" customHeight="1" x14ac:dyDescent="0.35">
      <c r="A182" s="26">
        <f t="shared" si="33"/>
        <v>168</v>
      </c>
      <c r="B182" s="27" t="s">
        <v>593</v>
      </c>
      <c r="C182" s="26"/>
      <c r="D182" s="50" t="s">
        <v>605</v>
      </c>
      <c r="E182" s="45" t="s">
        <v>606</v>
      </c>
      <c r="F182" s="24" t="s">
        <v>43</v>
      </c>
      <c r="G182" s="44" t="s">
        <v>607</v>
      </c>
      <c r="H182" s="4" t="s">
        <v>410</v>
      </c>
      <c r="I182" s="33" t="s">
        <v>107</v>
      </c>
      <c r="J182" s="5" t="s">
        <v>292</v>
      </c>
      <c r="K182" s="3" t="str">
        <f t="shared" ca="1" si="29"/>
        <v xml:space="preserve">7 Tahun 7 bulan </v>
      </c>
      <c r="L182" s="30" t="s">
        <v>200</v>
      </c>
      <c r="M182" s="5" t="s">
        <v>292</v>
      </c>
      <c r="N182" s="3" t="str">
        <f t="shared" ca="1" si="30"/>
        <v xml:space="preserve">7 Tahun 7 bulan </v>
      </c>
      <c r="O182" s="60"/>
      <c r="P182" s="4" t="s">
        <v>35</v>
      </c>
      <c r="Q182" s="4" t="str">
        <f t="shared" si="31"/>
        <v>Perempuan</v>
      </c>
      <c r="R182" s="4">
        <f>[1]Sheet2!J3</f>
        <v>1</v>
      </c>
      <c r="S182" s="4" t="str">
        <f t="shared" si="41"/>
        <v>1</v>
      </c>
      <c r="T182" s="4">
        <f t="shared" si="38"/>
        <v>0</v>
      </c>
      <c r="U182" s="29"/>
      <c r="V182" s="30"/>
      <c r="W182" s="30"/>
      <c r="X182" s="30"/>
      <c r="Y182" s="30"/>
      <c r="Z182" s="30"/>
      <c r="AA182" s="30"/>
      <c r="AB182" s="29"/>
      <c r="AC182" s="29"/>
      <c r="AD182" s="37">
        <f t="shared" si="35"/>
        <v>27826</v>
      </c>
      <c r="AE182" s="3" t="str">
        <f t="shared" ca="1" si="32"/>
        <v>50 Tahun 5 bulan 25 Hari</v>
      </c>
      <c r="AF182" s="38">
        <f t="shared" si="36"/>
        <v>49766</v>
      </c>
    </row>
    <row r="183" spans="1:32" s="306" customFormat="1" ht="32.15" customHeight="1" x14ac:dyDescent="0.35">
      <c r="A183" s="26">
        <f t="shared" si="33"/>
        <v>169</v>
      </c>
      <c r="B183" s="27" t="s">
        <v>593</v>
      </c>
      <c r="C183" s="26"/>
      <c r="D183" s="46" t="s">
        <v>608</v>
      </c>
      <c r="E183" s="75" t="s">
        <v>609</v>
      </c>
      <c r="F183" s="24" t="s">
        <v>43</v>
      </c>
      <c r="G183" s="76" t="s">
        <v>610</v>
      </c>
      <c r="H183" s="4" t="s">
        <v>135</v>
      </c>
      <c r="I183" s="33" t="s">
        <v>184</v>
      </c>
      <c r="J183" s="5">
        <v>44561</v>
      </c>
      <c r="K183" s="3" t="str">
        <f t="shared" ca="1" si="29"/>
        <v xml:space="preserve">4 Tahun 8 bulan </v>
      </c>
      <c r="L183" s="30" t="s">
        <v>88</v>
      </c>
      <c r="M183" s="5">
        <v>44561</v>
      </c>
      <c r="N183" s="3" t="str">
        <f t="shared" ca="1" si="30"/>
        <v xml:space="preserve">4 Tahun 8 bulan </v>
      </c>
      <c r="O183" s="29"/>
      <c r="P183" s="4" t="s">
        <v>35</v>
      </c>
      <c r="Q183" s="4" t="str">
        <f t="shared" si="31"/>
        <v>Laki-Laki</v>
      </c>
      <c r="R183" s="4">
        <f t="shared" ref="R183:R214" si="42">R182</f>
        <v>1</v>
      </c>
      <c r="S183" s="4" t="str">
        <f t="shared" si="41"/>
        <v>1</v>
      </c>
      <c r="T183" s="4">
        <f t="shared" si="38"/>
        <v>0</v>
      </c>
      <c r="U183" s="29"/>
      <c r="V183" s="30" t="s">
        <v>50</v>
      </c>
      <c r="W183" s="30"/>
      <c r="X183" s="30"/>
      <c r="Y183" s="30"/>
      <c r="Z183" s="30"/>
      <c r="AA183" s="30"/>
      <c r="AB183" s="29"/>
      <c r="AC183" s="29"/>
      <c r="AD183" s="37">
        <f t="shared" si="35"/>
        <v>28839</v>
      </c>
      <c r="AE183" s="3" t="str">
        <f t="shared" ca="1" si="32"/>
        <v>47 Tahun 8 bulan 17 Hari</v>
      </c>
      <c r="AF183" s="38">
        <f t="shared" si="36"/>
        <v>50771</v>
      </c>
    </row>
    <row r="184" spans="1:32" s="306" customFormat="1" ht="32.15" customHeight="1" x14ac:dyDescent="0.35">
      <c r="A184" s="26">
        <f t="shared" si="33"/>
        <v>170</v>
      </c>
      <c r="B184" s="27" t="s">
        <v>593</v>
      </c>
      <c r="C184" s="256" t="s">
        <v>611</v>
      </c>
      <c r="D184" s="257"/>
      <c r="E184" s="24" t="s">
        <v>612</v>
      </c>
      <c r="F184" s="24" t="s">
        <v>43</v>
      </c>
      <c r="G184" s="3" t="s">
        <v>613</v>
      </c>
      <c r="H184" s="4" t="s">
        <v>154</v>
      </c>
      <c r="I184" s="33" t="s">
        <v>614</v>
      </c>
      <c r="J184" s="5" t="s">
        <v>127</v>
      </c>
      <c r="K184" s="3" t="str">
        <f t="shared" ca="1" si="29"/>
        <v xml:space="preserve">5 Tahun 6 bulan </v>
      </c>
      <c r="L184" s="30" t="s">
        <v>346</v>
      </c>
      <c r="M184" s="5" t="s">
        <v>127</v>
      </c>
      <c r="N184" s="3" t="str">
        <f t="shared" ca="1" si="30"/>
        <v xml:space="preserve">5 Tahun 6 bulan </v>
      </c>
      <c r="O184" s="4"/>
      <c r="P184" s="4" t="s">
        <v>35</v>
      </c>
      <c r="Q184" s="4" t="str">
        <f t="shared" si="31"/>
        <v>Laki-Laki</v>
      </c>
      <c r="R184" s="4">
        <f t="shared" si="42"/>
        <v>1</v>
      </c>
      <c r="S184" s="4" t="str">
        <f t="shared" si="41"/>
        <v>1</v>
      </c>
      <c r="T184" s="4">
        <f t="shared" si="38"/>
        <v>0</v>
      </c>
      <c r="U184" s="29"/>
      <c r="V184" s="30" t="s">
        <v>50</v>
      </c>
      <c r="W184" s="30"/>
      <c r="X184" s="30"/>
      <c r="Y184" s="30"/>
      <c r="Z184" s="30"/>
      <c r="AA184" s="30"/>
      <c r="AB184" s="29"/>
      <c r="AC184" s="29"/>
      <c r="AD184" s="37">
        <f t="shared" si="35"/>
        <v>27818</v>
      </c>
      <c r="AE184" s="3" t="str">
        <f t="shared" ca="1" si="32"/>
        <v>50 Tahun 6 bulan 4 Hari</v>
      </c>
      <c r="AF184" s="38">
        <f t="shared" si="36"/>
        <v>49735</v>
      </c>
    </row>
    <row r="185" spans="1:32" s="306" customFormat="1" ht="32.15" customHeight="1" x14ac:dyDescent="0.35">
      <c r="A185" s="26">
        <f t="shared" si="33"/>
        <v>171</v>
      </c>
      <c r="B185" s="27" t="s">
        <v>593</v>
      </c>
      <c r="C185" s="26"/>
      <c r="D185" s="50" t="s">
        <v>615</v>
      </c>
      <c r="E185" s="24" t="s">
        <v>616</v>
      </c>
      <c r="F185" s="24" t="s">
        <v>43</v>
      </c>
      <c r="G185" s="3" t="s">
        <v>617</v>
      </c>
      <c r="H185" s="4" t="s">
        <v>259</v>
      </c>
      <c r="I185" s="33" t="s">
        <v>184</v>
      </c>
      <c r="J185" s="5">
        <v>44561</v>
      </c>
      <c r="K185" s="3" t="str">
        <f t="shared" ca="1" si="29"/>
        <v xml:space="preserve">4 Tahun 8 bulan </v>
      </c>
      <c r="L185" s="30" t="s">
        <v>88</v>
      </c>
      <c r="M185" s="5">
        <v>44561</v>
      </c>
      <c r="N185" s="3" t="str">
        <f t="shared" ca="1" si="30"/>
        <v xml:space="preserve">4 Tahun 8 bulan </v>
      </c>
      <c r="O185" s="4"/>
      <c r="P185" s="4" t="s">
        <v>35</v>
      </c>
      <c r="Q185" s="4" t="str">
        <f t="shared" si="31"/>
        <v>Laki-Laki</v>
      </c>
      <c r="R185" s="4">
        <f t="shared" si="42"/>
        <v>1</v>
      </c>
      <c r="S185" s="4" t="str">
        <f t="shared" si="41"/>
        <v>1</v>
      </c>
      <c r="T185" s="4">
        <f t="shared" si="38"/>
        <v>0</v>
      </c>
      <c r="U185" s="29"/>
      <c r="V185" s="30" t="s">
        <v>50</v>
      </c>
      <c r="W185" s="30"/>
      <c r="X185" s="30"/>
      <c r="Y185" s="30"/>
      <c r="Z185" s="30"/>
      <c r="AA185" s="30"/>
      <c r="AB185" s="29"/>
      <c r="AC185" s="29"/>
      <c r="AD185" s="37">
        <f t="shared" si="35"/>
        <v>29390</v>
      </c>
      <c r="AE185" s="3" t="str">
        <f t="shared" ca="1" si="32"/>
        <v>46 Tahun 2 bulan 14 Hari</v>
      </c>
      <c r="AF185" s="38">
        <f t="shared" si="36"/>
        <v>51318</v>
      </c>
    </row>
    <row r="186" spans="1:32" s="306" customFormat="1" ht="32.15" customHeight="1" x14ac:dyDescent="0.35">
      <c r="A186" s="26">
        <f t="shared" si="33"/>
        <v>172</v>
      </c>
      <c r="B186" s="27" t="s">
        <v>593</v>
      </c>
      <c r="C186" s="26"/>
      <c r="D186" s="50" t="s">
        <v>615</v>
      </c>
      <c r="E186" s="45" t="s">
        <v>108</v>
      </c>
      <c r="F186" s="45"/>
      <c r="G186" s="44"/>
      <c r="H186" s="4"/>
      <c r="I186" s="36"/>
      <c r="J186" s="5"/>
      <c r="K186" s="3" t="str">
        <f t="shared" ca="1" si="29"/>
        <v/>
      </c>
      <c r="L186" s="30" t="s">
        <v>88</v>
      </c>
      <c r="M186" s="5"/>
      <c r="N186" s="3" t="str">
        <f t="shared" ca="1" si="30"/>
        <v/>
      </c>
      <c r="O186" s="4"/>
      <c r="P186" s="4"/>
      <c r="Q186" s="4" t="str">
        <f t="shared" si="31"/>
        <v/>
      </c>
      <c r="R186" s="4">
        <f t="shared" si="42"/>
        <v>1</v>
      </c>
      <c r="S186" s="4" t="str">
        <f t="shared" si="41"/>
        <v>0</v>
      </c>
      <c r="T186" s="4">
        <f t="shared" si="38"/>
        <v>1</v>
      </c>
      <c r="U186" s="29"/>
      <c r="V186" s="30"/>
      <c r="W186" s="30"/>
      <c r="X186" s="30"/>
      <c r="Y186" s="30"/>
      <c r="Z186" s="30"/>
      <c r="AA186" s="30"/>
      <c r="AB186" s="29"/>
      <c r="AC186" s="29"/>
      <c r="AD186" s="37" t="str">
        <f t="shared" si="35"/>
        <v/>
      </c>
      <c r="AE186" s="3" t="str">
        <f t="shared" ca="1" si="32"/>
        <v/>
      </c>
      <c r="AF186" s="38" t="str">
        <f t="shared" si="36"/>
        <v/>
      </c>
    </row>
    <row r="187" spans="1:32" s="306" customFormat="1" ht="32.15" customHeight="1" x14ac:dyDescent="0.35">
      <c r="A187" s="26">
        <f t="shared" si="33"/>
        <v>173</v>
      </c>
      <c r="B187" s="27" t="s">
        <v>593</v>
      </c>
      <c r="C187" s="26"/>
      <c r="D187" s="50" t="s">
        <v>618</v>
      </c>
      <c r="E187" s="24" t="s">
        <v>619</v>
      </c>
      <c r="F187" s="24" t="s">
        <v>43</v>
      </c>
      <c r="G187" s="3" t="s">
        <v>620</v>
      </c>
      <c r="H187" s="4" t="s">
        <v>621</v>
      </c>
      <c r="I187" s="33" t="s">
        <v>86</v>
      </c>
      <c r="J187" s="5" t="s">
        <v>87</v>
      </c>
      <c r="K187" s="3" t="str">
        <f t="shared" ca="1" si="29"/>
        <v xml:space="preserve">4 Tahun 8 bulan </v>
      </c>
      <c r="L187" s="30" t="s">
        <v>88</v>
      </c>
      <c r="M187" s="5">
        <v>44561</v>
      </c>
      <c r="N187" s="3" t="str">
        <f t="shared" ca="1" si="30"/>
        <v xml:space="preserve">4 Tahun 8 bulan </v>
      </c>
      <c r="O187" s="4"/>
      <c r="P187" s="4" t="s">
        <v>35</v>
      </c>
      <c r="Q187" s="4" t="str">
        <f t="shared" si="31"/>
        <v>Laki-Laki</v>
      </c>
      <c r="R187" s="4">
        <f t="shared" si="42"/>
        <v>1</v>
      </c>
      <c r="S187" s="4" t="str">
        <f t="shared" si="41"/>
        <v>1</v>
      </c>
      <c r="T187" s="4">
        <f t="shared" si="38"/>
        <v>0</v>
      </c>
      <c r="U187" s="29"/>
      <c r="V187" s="30" t="s">
        <v>50</v>
      </c>
      <c r="W187" s="30"/>
      <c r="X187" s="30"/>
      <c r="Y187" s="30"/>
      <c r="Z187" s="30"/>
      <c r="AA187" s="30"/>
      <c r="AB187" s="29"/>
      <c r="AC187" s="29"/>
      <c r="AD187" s="37">
        <f t="shared" si="35"/>
        <v>27910</v>
      </c>
      <c r="AE187" s="3" t="str">
        <f t="shared" ca="1" si="32"/>
        <v>50 Tahun 3 bulan 2 Hari</v>
      </c>
      <c r="AF187" s="38">
        <f t="shared" si="36"/>
        <v>49827</v>
      </c>
    </row>
    <row r="188" spans="1:32" s="306" customFormat="1" ht="32.15" customHeight="1" x14ac:dyDescent="0.35">
      <c r="A188" s="26">
        <f t="shared" si="33"/>
        <v>174</v>
      </c>
      <c r="B188" s="27" t="s">
        <v>593</v>
      </c>
      <c r="C188" s="256" t="s">
        <v>622</v>
      </c>
      <c r="D188" s="257"/>
      <c r="E188" s="24" t="s">
        <v>623</v>
      </c>
      <c r="F188" s="24" t="s">
        <v>43</v>
      </c>
      <c r="G188" s="3" t="s">
        <v>624</v>
      </c>
      <c r="H188" s="4" t="s">
        <v>625</v>
      </c>
      <c r="I188" s="4" t="s">
        <v>599</v>
      </c>
      <c r="J188" s="5" t="s">
        <v>626</v>
      </c>
      <c r="K188" s="3" t="str">
        <f t="shared" ca="1" si="29"/>
        <v xml:space="preserve">7 Tahun 7 bulan </v>
      </c>
      <c r="L188" s="30" t="s">
        <v>346</v>
      </c>
      <c r="M188" s="5" t="s">
        <v>626</v>
      </c>
      <c r="N188" s="3" t="str">
        <f t="shared" ca="1" si="30"/>
        <v xml:space="preserve">7 Tahun 7 bulan </v>
      </c>
      <c r="O188" s="4" t="s">
        <v>81</v>
      </c>
      <c r="P188" s="4" t="s">
        <v>35</v>
      </c>
      <c r="Q188" s="4" t="str">
        <f t="shared" si="31"/>
        <v>Laki-Laki</v>
      </c>
      <c r="R188" s="4">
        <f t="shared" si="42"/>
        <v>1</v>
      </c>
      <c r="S188" s="4" t="str">
        <f t="shared" si="41"/>
        <v>1</v>
      </c>
      <c r="T188" s="4">
        <f t="shared" si="38"/>
        <v>0</v>
      </c>
      <c r="U188" s="29"/>
      <c r="V188" s="30" t="s">
        <v>50</v>
      </c>
      <c r="W188" s="30"/>
      <c r="X188" s="30"/>
      <c r="Y188" s="30"/>
      <c r="Z188" s="30"/>
      <c r="AA188" s="30"/>
      <c r="AB188" s="29"/>
      <c r="AC188" s="29"/>
      <c r="AD188" s="37">
        <f t="shared" si="35"/>
        <v>27498</v>
      </c>
      <c r="AE188" s="3" t="str">
        <f t="shared" ca="1" si="32"/>
        <v>51 Tahun 4 bulan 18 Hari</v>
      </c>
      <c r="AF188" s="38">
        <f t="shared" si="36"/>
        <v>49430</v>
      </c>
    </row>
    <row r="189" spans="1:32" s="306" customFormat="1" ht="32.15" customHeight="1" x14ac:dyDescent="0.35">
      <c r="A189" s="26">
        <f t="shared" si="33"/>
        <v>175</v>
      </c>
      <c r="B189" s="27" t="s">
        <v>593</v>
      </c>
      <c r="C189" s="26"/>
      <c r="D189" s="50" t="s">
        <v>627</v>
      </c>
      <c r="E189" s="24" t="s">
        <v>108</v>
      </c>
      <c r="F189" s="24"/>
      <c r="G189" s="77"/>
      <c r="H189" s="4"/>
      <c r="I189" s="33"/>
      <c r="J189" s="5"/>
      <c r="K189" s="3" t="str">
        <f t="shared" ca="1" si="29"/>
        <v/>
      </c>
      <c r="L189" s="30" t="s">
        <v>88</v>
      </c>
      <c r="M189" s="5"/>
      <c r="N189" s="3" t="str">
        <f t="shared" ca="1" si="30"/>
        <v/>
      </c>
      <c r="O189" s="4"/>
      <c r="P189" s="4"/>
      <c r="Q189" s="4" t="str">
        <f t="shared" si="31"/>
        <v/>
      </c>
      <c r="R189" s="4">
        <f t="shared" si="42"/>
        <v>1</v>
      </c>
      <c r="S189" s="4" t="str">
        <f t="shared" si="41"/>
        <v>0</v>
      </c>
      <c r="T189" s="4">
        <f t="shared" si="38"/>
        <v>1</v>
      </c>
      <c r="U189" s="29"/>
      <c r="V189" s="30" t="s">
        <v>50</v>
      </c>
      <c r="W189" s="30"/>
      <c r="X189" s="30"/>
      <c r="Y189" s="30"/>
      <c r="Z189" s="30"/>
      <c r="AA189" s="30"/>
      <c r="AB189" s="29"/>
      <c r="AC189" s="29"/>
      <c r="AD189" s="37" t="str">
        <f t="shared" si="35"/>
        <v/>
      </c>
      <c r="AE189" s="3" t="str">
        <f t="shared" ca="1" si="32"/>
        <v/>
      </c>
      <c r="AF189" s="38" t="str">
        <f t="shared" si="36"/>
        <v/>
      </c>
    </row>
    <row r="190" spans="1:32" s="306" customFormat="1" ht="32.15" customHeight="1" x14ac:dyDescent="0.35">
      <c r="A190" s="26">
        <f t="shared" si="33"/>
        <v>176</v>
      </c>
      <c r="B190" s="27" t="s">
        <v>593</v>
      </c>
      <c r="C190" s="26"/>
      <c r="D190" s="50" t="s">
        <v>627</v>
      </c>
      <c r="E190" s="71" t="s">
        <v>631</v>
      </c>
      <c r="F190" s="24" t="s">
        <v>43</v>
      </c>
      <c r="G190" s="70" t="s">
        <v>632</v>
      </c>
      <c r="H190" s="4" t="s">
        <v>135</v>
      </c>
      <c r="I190" s="25" t="s">
        <v>86</v>
      </c>
      <c r="J190" s="5" t="s">
        <v>87</v>
      </c>
      <c r="K190" s="3" t="str">
        <f t="shared" ca="1" si="29"/>
        <v xml:space="preserve">4 Tahun 8 bulan </v>
      </c>
      <c r="L190" s="30" t="s">
        <v>88</v>
      </c>
      <c r="M190" s="5">
        <v>44561</v>
      </c>
      <c r="N190" s="3" t="str">
        <f t="shared" ca="1" si="30"/>
        <v xml:space="preserve">4 Tahun 8 bulan </v>
      </c>
      <c r="O190" s="56"/>
      <c r="P190" s="4" t="s">
        <v>35</v>
      </c>
      <c r="Q190" s="4" t="str">
        <f t="shared" si="31"/>
        <v>Laki-Laki</v>
      </c>
      <c r="R190" s="4">
        <f t="shared" si="42"/>
        <v>1</v>
      </c>
      <c r="S190" s="4" t="str">
        <f t="shared" si="41"/>
        <v>1</v>
      </c>
      <c r="T190" s="4">
        <f t="shared" si="38"/>
        <v>0</v>
      </c>
      <c r="U190" s="29"/>
      <c r="V190" s="30" t="s">
        <v>50</v>
      </c>
      <c r="W190" s="30"/>
      <c r="X190" s="30"/>
      <c r="Y190" s="30"/>
      <c r="Z190" s="30"/>
      <c r="AA190" s="30"/>
      <c r="AB190" s="29"/>
      <c r="AC190" s="29"/>
      <c r="AD190" s="37">
        <f t="shared" si="35"/>
        <v>25618</v>
      </c>
      <c r="AE190" s="3" t="str">
        <f t="shared" ca="1" si="32"/>
        <v>56 Tahun 6 bulan 13 Hari</v>
      </c>
      <c r="AF190" s="38">
        <f t="shared" si="36"/>
        <v>47543</v>
      </c>
    </row>
    <row r="191" spans="1:32" s="306" customFormat="1" ht="32.15" customHeight="1" x14ac:dyDescent="0.35">
      <c r="A191" s="26">
        <f t="shared" si="33"/>
        <v>177</v>
      </c>
      <c r="B191" s="27" t="s">
        <v>593</v>
      </c>
      <c r="C191" s="26"/>
      <c r="D191" s="50" t="s">
        <v>615</v>
      </c>
      <c r="E191" s="24" t="s">
        <v>633</v>
      </c>
      <c r="F191" s="24" t="s">
        <v>43</v>
      </c>
      <c r="G191" s="77" t="s">
        <v>634</v>
      </c>
      <c r="H191" s="4" t="s">
        <v>410</v>
      </c>
      <c r="I191" s="33" t="s">
        <v>46</v>
      </c>
      <c r="J191" s="5" t="s">
        <v>87</v>
      </c>
      <c r="K191" s="3" t="str">
        <f t="shared" ca="1" si="29"/>
        <v xml:space="preserve">4 Tahun 8 bulan </v>
      </c>
      <c r="L191" s="30" t="s">
        <v>88</v>
      </c>
      <c r="M191" s="5">
        <v>44561</v>
      </c>
      <c r="N191" s="3" t="str">
        <f t="shared" ca="1" si="30"/>
        <v xml:space="preserve">4 Tahun 8 bulan </v>
      </c>
      <c r="O191" s="4"/>
      <c r="P191" s="4" t="s">
        <v>35</v>
      </c>
      <c r="Q191" s="4" t="str">
        <f t="shared" si="31"/>
        <v>Perempuan</v>
      </c>
      <c r="R191" s="4">
        <f t="shared" si="42"/>
        <v>1</v>
      </c>
      <c r="S191" s="4" t="str">
        <f t="shared" si="41"/>
        <v>1</v>
      </c>
      <c r="T191" s="4">
        <f t="shared" si="38"/>
        <v>0</v>
      </c>
      <c r="U191" s="29"/>
      <c r="V191" s="30"/>
      <c r="W191" s="30"/>
      <c r="X191" s="30"/>
      <c r="Y191" s="30"/>
      <c r="Z191" s="30"/>
      <c r="AA191" s="30"/>
      <c r="AB191" s="29"/>
      <c r="AC191" s="29"/>
      <c r="AD191" s="37">
        <f t="shared" si="35"/>
        <v>28043</v>
      </c>
      <c r="AE191" s="3" t="str">
        <f t="shared" ca="1" si="32"/>
        <v>49 Tahun 10 bulan 22 Hari</v>
      </c>
      <c r="AF191" s="38">
        <f t="shared" si="36"/>
        <v>49980</v>
      </c>
    </row>
    <row r="192" spans="1:32" s="306" customFormat="1" ht="32.15" customHeight="1" x14ac:dyDescent="0.35">
      <c r="A192" s="26">
        <f t="shared" si="33"/>
        <v>178</v>
      </c>
      <c r="B192" s="27" t="s">
        <v>593</v>
      </c>
      <c r="C192" s="256" t="s">
        <v>635</v>
      </c>
      <c r="D192" s="257"/>
      <c r="E192" s="24" t="s">
        <v>2887</v>
      </c>
      <c r="F192" s="24" t="s">
        <v>43</v>
      </c>
      <c r="G192" s="3" t="s">
        <v>2888</v>
      </c>
      <c r="H192" s="4" t="s">
        <v>1526</v>
      </c>
      <c r="I192" s="25" t="s">
        <v>2889</v>
      </c>
      <c r="J192" s="5">
        <v>46087</v>
      </c>
      <c r="K192" s="3" t="str">
        <f t="shared" ca="1" si="29"/>
        <v xml:space="preserve">0 Tahun 5 bulan </v>
      </c>
      <c r="L192" s="30" t="s">
        <v>346</v>
      </c>
      <c r="M192" s="5">
        <v>46087</v>
      </c>
      <c r="N192" s="3" t="str">
        <f t="shared" ca="1" si="30"/>
        <v xml:space="preserve">0 Tahun 5 bulan </v>
      </c>
      <c r="O192" s="4"/>
      <c r="P192" s="4"/>
      <c r="Q192" s="4" t="str">
        <f t="shared" si="31"/>
        <v>Laki-Laki</v>
      </c>
      <c r="R192" s="4">
        <f t="shared" si="42"/>
        <v>1</v>
      </c>
      <c r="S192" s="4" t="str">
        <f t="shared" si="41"/>
        <v>1</v>
      </c>
      <c r="T192" s="4">
        <f t="shared" si="38"/>
        <v>0</v>
      </c>
      <c r="U192" s="29"/>
      <c r="V192" s="30" t="s">
        <v>50</v>
      </c>
      <c r="W192" s="30"/>
      <c r="X192" s="30"/>
      <c r="Y192" s="30"/>
      <c r="Z192" s="30"/>
      <c r="AA192" s="30"/>
      <c r="AB192" s="29"/>
      <c r="AC192" s="29"/>
      <c r="AD192" s="37">
        <f t="shared" si="35"/>
        <v>27087</v>
      </c>
      <c r="AE192" s="3" t="str">
        <f t="shared" ca="1" si="32"/>
        <v>52 Tahun 6 bulan 5 Hari</v>
      </c>
      <c r="AF192" s="38">
        <f t="shared" si="36"/>
        <v>49004</v>
      </c>
    </row>
    <row r="193" spans="1:33" s="306" customFormat="1" ht="32.15" customHeight="1" x14ac:dyDescent="0.35">
      <c r="A193" s="26">
        <f t="shared" si="33"/>
        <v>179</v>
      </c>
      <c r="B193" s="27" t="s">
        <v>593</v>
      </c>
      <c r="C193" s="26"/>
      <c r="D193" s="50" t="s">
        <v>636</v>
      </c>
      <c r="E193" s="24" t="s">
        <v>637</v>
      </c>
      <c r="F193" s="24" t="s">
        <v>43</v>
      </c>
      <c r="G193" s="3" t="s">
        <v>638</v>
      </c>
      <c r="H193" s="4" t="s">
        <v>135</v>
      </c>
      <c r="I193" s="33" t="s">
        <v>67</v>
      </c>
      <c r="J193" s="5" t="s">
        <v>87</v>
      </c>
      <c r="K193" s="3" t="str">
        <f t="shared" ca="1" si="29"/>
        <v xml:space="preserve">4 Tahun 8 bulan </v>
      </c>
      <c r="L193" s="30" t="s">
        <v>88</v>
      </c>
      <c r="M193" s="5">
        <v>44561</v>
      </c>
      <c r="N193" s="3" t="str">
        <f t="shared" ca="1" si="30"/>
        <v xml:space="preserve">4 Tahun 8 bulan </v>
      </c>
      <c r="O193" s="4"/>
      <c r="P193" s="4" t="s">
        <v>35</v>
      </c>
      <c r="Q193" s="4" t="str">
        <f t="shared" si="31"/>
        <v>Laki-Laki</v>
      </c>
      <c r="R193" s="4">
        <f t="shared" si="42"/>
        <v>1</v>
      </c>
      <c r="S193" s="4" t="str">
        <f t="shared" si="41"/>
        <v>1</v>
      </c>
      <c r="T193" s="4">
        <f t="shared" si="38"/>
        <v>0</v>
      </c>
      <c r="U193" s="29"/>
      <c r="V193" s="30" t="s">
        <v>50</v>
      </c>
      <c r="W193" s="30"/>
      <c r="X193" s="30"/>
      <c r="Y193" s="30"/>
      <c r="Z193" s="30"/>
      <c r="AA193" s="30"/>
      <c r="AB193" s="29"/>
      <c r="AC193" s="29"/>
      <c r="AD193" s="37">
        <f t="shared" si="35"/>
        <v>29085</v>
      </c>
      <c r="AE193" s="3" t="str">
        <f t="shared" ca="1" si="32"/>
        <v>47 Tahun 0 bulan 14 Hari</v>
      </c>
      <c r="AF193" s="38">
        <f t="shared" si="36"/>
        <v>51014</v>
      </c>
    </row>
    <row r="194" spans="1:33" s="306" customFormat="1" ht="32.15" customHeight="1" x14ac:dyDescent="0.35">
      <c r="A194" s="26">
        <f t="shared" si="33"/>
        <v>180</v>
      </c>
      <c r="B194" s="27" t="s">
        <v>593</v>
      </c>
      <c r="C194" s="26"/>
      <c r="D194" s="50" t="s">
        <v>639</v>
      </c>
      <c r="E194" s="24" t="s">
        <v>108</v>
      </c>
      <c r="F194" s="24"/>
      <c r="G194" s="78"/>
      <c r="H194" s="4"/>
      <c r="I194" s="33"/>
      <c r="J194" s="5"/>
      <c r="K194" s="3" t="str">
        <f t="shared" ca="1" si="29"/>
        <v/>
      </c>
      <c r="L194" s="30" t="s">
        <v>88</v>
      </c>
      <c r="M194" s="5"/>
      <c r="N194" s="3" t="str">
        <f t="shared" ca="1" si="30"/>
        <v/>
      </c>
      <c r="O194" s="4"/>
      <c r="P194" s="4"/>
      <c r="Q194" s="4" t="str">
        <f t="shared" si="31"/>
        <v/>
      </c>
      <c r="R194" s="4">
        <f t="shared" si="42"/>
        <v>1</v>
      </c>
      <c r="S194" s="4" t="str">
        <f t="shared" si="41"/>
        <v>0</v>
      </c>
      <c r="T194" s="4">
        <f t="shared" si="38"/>
        <v>1</v>
      </c>
      <c r="U194" s="29"/>
      <c r="V194" s="30" t="s">
        <v>50</v>
      </c>
      <c r="W194" s="30"/>
      <c r="X194" s="30"/>
      <c r="Y194" s="30"/>
      <c r="Z194" s="30"/>
      <c r="AA194" s="30"/>
      <c r="AB194" s="29"/>
      <c r="AC194" s="29"/>
      <c r="AD194" s="37" t="str">
        <f t="shared" si="35"/>
        <v/>
      </c>
      <c r="AE194" s="3" t="str">
        <f t="shared" ca="1" si="32"/>
        <v/>
      </c>
      <c r="AF194" s="38" t="str">
        <f t="shared" si="36"/>
        <v/>
      </c>
    </row>
    <row r="195" spans="1:33" s="306" customFormat="1" ht="32.15" customHeight="1" x14ac:dyDescent="0.35">
      <c r="A195" s="26">
        <f t="shared" si="33"/>
        <v>181</v>
      </c>
      <c r="B195" s="27" t="s">
        <v>593</v>
      </c>
      <c r="C195" s="26"/>
      <c r="D195" s="50" t="s">
        <v>615</v>
      </c>
      <c r="E195" s="24" t="s">
        <v>642</v>
      </c>
      <c r="F195" s="24" t="s">
        <v>43</v>
      </c>
      <c r="G195" s="78" t="s">
        <v>643</v>
      </c>
      <c r="H195" s="4" t="s">
        <v>85</v>
      </c>
      <c r="I195" s="25" t="s">
        <v>86</v>
      </c>
      <c r="J195" s="5" t="s">
        <v>87</v>
      </c>
      <c r="K195" s="3" t="str">
        <f t="shared" ca="1" si="29"/>
        <v xml:space="preserve">4 Tahun 8 bulan </v>
      </c>
      <c r="L195" s="30" t="s">
        <v>88</v>
      </c>
      <c r="M195" s="5">
        <v>44561</v>
      </c>
      <c r="N195" s="3" t="str">
        <f t="shared" ca="1" si="30"/>
        <v xml:space="preserve">4 Tahun 8 bulan </v>
      </c>
      <c r="O195" s="4"/>
      <c r="P195" s="4" t="s">
        <v>35</v>
      </c>
      <c r="Q195" s="4" t="str">
        <f t="shared" si="31"/>
        <v>Laki-Laki</v>
      </c>
      <c r="R195" s="4">
        <f t="shared" si="42"/>
        <v>1</v>
      </c>
      <c r="S195" s="4" t="str">
        <f t="shared" si="41"/>
        <v>1</v>
      </c>
      <c r="T195" s="4">
        <f t="shared" si="38"/>
        <v>0</v>
      </c>
      <c r="U195" s="29"/>
      <c r="V195" s="30" t="s">
        <v>50</v>
      </c>
      <c r="W195" s="30"/>
      <c r="X195" s="30"/>
      <c r="Y195" s="30"/>
      <c r="Z195" s="30"/>
      <c r="AA195" s="30"/>
      <c r="AB195" s="29"/>
      <c r="AC195" s="29"/>
      <c r="AD195" s="37">
        <f t="shared" si="35"/>
        <v>27953</v>
      </c>
      <c r="AE195" s="3" t="str">
        <f t="shared" ca="1" si="32"/>
        <v>50 Tahun 1 bulan 20 Hari</v>
      </c>
      <c r="AF195" s="38">
        <f t="shared" si="36"/>
        <v>49888</v>
      </c>
    </row>
    <row r="196" spans="1:33" s="306" customFormat="1" ht="32.15" customHeight="1" x14ac:dyDescent="0.35">
      <c r="A196" s="26">
        <f t="shared" si="33"/>
        <v>182</v>
      </c>
      <c r="B196" s="27" t="s">
        <v>593</v>
      </c>
      <c r="C196" s="256" t="s">
        <v>644</v>
      </c>
      <c r="D196" s="257"/>
      <c r="E196" s="24" t="s">
        <v>628</v>
      </c>
      <c r="F196" s="24" t="s">
        <v>43</v>
      </c>
      <c r="G196" s="3" t="s">
        <v>629</v>
      </c>
      <c r="H196" s="4" t="s">
        <v>1257</v>
      </c>
      <c r="I196" s="4" t="s">
        <v>2890</v>
      </c>
      <c r="J196" s="5">
        <v>46087</v>
      </c>
      <c r="K196" s="3" t="str">
        <f t="shared" ca="1" si="29"/>
        <v xml:space="preserve">0 Tahun 5 bulan </v>
      </c>
      <c r="L196" s="30" t="s">
        <v>346</v>
      </c>
      <c r="M196" s="5">
        <v>46087</v>
      </c>
      <c r="N196" s="3" t="str">
        <f t="shared" ca="1" si="30"/>
        <v xml:space="preserve">0 Tahun 5 bulan </v>
      </c>
      <c r="O196" s="4"/>
      <c r="P196" s="4" t="s">
        <v>35</v>
      </c>
      <c r="Q196" s="4" t="str">
        <f t="shared" si="31"/>
        <v>Laki-Laki</v>
      </c>
      <c r="R196" s="4">
        <f t="shared" si="42"/>
        <v>1</v>
      </c>
      <c r="S196" s="4" t="str">
        <f t="shared" si="41"/>
        <v>1</v>
      </c>
      <c r="T196" s="4">
        <f t="shared" si="38"/>
        <v>0</v>
      </c>
      <c r="U196" s="29"/>
      <c r="V196" s="30" t="s">
        <v>50</v>
      </c>
      <c r="W196" s="30"/>
      <c r="X196" s="30"/>
      <c r="Y196" s="30"/>
      <c r="Z196" s="30"/>
      <c r="AA196" s="30"/>
      <c r="AB196" s="29"/>
      <c r="AC196" s="29"/>
      <c r="AD196" s="37">
        <f t="shared" si="35"/>
        <v>25619</v>
      </c>
      <c r="AE196" s="3" t="str">
        <f t="shared" ca="1" si="32"/>
        <v>56 Tahun 6 bulan 12 Hari</v>
      </c>
      <c r="AF196" s="38">
        <f t="shared" si="36"/>
        <v>47543</v>
      </c>
    </row>
    <row r="197" spans="1:33" s="306" customFormat="1" ht="32.15" customHeight="1" x14ac:dyDescent="0.35">
      <c r="A197" s="26">
        <f t="shared" si="33"/>
        <v>183</v>
      </c>
      <c r="B197" s="27" t="s">
        <v>593</v>
      </c>
      <c r="C197" s="26"/>
      <c r="D197" s="50" t="s">
        <v>645</v>
      </c>
      <c r="E197" s="24" t="s">
        <v>646</v>
      </c>
      <c r="F197" s="24" t="s">
        <v>43</v>
      </c>
      <c r="G197" s="3" t="s">
        <v>647</v>
      </c>
      <c r="H197" s="4" t="s">
        <v>135</v>
      </c>
      <c r="I197" s="33" t="s">
        <v>184</v>
      </c>
      <c r="J197" s="5">
        <v>44561</v>
      </c>
      <c r="K197" s="3" t="str">
        <f t="shared" ca="1" si="29"/>
        <v xml:space="preserve">4 Tahun 8 bulan </v>
      </c>
      <c r="L197" s="30" t="s">
        <v>88</v>
      </c>
      <c r="M197" s="5">
        <v>44561</v>
      </c>
      <c r="N197" s="3" t="str">
        <f t="shared" ca="1" si="30"/>
        <v xml:space="preserve">4 Tahun 8 bulan </v>
      </c>
      <c r="O197" s="4"/>
      <c r="P197" s="4" t="s">
        <v>35</v>
      </c>
      <c r="Q197" s="4" t="str">
        <f t="shared" si="31"/>
        <v>Laki-Laki</v>
      </c>
      <c r="R197" s="4">
        <f t="shared" si="42"/>
        <v>1</v>
      </c>
      <c r="S197" s="4" t="str">
        <f t="shared" si="41"/>
        <v>1</v>
      </c>
      <c r="T197" s="4">
        <f t="shared" si="38"/>
        <v>0</v>
      </c>
      <c r="U197" s="29"/>
      <c r="V197" s="30" t="s">
        <v>50</v>
      </c>
      <c r="W197" s="30"/>
      <c r="X197" s="30"/>
      <c r="Y197" s="30"/>
      <c r="Z197" s="30"/>
      <c r="AA197" s="30"/>
      <c r="AB197" s="29"/>
      <c r="AC197" s="29"/>
      <c r="AD197" s="37">
        <f t="shared" si="35"/>
        <v>27162</v>
      </c>
      <c r="AE197" s="3" t="str">
        <f t="shared" ca="1" si="32"/>
        <v>52 Tahun 3 bulan 19 Hari</v>
      </c>
      <c r="AF197" s="38">
        <f t="shared" si="36"/>
        <v>49096</v>
      </c>
    </row>
    <row r="198" spans="1:33" s="306" customFormat="1" ht="32.15" customHeight="1" x14ac:dyDescent="0.35">
      <c r="A198" s="26">
        <f t="shared" si="33"/>
        <v>184</v>
      </c>
      <c r="B198" s="27" t="s">
        <v>593</v>
      </c>
      <c r="C198" s="26"/>
      <c r="D198" s="50" t="s">
        <v>645</v>
      </c>
      <c r="E198" s="79" t="s">
        <v>108</v>
      </c>
      <c r="F198" s="79"/>
      <c r="G198" s="76"/>
      <c r="H198" s="4"/>
      <c r="I198" s="33"/>
      <c r="J198" s="5"/>
      <c r="K198" s="3" t="str">
        <f t="shared" ca="1" si="29"/>
        <v/>
      </c>
      <c r="L198" s="30" t="s">
        <v>88</v>
      </c>
      <c r="M198" s="5"/>
      <c r="N198" s="3" t="str">
        <f t="shared" ca="1" si="30"/>
        <v/>
      </c>
      <c r="O198" s="29"/>
      <c r="P198" s="4"/>
      <c r="Q198" s="4" t="str">
        <f t="shared" si="31"/>
        <v/>
      </c>
      <c r="R198" s="4">
        <f t="shared" si="42"/>
        <v>1</v>
      </c>
      <c r="S198" s="4" t="str">
        <f t="shared" si="41"/>
        <v>0</v>
      </c>
      <c r="T198" s="4">
        <f t="shared" si="38"/>
        <v>1</v>
      </c>
      <c r="U198" s="29"/>
      <c r="V198" s="30"/>
      <c r="W198" s="30"/>
      <c r="X198" s="30"/>
      <c r="Y198" s="30"/>
      <c r="Z198" s="30"/>
      <c r="AA198" s="30"/>
      <c r="AB198" s="29"/>
      <c r="AC198" s="29"/>
      <c r="AD198" s="37" t="str">
        <f t="shared" si="35"/>
        <v/>
      </c>
      <c r="AE198" s="3" t="str">
        <f t="shared" ca="1" si="32"/>
        <v/>
      </c>
      <c r="AF198" s="38" t="str">
        <f t="shared" si="36"/>
        <v/>
      </c>
    </row>
    <row r="199" spans="1:33" s="306" customFormat="1" ht="32.15" customHeight="1" x14ac:dyDescent="0.35">
      <c r="A199" s="26">
        <f t="shared" si="33"/>
        <v>185</v>
      </c>
      <c r="B199" s="27" t="s">
        <v>593</v>
      </c>
      <c r="C199" s="26"/>
      <c r="D199" s="50" t="s">
        <v>615</v>
      </c>
      <c r="E199" s="45" t="s">
        <v>648</v>
      </c>
      <c r="F199" s="24" t="s">
        <v>43</v>
      </c>
      <c r="G199" s="44" t="s">
        <v>649</v>
      </c>
      <c r="H199" s="56" t="s">
        <v>85</v>
      </c>
      <c r="I199" s="36" t="s">
        <v>599</v>
      </c>
      <c r="J199" s="5">
        <v>44561</v>
      </c>
      <c r="K199" s="3" t="str">
        <f t="shared" ref="K199:K262" ca="1" si="43">IF(J199="","",CONCATENATE(DATEDIF(J199,NOW(),"Y")," Tahun ",DATEDIF(J199,NOW(),"YM")," bulan "))</f>
        <v xml:space="preserve">4 Tahun 8 bulan </v>
      </c>
      <c r="L199" s="30" t="s">
        <v>88</v>
      </c>
      <c r="M199" s="5">
        <v>44561</v>
      </c>
      <c r="N199" s="3" t="str">
        <f t="shared" ref="N199:N262" ca="1" si="44">IF(M199="","",CONCATENATE(DATEDIF(M199,NOW(),"Y")," Tahun ",DATEDIF(M199,NOW(),"YM")," bulan "))</f>
        <v xml:space="preserve">4 Tahun 8 bulan </v>
      </c>
      <c r="O199" s="60"/>
      <c r="P199" s="4" t="s">
        <v>35</v>
      </c>
      <c r="Q199" s="4" t="str">
        <f t="shared" ref="Q199:Q262" si="45">CONCATENATE(IF(MID(G199,17,1)="1","Laki-Laki",IF(MID(G199,17,1)="2","Perempuan",)))</f>
        <v>Laki-Laki</v>
      </c>
      <c r="R199" s="4">
        <f t="shared" si="42"/>
        <v>1</v>
      </c>
      <c r="S199" s="4" t="str">
        <f t="shared" si="41"/>
        <v>1</v>
      </c>
      <c r="T199" s="4">
        <f t="shared" si="38"/>
        <v>0</v>
      </c>
      <c r="U199" s="29"/>
      <c r="V199" s="30" t="s">
        <v>50</v>
      </c>
      <c r="W199" s="30"/>
      <c r="X199" s="30"/>
      <c r="Y199" s="30"/>
      <c r="Z199" s="30"/>
      <c r="AA199" s="30"/>
      <c r="AB199" s="29"/>
      <c r="AC199" s="29"/>
      <c r="AD199" s="37">
        <f t="shared" si="35"/>
        <v>27623</v>
      </c>
      <c r="AE199" s="3" t="str">
        <f t="shared" ref="AE199:AE262" ca="1" si="46">IF(TRIM(AD199)="", "", CONCATENATE(DATEDIF(AD199,NOW(),"Y")," Tahun ",DATEDIF(AD199,NOW(),"YM")," bulan ",DATEDIF(AD199,NOW(),"MD")," Hari"))</f>
        <v>51 Tahun 0 bulan 15 Hari</v>
      </c>
      <c r="AF199" s="38">
        <f t="shared" si="36"/>
        <v>49553</v>
      </c>
    </row>
    <row r="200" spans="1:33" s="306" customFormat="1" ht="32.15" customHeight="1" x14ac:dyDescent="0.35">
      <c r="A200" s="26">
        <f t="shared" ref="A200:A207" si="47">A199+1</f>
        <v>186</v>
      </c>
      <c r="B200" s="27" t="s">
        <v>593</v>
      </c>
      <c r="C200" s="256" t="s">
        <v>650</v>
      </c>
      <c r="D200" s="257"/>
      <c r="E200" s="219" t="s">
        <v>108</v>
      </c>
      <c r="F200" s="24"/>
      <c r="G200" s="40"/>
      <c r="H200" s="4"/>
      <c r="I200" s="36"/>
      <c r="J200" s="5"/>
      <c r="K200" s="3" t="str">
        <f t="shared" ca="1" si="43"/>
        <v/>
      </c>
      <c r="L200" s="30" t="s">
        <v>346</v>
      </c>
      <c r="M200" s="5"/>
      <c r="N200" s="3" t="str">
        <f t="shared" ca="1" si="44"/>
        <v/>
      </c>
      <c r="O200" s="4"/>
      <c r="P200" s="4"/>
      <c r="Q200" s="4" t="str">
        <f t="shared" si="45"/>
        <v/>
      </c>
      <c r="R200" s="4">
        <f t="shared" si="42"/>
        <v>1</v>
      </c>
      <c r="S200" s="4" t="str">
        <f t="shared" si="41"/>
        <v>0</v>
      </c>
      <c r="T200" s="4">
        <f t="shared" si="38"/>
        <v>1</v>
      </c>
      <c r="U200" s="29"/>
      <c r="V200" s="30" t="s">
        <v>50</v>
      </c>
      <c r="W200" s="30"/>
      <c r="X200" s="30"/>
      <c r="Y200" s="30"/>
      <c r="Z200" s="30"/>
      <c r="AA200" s="30"/>
      <c r="AB200" s="29"/>
      <c r="AC200" s="29"/>
      <c r="AD200" s="37" t="str">
        <f t="shared" ref="AD200:AD263" si="48">IF(TRIM(G200)="", "", DATE(LEFT(G200,4),MID(G200,5,2),MID(G200,7,2)))</f>
        <v/>
      </c>
      <c r="AE200" s="3" t="str">
        <f t="shared" ca="1" si="46"/>
        <v/>
      </c>
      <c r="AF200" s="38" t="str">
        <f t="shared" ref="AF200:AF263" si="49">IF(TRIM(AD200)="","",DATE(YEAR(AD200)+60,MONTH(AD200)+1,1))</f>
        <v/>
      </c>
      <c r="AG200" s="307" t="s">
        <v>3142</v>
      </c>
    </row>
    <row r="201" spans="1:33" ht="32.15" customHeight="1" x14ac:dyDescent="0.35">
      <c r="A201" s="26">
        <f t="shared" si="47"/>
        <v>187</v>
      </c>
      <c r="B201" s="27" t="s">
        <v>593</v>
      </c>
      <c r="C201" s="26"/>
      <c r="D201" s="50" t="s">
        <v>636</v>
      </c>
      <c r="E201" s="45" t="s">
        <v>653</v>
      </c>
      <c r="F201" s="24" t="s">
        <v>43</v>
      </c>
      <c r="G201" s="44" t="s">
        <v>654</v>
      </c>
      <c r="H201" s="4" t="s">
        <v>655</v>
      </c>
      <c r="I201" s="4" t="s">
        <v>656</v>
      </c>
      <c r="J201" s="5">
        <v>44561</v>
      </c>
      <c r="K201" s="3" t="str">
        <f t="shared" ca="1" si="43"/>
        <v xml:space="preserve">4 Tahun 8 bulan </v>
      </c>
      <c r="L201" s="30" t="s">
        <v>88</v>
      </c>
      <c r="M201" s="5">
        <v>44561</v>
      </c>
      <c r="N201" s="3" t="str">
        <f t="shared" ca="1" si="44"/>
        <v xml:space="preserve">4 Tahun 8 bulan </v>
      </c>
      <c r="O201" s="4"/>
      <c r="P201" s="4" t="s">
        <v>35</v>
      </c>
      <c r="Q201" s="4" t="str">
        <f t="shared" si="45"/>
        <v>Perempuan</v>
      </c>
      <c r="R201" s="4">
        <f t="shared" si="42"/>
        <v>1</v>
      </c>
      <c r="S201" s="4" t="str">
        <f t="shared" si="41"/>
        <v>1</v>
      </c>
      <c r="T201" s="4">
        <f t="shared" si="38"/>
        <v>0</v>
      </c>
      <c r="U201" s="29"/>
      <c r="V201" s="30" t="s">
        <v>50</v>
      </c>
      <c r="W201" s="30"/>
      <c r="X201" s="30"/>
      <c r="Y201" s="30"/>
      <c r="Z201" s="30"/>
      <c r="AA201" s="30"/>
      <c r="AB201" s="29"/>
      <c r="AC201" s="29"/>
      <c r="AD201" s="37">
        <f t="shared" si="48"/>
        <v>26857</v>
      </c>
      <c r="AE201" s="3" t="str">
        <f t="shared" ca="1" si="46"/>
        <v>53 Tahun 1 bulan 20 Hari</v>
      </c>
      <c r="AF201" s="38">
        <f t="shared" si="49"/>
        <v>48792</v>
      </c>
      <c r="AG201" s="7"/>
    </row>
    <row r="202" spans="1:33" ht="32.15" customHeight="1" x14ac:dyDescent="0.35">
      <c r="A202" s="26">
        <f t="shared" si="47"/>
        <v>188</v>
      </c>
      <c r="B202" s="27" t="s">
        <v>593</v>
      </c>
      <c r="C202" s="26"/>
      <c r="D202" s="50" t="s">
        <v>657</v>
      </c>
      <c r="E202" s="58" t="s">
        <v>658</v>
      </c>
      <c r="F202" s="24" t="s">
        <v>43</v>
      </c>
      <c r="G202" s="40" t="s">
        <v>659</v>
      </c>
      <c r="H202" s="56" t="s">
        <v>375</v>
      </c>
      <c r="I202" s="4" t="s">
        <v>86</v>
      </c>
      <c r="J202" s="5">
        <v>44561</v>
      </c>
      <c r="K202" s="3" t="str">
        <f t="shared" ca="1" si="43"/>
        <v xml:space="preserve">4 Tahun 8 bulan </v>
      </c>
      <c r="L202" s="30" t="s">
        <v>88</v>
      </c>
      <c r="M202" s="5">
        <v>44561</v>
      </c>
      <c r="N202" s="3" t="str">
        <f t="shared" ca="1" si="44"/>
        <v xml:space="preserve">4 Tahun 8 bulan </v>
      </c>
      <c r="O202" s="50"/>
      <c r="P202" s="4" t="s">
        <v>35</v>
      </c>
      <c r="Q202" s="4" t="str">
        <f t="shared" si="45"/>
        <v>Laki-Laki</v>
      </c>
      <c r="R202" s="4">
        <f t="shared" si="42"/>
        <v>1</v>
      </c>
      <c r="S202" s="4" t="str">
        <f t="shared" si="41"/>
        <v>1</v>
      </c>
      <c r="T202" s="4">
        <f t="shared" si="38"/>
        <v>0</v>
      </c>
      <c r="U202" s="29"/>
      <c r="V202" s="30" t="s">
        <v>50</v>
      </c>
      <c r="W202" s="30"/>
      <c r="X202" s="30"/>
      <c r="Y202" s="30"/>
      <c r="Z202" s="30"/>
      <c r="AA202" s="30"/>
      <c r="AB202" s="29"/>
      <c r="AC202" s="29"/>
      <c r="AD202" s="37">
        <f t="shared" si="48"/>
        <v>29545</v>
      </c>
      <c r="AE202" s="3" t="str">
        <f t="shared" ca="1" si="46"/>
        <v>45 Tahun 9 bulan 12 Hari</v>
      </c>
      <c r="AF202" s="38">
        <f t="shared" si="49"/>
        <v>51471</v>
      </c>
      <c r="AG202" s="7"/>
    </row>
    <row r="203" spans="1:33" ht="32.15" customHeight="1" x14ac:dyDescent="0.35">
      <c r="A203" s="26">
        <f t="shared" si="47"/>
        <v>189</v>
      </c>
      <c r="B203" s="27" t="s">
        <v>593</v>
      </c>
      <c r="C203" s="26"/>
      <c r="D203" s="50" t="s">
        <v>615</v>
      </c>
      <c r="E203" s="45" t="s">
        <v>660</v>
      </c>
      <c r="F203" s="24" t="s">
        <v>43</v>
      </c>
      <c r="G203" s="44" t="s">
        <v>661</v>
      </c>
      <c r="H203" s="56" t="s">
        <v>662</v>
      </c>
      <c r="I203" s="36" t="s">
        <v>118</v>
      </c>
      <c r="J203" s="5">
        <v>44561</v>
      </c>
      <c r="K203" s="3" t="str">
        <f t="shared" ca="1" si="43"/>
        <v xml:space="preserve">4 Tahun 8 bulan </v>
      </c>
      <c r="L203" s="30" t="s">
        <v>88</v>
      </c>
      <c r="M203" s="5">
        <v>44561</v>
      </c>
      <c r="N203" s="3" t="str">
        <f t="shared" ca="1" si="44"/>
        <v xml:space="preserve">4 Tahun 8 bulan </v>
      </c>
      <c r="O203" s="60"/>
      <c r="P203" s="4" t="s">
        <v>35</v>
      </c>
      <c r="Q203" s="4" t="str">
        <f t="shared" si="45"/>
        <v>Laki-Laki</v>
      </c>
      <c r="R203" s="4">
        <f t="shared" si="42"/>
        <v>1</v>
      </c>
      <c r="S203" s="4" t="str">
        <f t="shared" si="41"/>
        <v>1</v>
      </c>
      <c r="T203" s="4">
        <f t="shared" si="38"/>
        <v>0</v>
      </c>
      <c r="U203" s="29"/>
      <c r="V203" s="30" t="s">
        <v>50</v>
      </c>
      <c r="W203" s="30"/>
      <c r="X203" s="30"/>
      <c r="Y203" s="30"/>
      <c r="Z203" s="30"/>
      <c r="AA203" s="30"/>
      <c r="AB203" s="29"/>
      <c r="AC203" s="29"/>
      <c r="AD203" s="37">
        <f t="shared" si="48"/>
        <v>30179</v>
      </c>
      <c r="AE203" s="3" t="str">
        <f t="shared" ca="1" si="46"/>
        <v>44 Tahun 0 bulan 16 Hari</v>
      </c>
      <c r="AF203" s="38">
        <f t="shared" si="49"/>
        <v>52110</v>
      </c>
      <c r="AG203" s="7"/>
    </row>
    <row r="204" spans="1:33" ht="32.15" customHeight="1" x14ac:dyDescent="0.35">
      <c r="A204" s="26">
        <f t="shared" si="47"/>
        <v>190</v>
      </c>
      <c r="B204" s="27" t="s">
        <v>593</v>
      </c>
      <c r="C204" s="256" t="s">
        <v>663</v>
      </c>
      <c r="D204" s="257"/>
      <c r="E204" s="24" t="s">
        <v>664</v>
      </c>
      <c r="F204" s="24" t="s">
        <v>43</v>
      </c>
      <c r="G204" s="3" t="s">
        <v>665</v>
      </c>
      <c r="H204" s="4" t="s">
        <v>148</v>
      </c>
      <c r="I204" s="33" t="s">
        <v>67</v>
      </c>
      <c r="J204" s="5" t="s">
        <v>127</v>
      </c>
      <c r="K204" s="3" t="str">
        <f t="shared" ca="1" si="43"/>
        <v xml:space="preserve">5 Tahun 6 bulan </v>
      </c>
      <c r="L204" s="30" t="s">
        <v>346</v>
      </c>
      <c r="M204" s="5" t="s">
        <v>127</v>
      </c>
      <c r="N204" s="3" t="str">
        <f t="shared" ca="1" si="44"/>
        <v xml:space="preserve">5 Tahun 6 bulan </v>
      </c>
      <c r="O204" s="4"/>
      <c r="P204" s="4" t="s">
        <v>35</v>
      </c>
      <c r="Q204" s="4" t="str">
        <f t="shared" si="45"/>
        <v>Laki-Laki</v>
      </c>
      <c r="R204" s="4">
        <f t="shared" si="42"/>
        <v>1</v>
      </c>
      <c r="S204" s="4" t="str">
        <f t="shared" si="41"/>
        <v>1</v>
      </c>
      <c r="T204" s="4">
        <f t="shared" si="38"/>
        <v>0</v>
      </c>
      <c r="U204" s="29"/>
      <c r="V204" s="30" t="s">
        <v>50</v>
      </c>
      <c r="W204" s="30"/>
      <c r="X204" s="30"/>
      <c r="Y204" s="30"/>
      <c r="Z204" s="30"/>
      <c r="AA204" s="30"/>
      <c r="AB204" s="29"/>
      <c r="AC204" s="29"/>
      <c r="AD204" s="37">
        <f t="shared" si="48"/>
        <v>28605</v>
      </c>
      <c r="AE204" s="3" t="str">
        <f t="shared" ca="1" si="46"/>
        <v>48 Tahun 4 bulan 7 Hari</v>
      </c>
      <c r="AF204" s="38">
        <f t="shared" si="49"/>
        <v>50526</v>
      </c>
      <c r="AG204" s="7"/>
    </row>
    <row r="205" spans="1:33" ht="32.15" customHeight="1" x14ac:dyDescent="0.35">
      <c r="A205" s="26">
        <f t="shared" si="47"/>
        <v>191</v>
      </c>
      <c r="B205" s="27" t="s">
        <v>593</v>
      </c>
      <c r="C205" s="26"/>
      <c r="D205" s="50" t="s">
        <v>666</v>
      </c>
      <c r="E205" s="24" t="s">
        <v>667</v>
      </c>
      <c r="F205" s="24" t="s">
        <v>43</v>
      </c>
      <c r="G205" s="3" t="s">
        <v>668</v>
      </c>
      <c r="H205" s="4" t="s">
        <v>410</v>
      </c>
      <c r="I205" s="33" t="s">
        <v>67</v>
      </c>
      <c r="J205" s="5">
        <v>44561</v>
      </c>
      <c r="K205" s="3" t="str">
        <f t="shared" ca="1" si="43"/>
        <v xml:space="preserve">4 Tahun 8 bulan </v>
      </c>
      <c r="L205" s="30" t="s">
        <v>88</v>
      </c>
      <c r="M205" s="5">
        <v>44561</v>
      </c>
      <c r="N205" s="3" t="str">
        <f t="shared" ca="1" si="44"/>
        <v xml:space="preserve">4 Tahun 8 bulan </v>
      </c>
      <c r="O205" s="4"/>
      <c r="P205" s="4" t="s">
        <v>35</v>
      </c>
      <c r="Q205" s="4" t="str">
        <f t="shared" si="45"/>
        <v>Perempuan</v>
      </c>
      <c r="R205" s="4">
        <f t="shared" si="42"/>
        <v>1</v>
      </c>
      <c r="S205" s="4" t="str">
        <f t="shared" si="41"/>
        <v>1</v>
      </c>
      <c r="T205" s="4">
        <f t="shared" si="38"/>
        <v>0</v>
      </c>
      <c r="U205" s="29"/>
      <c r="V205" s="30"/>
      <c r="W205" s="30"/>
      <c r="X205" s="30"/>
      <c r="Y205" s="30"/>
      <c r="Z205" s="30"/>
      <c r="AA205" s="30"/>
      <c r="AB205" s="29"/>
      <c r="AC205" s="29"/>
      <c r="AD205" s="37">
        <f t="shared" si="48"/>
        <v>27917</v>
      </c>
      <c r="AE205" s="3" t="str">
        <f t="shared" ca="1" si="46"/>
        <v>50 Tahun 2 bulan 26 Hari</v>
      </c>
      <c r="AF205" s="38">
        <f t="shared" si="49"/>
        <v>49857</v>
      </c>
      <c r="AG205" s="7"/>
    </row>
    <row r="206" spans="1:33" ht="32.15" customHeight="1" x14ac:dyDescent="0.35">
      <c r="A206" s="26">
        <f t="shared" si="47"/>
        <v>192</v>
      </c>
      <c r="B206" s="27" t="s">
        <v>593</v>
      </c>
      <c r="C206" s="26"/>
      <c r="D206" s="50" t="s">
        <v>615</v>
      </c>
      <c r="E206" s="24" t="s">
        <v>669</v>
      </c>
      <c r="F206" s="24" t="s">
        <v>43</v>
      </c>
      <c r="G206" s="3" t="s">
        <v>670</v>
      </c>
      <c r="H206" s="4" t="s">
        <v>574</v>
      </c>
      <c r="I206" s="4" t="s">
        <v>86</v>
      </c>
      <c r="J206" s="5">
        <v>44561</v>
      </c>
      <c r="K206" s="3" t="str">
        <f t="shared" ca="1" si="43"/>
        <v xml:space="preserve">4 Tahun 8 bulan </v>
      </c>
      <c r="L206" s="30" t="s">
        <v>88</v>
      </c>
      <c r="M206" s="5">
        <v>44561</v>
      </c>
      <c r="N206" s="3" t="str">
        <f t="shared" ca="1" si="44"/>
        <v xml:space="preserve">4 Tahun 8 bulan </v>
      </c>
      <c r="O206" s="4"/>
      <c r="P206" s="4" t="s">
        <v>35</v>
      </c>
      <c r="Q206" s="4" t="str">
        <f t="shared" si="45"/>
        <v>Perempuan</v>
      </c>
      <c r="R206" s="4">
        <f t="shared" si="42"/>
        <v>1</v>
      </c>
      <c r="S206" s="4" t="str">
        <f t="shared" si="41"/>
        <v>1</v>
      </c>
      <c r="T206" s="4">
        <f t="shared" si="38"/>
        <v>0</v>
      </c>
      <c r="U206" s="29"/>
      <c r="V206" s="30"/>
      <c r="W206" s="30"/>
      <c r="X206" s="30"/>
      <c r="Y206" s="30"/>
      <c r="Z206" s="30"/>
      <c r="AA206" s="30"/>
      <c r="AB206" s="29"/>
      <c r="AC206" s="29"/>
      <c r="AD206" s="37">
        <f t="shared" si="48"/>
        <v>29314</v>
      </c>
      <c r="AE206" s="3" t="str">
        <f t="shared" ca="1" si="46"/>
        <v>46 Tahun 4 bulan 29 Hari</v>
      </c>
      <c r="AF206" s="38">
        <f t="shared" si="49"/>
        <v>51257</v>
      </c>
      <c r="AG206" s="7"/>
    </row>
    <row r="207" spans="1:33" ht="32.15" customHeight="1" x14ac:dyDescent="0.35">
      <c r="A207" s="26">
        <f t="shared" si="47"/>
        <v>193</v>
      </c>
      <c r="B207" s="27" t="s">
        <v>593</v>
      </c>
      <c r="C207" s="26"/>
      <c r="D207" s="50" t="s">
        <v>657</v>
      </c>
      <c r="E207" s="24" t="s">
        <v>671</v>
      </c>
      <c r="F207" s="24" t="s">
        <v>43</v>
      </c>
      <c r="G207" s="4" t="s">
        <v>672</v>
      </c>
      <c r="H207" s="4" t="s">
        <v>159</v>
      </c>
      <c r="I207" s="33" t="s">
        <v>107</v>
      </c>
      <c r="J207" s="5">
        <v>44561</v>
      </c>
      <c r="K207" s="3" t="str">
        <f t="shared" ca="1" si="43"/>
        <v xml:space="preserve">4 Tahun 8 bulan </v>
      </c>
      <c r="L207" s="30" t="s">
        <v>88</v>
      </c>
      <c r="M207" s="5">
        <v>44561</v>
      </c>
      <c r="N207" s="3" t="str">
        <f t="shared" ca="1" si="44"/>
        <v xml:space="preserve">4 Tahun 8 bulan </v>
      </c>
      <c r="O207" s="60"/>
      <c r="P207" s="4" t="s">
        <v>35</v>
      </c>
      <c r="Q207" s="4" t="str">
        <f t="shared" si="45"/>
        <v>Laki-Laki</v>
      </c>
      <c r="R207" s="4">
        <f t="shared" si="42"/>
        <v>1</v>
      </c>
      <c r="S207" s="4" t="str">
        <f t="shared" si="41"/>
        <v>1</v>
      </c>
      <c r="T207" s="4">
        <f t="shared" si="38"/>
        <v>0</v>
      </c>
      <c r="U207" s="29"/>
      <c r="V207" s="30" t="s">
        <v>50</v>
      </c>
      <c r="W207" s="30"/>
      <c r="X207" s="30"/>
      <c r="Y207" s="30"/>
      <c r="Z207" s="30"/>
      <c r="AA207" s="30"/>
      <c r="AB207" s="29"/>
      <c r="AC207" s="29"/>
      <c r="AD207" s="37">
        <f t="shared" si="48"/>
        <v>30408</v>
      </c>
      <c r="AE207" s="3" t="str">
        <f t="shared" ca="1" si="46"/>
        <v>43 Tahun 4 bulan 30 Hari</v>
      </c>
      <c r="AF207" s="38">
        <f t="shared" si="49"/>
        <v>52352</v>
      </c>
      <c r="AG207" s="7"/>
    </row>
    <row r="208" spans="1:33" s="6" customFormat="1" ht="32.15" customHeight="1" x14ac:dyDescent="0.35">
      <c r="A208" s="4"/>
      <c r="B208" s="68" t="s">
        <v>673</v>
      </c>
      <c r="C208" s="269" t="s">
        <v>674</v>
      </c>
      <c r="D208" s="270"/>
      <c r="E208" s="271" t="str">
        <f ca="1">IF(J208="","",CONCATENATE(DATEDIF(J208,NOW(),"Y")," Tahun ",DATEDIF(J208,NOW(),"YM")," bulan "))</f>
        <v/>
      </c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72"/>
      <c r="AE208" s="272"/>
      <c r="AF208" s="273"/>
    </row>
    <row r="209" spans="1:33" ht="33.75" customHeight="1" x14ac:dyDescent="0.35">
      <c r="A209" s="26">
        <f>A207+1</f>
        <v>194</v>
      </c>
      <c r="B209" s="80" t="s">
        <v>673</v>
      </c>
      <c r="C209" s="278" t="s">
        <v>675</v>
      </c>
      <c r="D209" s="279"/>
      <c r="E209" s="45" t="s">
        <v>676</v>
      </c>
      <c r="F209" s="24" t="s">
        <v>43</v>
      </c>
      <c r="G209" s="44" t="s">
        <v>677</v>
      </c>
      <c r="H209" s="4" t="s">
        <v>678</v>
      </c>
      <c r="I209" s="4" t="s">
        <v>679</v>
      </c>
      <c r="J209" s="81" t="s">
        <v>68</v>
      </c>
      <c r="K209" s="3" t="str">
        <f t="shared" ca="1" si="43"/>
        <v xml:space="preserve">2 Tahun 3 bulan </v>
      </c>
      <c r="L209" s="30" t="s">
        <v>56</v>
      </c>
      <c r="M209" s="81" t="s">
        <v>680</v>
      </c>
      <c r="N209" s="3" t="str">
        <f t="shared" ca="1" si="44"/>
        <v xml:space="preserve">4 Tahun 9 bulan </v>
      </c>
      <c r="O209" s="35"/>
      <c r="P209" s="4"/>
      <c r="Q209" s="4" t="str">
        <f t="shared" si="45"/>
        <v>Laki-Laki</v>
      </c>
      <c r="R209" s="4">
        <f>R207</f>
        <v>1</v>
      </c>
      <c r="S209" s="4" t="str">
        <f t="shared" ref="S209:S219" si="50">IF(E209="LOWONG","0","1")</f>
        <v>1</v>
      </c>
      <c r="T209" s="4">
        <f t="shared" si="38"/>
        <v>0</v>
      </c>
      <c r="U209" s="29"/>
      <c r="V209" s="30"/>
      <c r="W209" s="30"/>
      <c r="X209" s="30"/>
      <c r="Y209" s="30"/>
      <c r="Z209" s="30"/>
      <c r="AA209" s="30"/>
      <c r="AB209" s="29"/>
      <c r="AC209" s="29"/>
      <c r="AD209" s="37">
        <f t="shared" si="48"/>
        <v>24781</v>
      </c>
      <c r="AE209" s="3" t="str">
        <f t="shared" ca="1" si="46"/>
        <v>58 Tahun 9 bulan 27 Hari</v>
      </c>
      <c r="AF209" s="38">
        <f t="shared" si="49"/>
        <v>46722</v>
      </c>
      <c r="AG209" s="7"/>
    </row>
    <row r="210" spans="1:33" ht="32.15" customHeight="1" x14ac:dyDescent="0.35">
      <c r="A210" s="26">
        <f t="shared" ref="A210:A273" si="51">A209+1</f>
        <v>195</v>
      </c>
      <c r="B210" s="80" t="s">
        <v>673</v>
      </c>
      <c r="C210" s="256" t="s">
        <v>681</v>
      </c>
      <c r="D210" s="257"/>
      <c r="E210" s="24" t="s">
        <v>682</v>
      </c>
      <c r="F210" s="24" t="s">
        <v>43</v>
      </c>
      <c r="G210" s="3" t="s">
        <v>683</v>
      </c>
      <c r="H210" s="4" t="s">
        <v>154</v>
      </c>
      <c r="I210" s="41" t="s">
        <v>46</v>
      </c>
      <c r="J210" s="5" t="s">
        <v>220</v>
      </c>
      <c r="K210" s="3" t="str">
        <f t="shared" ca="1" si="43"/>
        <v xml:space="preserve">2 Tahun 11 bulan </v>
      </c>
      <c r="L210" s="30" t="s">
        <v>79</v>
      </c>
      <c r="M210" s="5" t="s">
        <v>220</v>
      </c>
      <c r="N210" s="3" t="str">
        <f t="shared" ca="1" si="44"/>
        <v xml:space="preserve">2 Tahun 11 bulan </v>
      </c>
      <c r="O210" s="4"/>
      <c r="P210" s="4" t="s">
        <v>35</v>
      </c>
      <c r="Q210" s="4" t="str">
        <f t="shared" si="45"/>
        <v>Perempuan</v>
      </c>
      <c r="R210" s="4">
        <f t="shared" si="42"/>
        <v>1</v>
      </c>
      <c r="S210" s="4" t="str">
        <f t="shared" si="50"/>
        <v>1</v>
      </c>
      <c r="T210" s="4">
        <f t="shared" si="38"/>
        <v>0</v>
      </c>
      <c r="U210" s="29"/>
      <c r="V210" s="30" t="s">
        <v>50</v>
      </c>
      <c r="W210" s="30"/>
      <c r="X210" s="30"/>
      <c r="Y210" s="30"/>
      <c r="Z210" s="30"/>
      <c r="AA210" s="30"/>
      <c r="AB210" s="29"/>
      <c r="AC210" s="29"/>
      <c r="AD210" s="37">
        <f t="shared" si="48"/>
        <v>27602</v>
      </c>
      <c r="AE210" s="3" t="str">
        <f t="shared" ca="1" si="46"/>
        <v>51 Tahun 1 bulan 5 Hari</v>
      </c>
      <c r="AF210" s="38">
        <f t="shared" si="49"/>
        <v>49522</v>
      </c>
      <c r="AG210" s="7"/>
    </row>
    <row r="211" spans="1:33" ht="32.15" customHeight="1" x14ac:dyDescent="0.35">
      <c r="A211" s="26">
        <f t="shared" si="51"/>
        <v>196</v>
      </c>
      <c r="B211" s="80" t="s">
        <v>673</v>
      </c>
      <c r="C211" s="26"/>
      <c r="D211" s="50" t="s">
        <v>684</v>
      </c>
      <c r="E211" s="51" t="s">
        <v>685</v>
      </c>
      <c r="F211" s="24" t="s">
        <v>43</v>
      </c>
      <c r="G211" s="59" t="s">
        <v>686</v>
      </c>
      <c r="H211" s="4" t="s">
        <v>687</v>
      </c>
      <c r="I211" s="33" t="s">
        <v>107</v>
      </c>
      <c r="J211" s="47" t="s">
        <v>199</v>
      </c>
      <c r="K211" s="3" t="str">
        <f t="shared" ca="1" si="43"/>
        <v xml:space="preserve">3 Tahun 11 bulan </v>
      </c>
      <c r="L211" s="30" t="s">
        <v>200</v>
      </c>
      <c r="M211" s="47" t="s">
        <v>199</v>
      </c>
      <c r="N211" s="3" t="str">
        <f t="shared" ca="1" si="44"/>
        <v xml:space="preserve">3 Tahun 11 bulan </v>
      </c>
      <c r="O211" s="4"/>
      <c r="P211" s="4" t="s">
        <v>35</v>
      </c>
      <c r="Q211" s="4" t="str">
        <f t="shared" si="45"/>
        <v>Laki-Laki</v>
      </c>
      <c r="R211" s="4">
        <f t="shared" si="42"/>
        <v>1</v>
      </c>
      <c r="S211" s="4" t="str">
        <f t="shared" si="50"/>
        <v>1</v>
      </c>
      <c r="T211" s="4">
        <f t="shared" si="38"/>
        <v>0</v>
      </c>
      <c r="U211" s="29"/>
      <c r="V211" s="30" t="s">
        <v>50</v>
      </c>
      <c r="W211" s="30"/>
      <c r="X211" s="30"/>
      <c r="Y211" s="30"/>
      <c r="Z211" s="30"/>
      <c r="AA211" s="30"/>
      <c r="AB211" s="29"/>
      <c r="AC211" s="29"/>
      <c r="AD211" s="37">
        <f t="shared" si="48"/>
        <v>28647</v>
      </c>
      <c r="AE211" s="3" t="str">
        <f t="shared" ca="1" si="46"/>
        <v>48 Tahun 2 bulan 26 Hari</v>
      </c>
      <c r="AF211" s="38">
        <f t="shared" si="49"/>
        <v>50587</v>
      </c>
      <c r="AG211" s="7"/>
    </row>
    <row r="212" spans="1:33" ht="32.15" customHeight="1" x14ac:dyDescent="0.35">
      <c r="A212" s="26">
        <f t="shared" si="51"/>
        <v>197</v>
      </c>
      <c r="B212" s="80" t="s">
        <v>673</v>
      </c>
      <c r="C212" s="26"/>
      <c r="D212" s="50" t="s">
        <v>688</v>
      </c>
      <c r="E212" s="24" t="s">
        <v>689</v>
      </c>
      <c r="F212" s="24" t="s">
        <v>43</v>
      </c>
      <c r="G212" s="3" t="s">
        <v>690</v>
      </c>
      <c r="H212" s="4" t="s">
        <v>691</v>
      </c>
      <c r="I212" s="33" t="s">
        <v>86</v>
      </c>
      <c r="J212" s="5" t="s">
        <v>87</v>
      </c>
      <c r="K212" s="3" t="str">
        <f t="shared" ca="1" si="43"/>
        <v xml:space="preserve">4 Tahun 8 bulan </v>
      </c>
      <c r="L212" s="30" t="s">
        <v>88</v>
      </c>
      <c r="M212" s="5">
        <v>44561</v>
      </c>
      <c r="N212" s="3" t="str">
        <f t="shared" ca="1" si="44"/>
        <v xml:space="preserve">4 Tahun 8 bulan </v>
      </c>
      <c r="O212" s="4"/>
      <c r="P212" s="4" t="s">
        <v>35</v>
      </c>
      <c r="Q212" s="4" t="str">
        <f t="shared" si="45"/>
        <v>Perempuan</v>
      </c>
      <c r="R212" s="4">
        <f t="shared" si="42"/>
        <v>1</v>
      </c>
      <c r="S212" s="4" t="str">
        <f t="shared" si="50"/>
        <v>1</v>
      </c>
      <c r="T212" s="4">
        <f t="shared" si="38"/>
        <v>0</v>
      </c>
      <c r="U212" s="29"/>
      <c r="V212" s="30"/>
      <c r="W212" s="30"/>
      <c r="X212" s="30"/>
      <c r="Y212" s="30"/>
      <c r="Z212" s="30"/>
      <c r="AA212" s="30"/>
      <c r="AB212" s="29"/>
      <c r="AC212" s="29"/>
      <c r="AD212" s="37">
        <f t="shared" si="48"/>
        <v>29384</v>
      </c>
      <c r="AE212" s="3" t="str">
        <f t="shared" ca="1" si="46"/>
        <v>46 Tahun 2 bulan 20 Hari</v>
      </c>
      <c r="AF212" s="38">
        <f t="shared" si="49"/>
        <v>51318</v>
      </c>
      <c r="AG212" s="7"/>
    </row>
    <row r="213" spans="1:33" ht="32.15" customHeight="1" x14ac:dyDescent="0.35">
      <c r="A213" s="26">
        <f t="shared" si="51"/>
        <v>198</v>
      </c>
      <c r="B213" s="80" t="s">
        <v>673</v>
      </c>
      <c r="C213" s="26"/>
      <c r="D213" s="50" t="s">
        <v>692</v>
      </c>
      <c r="E213" s="24" t="s">
        <v>693</v>
      </c>
      <c r="F213" s="24" t="s">
        <v>43</v>
      </c>
      <c r="G213" s="3" t="s">
        <v>694</v>
      </c>
      <c r="H213" s="4" t="s">
        <v>695</v>
      </c>
      <c r="I213" s="4" t="s">
        <v>86</v>
      </c>
      <c r="J213" s="5" t="s">
        <v>87</v>
      </c>
      <c r="K213" s="3" t="str">
        <f t="shared" ca="1" si="43"/>
        <v xml:space="preserve">4 Tahun 8 bulan </v>
      </c>
      <c r="L213" s="30" t="s">
        <v>88</v>
      </c>
      <c r="M213" s="5">
        <v>44561</v>
      </c>
      <c r="N213" s="3" t="str">
        <f t="shared" ca="1" si="44"/>
        <v xml:space="preserve">4 Tahun 8 bulan </v>
      </c>
      <c r="O213" s="4"/>
      <c r="P213" s="4" t="s">
        <v>35</v>
      </c>
      <c r="Q213" s="4" t="str">
        <f t="shared" si="45"/>
        <v>Laki-Laki</v>
      </c>
      <c r="R213" s="4">
        <f t="shared" si="42"/>
        <v>1</v>
      </c>
      <c r="S213" s="4" t="str">
        <f t="shared" si="50"/>
        <v>1</v>
      </c>
      <c r="T213" s="4">
        <f t="shared" si="38"/>
        <v>0</v>
      </c>
      <c r="U213" s="29"/>
      <c r="V213" s="30" t="s">
        <v>50</v>
      </c>
      <c r="W213" s="30"/>
      <c r="X213" s="30"/>
      <c r="Y213" s="30"/>
      <c r="Z213" s="30"/>
      <c r="AA213" s="30"/>
      <c r="AB213" s="29"/>
      <c r="AC213" s="29"/>
      <c r="AD213" s="37">
        <f t="shared" si="48"/>
        <v>26052</v>
      </c>
      <c r="AE213" s="3" t="str">
        <f t="shared" ca="1" si="46"/>
        <v>55 Tahun 4 bulan 3 Hari</v>
      </c>
      <c r="AF213" s="38">
        <f t="shared" si="49"/>
        <v>47969</v>
      </c>
      <c r="AG213" s="7"/>
    </row>
    <row r="214" spans="1:33" ht="32.15" customHeight="1" x14ac:dyDescent="0.35">
      <c r="A214" s="26">
        <f t="shared" si="51"/>
        <v>199</v>
      </c>
      <c r="B214" s="80" t="s">
        <v>673</v>
      </c>
      <c r="C214" s="256" t="s">
        <v>696</v>
      </c>
      <c r="D214" s="257"/>
      <c r="E214" s="24" t="s">
        <v>697</v>
      </c>
      <c r="F214" s="24" t="s">
        <v>43</v>
      </c>
      <c r="G214" s="3" t="s">
        <v>698</v>
      </c>
      <c r="H214" s="4" t="s">
        <v>699</v>
      </c>
      <c r="I214" s="33" t="s">
        <v>67</v>
      </c>
      <c r="J214" s="5" t="s">
        <v>237</v>
      </c>
      <c r="K214" s="3" t="str">
        <f t="shared" ca="1" si="43"/>
        <v xml:space="preserve">4 Tahun 7 bulan </v>
      </c>
      <c r="L214" s="30" t="s">
        <v>346</v>
      </c>
      <c r="M214" s="5">
        <v>44565</v>
      </c>
      <c r="N214" s="3" t="str">
        <f t="shared" ca="1" si="44"/>
        <v xml:space="preserve">4 Tahun 7 bulan </v>
      </c>
      <c r="O214" s="24"/>
      <c r="P214" s="4" t="s">
        <v>35</v>
      </c>
      <c r="Q214" s="4" t="str">
        <f t="shared" si="45"/>
        <v>Laki-Laki</v>
      </c>
      <c r="R214" s="4">
        <f t="shared" si="42"/>
        <v>1</v>
      </c>
      <c r="S214" s="4" t="str">
        <f t="shared" si="50"/>
        <v>1</v>
      </c>
      <c r="T214" s="4">
        <f t="shared" si="38"/>
        <v>0</v>
      </c>
      <c r="U214" s="29"/>
      <c r="V214" s="30" t="s">
        <v>50</v>
      </c>
      <c r="W214" s="30"/>
      <c r="X214" s="30"/>
      <c r="Y214" s="30"/>
      <c r="Z214" s="30"/>
      <c r="AA214" s="30"/>
      <c r="AB214" s="29"/>
      <c r="AC214" s="29"/>
      <c r="AD214" s="37">
        <f t="shared" si="48"/>
        <v>28755</v>
      </c>
      <c r="AE214" s="3" t="str">
        <f t="shared" ca="1" si="46"/>
        <v>47 Tahun 11 bulan 10 Hari</v>
      </c>
      <c r="AF214" s="38">
        <f t="shared" si="49"/>
        <v>50679</v>
      </c>
      <c r="AG214" s="7"/>
    </row>
    <row r="215" spans="1:33" ht="32.15" customHeight="1" x14ac:dyDescent="0.35">
      <c r="A215" s="26">
        <f t="shared" si="51"/>
        <v>200</v>
      </c>
      <c r="B215" s="80" t="s">
        <v>673</v>
      </c>
      <c r="C215" s="26"/>
      <c r="D215" s="50" t="s">
        <v>700</v>
      </c>
      <c r="E215" s="24" t="s">
        <v>701</v>
      </c>
      <c r="F215" s="24" t="s">
        <v>43</v>
      </c>
      <c r="G215" s="3" t="s">
        <v>702</v>
      </c>
      <c r="H215" s="4" t="s">
        <v>703</v>
      </c>
      <c r="I215" s="4" t="s">
        <v>704</v>
      </c>
      <c r="J215" s="5">
        <v>44561</v>
      </c>
      <c r="K215" s="3" t="str">
        <f t="shared" ca="1" si="43"/>
        <v xml:space="preserve">4 Tahun 8 bulan </v>
      </c>
      <c r="L215" s="30" t="s">
        <v>88</v>
      </c>
      <c r="M215" s="5">
        <v>44561</v>
      </c>
      <c r="N215" s="3" t="str">
        <f t="shared" ca="1" si="44"/>
        <v xml:space="preserve">4 Tahun 8 bulan </v>
      </c>
      <c r="O215" s="4"/>
      <c r="P215" s="4" t="s">
        <v>35</v>
      </c>
      <c r="Q215" s="4" t="str">
        <f t="shared" si="45"/>
        <v>Laki-Laki</v>
      </c>
      <c r="R215" s="4">
        <f>R171</f>
        <v>1</v>
      </c>
      <c r="S215" s="4" t="str">
        <f t="shared" si="50"/>
        <v>1</v>
      </c>
      <c r="T215" s="4">
        <f t="shared" si="38"/>
        <v>0</v>
      </c>
      <c r="U215" s="29"/>
      <c r="V215" s="30" t="s">
        <v>50</v>
      </c>
      <c r="W215" s="30"/>
      <c r="X215" s="30"/>
      <c r="Y215" s="30"/>
      <c r="Z215" s="30"/>
      <c r="AA215" s="30"/>
      <c r="AB215" s="29"/>
      <c r="AC215" s="29"/>
      <c r="AD215" s="37">
        <f t="shared" si="48"/>
        <v>29898</v>
      </c>
      <c r="AE215" s="3" t="str">
        <f t="shared" ca="1" si="46"/>
        <v>44 Tahun 9 bulan 24 Hari</v>
      </c>
      <c r="AF215" s="38">
        <f t="shared" si="49"/>
        <v>51836</v>
      </c>
      <c r="AG215" s="7"/>
    </row>
    <row r="216" spans="1:33" ht="32.15" customHeight="1" x14ac:dyDescent="0.35">
      <c r="A216" s="26">
        <f t="shared" si="51"/>
        <v>201</v>
      </c>
      <c r="B216" s="80" t="s">
        <v>673</v>
      </c>
      <c r="C216" s="26"/>
      <c r="D216" s="50" t="s">
        <v>700</v>
      </c>
      <c r="E216" s="24" t="s">
        <v>705</v>
      </c>
      <c r="F216" s="24" t="s">
        <v>43</v>
      </c>
      <c r="G216" s="3" t="s">
        <v>706</v>
      </c>
      <c r="H216" s="4" t="s">
        <v>691</v>
      </c>
      <c r="I216" s="4" t="s">
        <v>251</v>
      </c>
      <c r="J216" s="5">
        <v>44561</v>
      </c>
      <c r="K216" s="3" t="str">
        <f t="shared" ca="1" si="43"/>
        <v xml:space="preserve">4 Tahun 8 bulan </v>
      </c>
      <c r="L216" s="30" t="s">
        <v>88</v>
      </c>
      <c r="M216" s="5">
        <v>44561</v>
      </c>
      <c r="N216" s="3" t="str">
        <f t="shared" ca="1" si="44"/>
        <v xml:space="preserve">4 Tahun 8 bulan </v>
      </c>
      <c r="O216" s="4"/>
      <c r="P216" s="4" t="s">
        <v>35</v>
      </c>
      <c r="Q216" s="4" t="str">
        <f t="shared" si="45"/>
        <v>Perempuan</v>
      </c>
      <c r="R216" s="4">
        <f t="shared" ref="R216:R279" si="52">R215</f>
        <v>1</v>
      </c>
      <c r="S216" s="4" t="str">
        <f t="shared" si="50"/>
        <v>1</v>
      </c>
      <c r="T216" s="4">
        <f t="shared" si="38"/>
        <v>0</v>
      </c>
      <c r="U216" s="29"/>
      <c r="V216" s="30"/>
      <c r="W216" s="30"/>
      <c r="X216" s="30"/>
      <c r="Y216" s="30"/>
      <c r="Z216" s="30"/>
      <c r="AA216" s="30"/>
      <c r="AB216" s="29"/>
      <c r="AC216" s="29"/>
      <c r="AD216" s="37">
        <f t="shared" si="48"/>
        <v>27481</v>
      </c>
      <c r="AE216" s="3" t="str">
        <f t="shared" ca="1" si="46"/>
        <v>51 Tahun 5 bulan 4 Hari</v>
      </c>
      <c r="AF216" s="38">
        <f t="shared" si="49"/>
        <v>49400</v>
      </c>
      <c r="AG216" s="7"/>
    </row>
    <row r="217" spans="1:33" ht="32.15" customHeight="1" x14ac:dyDescent="0.35">
      <c r="A217" s="26">
        <f t="shared" si="51"/>
        <v>202</v>
      </c>
      <c r="B217" s="80" t="s">
        <v>673</v>
      </c>
      <c r="C217" s="256" t="s">
        <v>707</v>
      </c>
      <c r="D217" s="257"/>
      <c r="E217" s="39" t="s">
        <v>708</v>
      </c>
      <c r="F217" s="24" t="s">
        <v>43</v>
      </c>
      <c r="G217" s="25" t="s">
        <v>709</v>
      </c>
      <c r="H217" s="4" t="s">
        <v>699</v>
      </c>
      <c r="I217" s="25" t="s">
        <v>710</v>
      </c>
      <c r="J217" s="5" t="s">
        <v>711</v>
      </c>
      <c r="K217" s="3" t="str">
        <f t="shared" ca="1" si="43"/>
        <v xml:space="preserve">4 Tahun 11 bulan </v>
      </c>
      <c r="L217" s="30" t="s">
        <v>346</v>
      </c>
      <c r="M217" s="5" t="s">
        <v>711</v>
      </c>
      <c r="N217" s="3" t="str">
        <f t="shared" ca="1" si="44"/>
        <v xml:space="preserve">4 Tahun 11 bulan </v>
      </c>
      <c r="O217" s="35"/>
      <c r="P217" s="4" t="s">
        <v>35</v>
      </c>
      <c r="Q217" s="4" t="str">
        <f t="shared" si="45"/>
        <v>Perempuan</v>
      </c>
      <c r="R217" s="4">
        <f t="shared" si="52"/>
        <v>1</v>
      </c>
      <c r="S217" s="4" t="str">
        <f t="shared" si="50"/>
        <v>1</v>
      </c>
      <c r="T217" s="4">
        <f t="shared" si="38"/>
        <v>0</v>
      </c>
      <c r="U217" s="29"/>
      <c r="V217" s="30"/>
      <c r="W217" s="30"/>
      <c r="X217" s="30"/>
      <c r="Y217" s="30"/>
      <c r="Z217" s="30"/>
      <c r="AA217" s="30"/>
      <c r="AB217" s="29"/>
      <c r="AC217" s="29"/>
      <c r="AD217" s="37">
        <f t="shared" si="48"/>
        <v>29511</v>
      </c>
      <c r="AE217" s="3" t="str">
        <f t="shared" ca="1" si="46"/>
        <v>45 Tahun 10 bulan 15 Hari</v>
      </c>
      <c r="AF217" s="38">
        <f t="shared" si="49"/>
        <v>51441</v>
      </c>
      <c r="AG217" s="7"/>
    </row>
    <row r="218" spans="1:33" ht="32.15" customHeight="1" x14ac:dyDescent="0.35">
      <c r="A218" s="26">
        <f t="shared" si="51"/>
        <v>203</v>
      </c>
      <c r="B218" s="80" t="s">
        <v>673</v>
      </c>
      <c r="C218" s="26"/>
      <c r="D218" s="50" t="s">
        <v>712</v>
      </c>
      <c r="E218" s="24" t="s">
        <v>713</v>
      </c>
      <c r="F218" s="24" t="s">
        <v>43</v>
      </c>
      <c r="G218" s="4" t="s">
        <v>714</v>
      </c>
      <c r="H218" s="4" t="s">
        <v>85</v>
      </c>
      <c r="I218" s="4" t="s">
        <v>251</v>
      </c>
      <c r="J218" s="5">
        <v>44561</v>
      </c>
      <c r="K218" s="3" t="str">
        <f t="shared" ca="1" si="43"/>
        <v xml:space="preserve">4 Tahun 8 bulan </v>
      </c>
      <c r="L218" s="30" t="s">
        <v>88</v>
      </c>
      <c r="M218" s="5">
        <v>44561</v>
      </c>
      <c r="N218" s="3" t="str">
        <f t="shared" ca="1" si="44"/>
        <v xml:space="preserve">4 Tahun 8 bulan </v>
      </c>
      <c r="O218" s="4"/>
      <c r="P218" s="4" t="s">
        <v>35</v>
      </c>
      <c r="Q218" s="4" t="str">
        <f t="shared" si="45"/>
        <v>Laki-Laki</v>
      </c>
      <c r="R218" s="4">
        <f t="shared" si="52"/>
        <v>1</v>
      </c>
      <c r="S218" s="4" t="str">
        <f t="shared" si="50"/>
        <v>1</v>
      </c>
      <c r="T218" s="4">
        <f t="shared" ref="T218:T285" si="53">R218-S218</f>
        <v>0</v>
      </c>
      <c r="U218" s="29"/>
      <c r="V218" s="30" t="s">
        <v>50</v>
      </c>
      <c r="W218" s="30"/>
      <c r="X218" s="30"/>
      <c r="Y218" s="30"/>
      <c r="Z218" s="30"/>
      <c r="AA218" s="30"/>
      <c r="AB218" s="29"/>
      <c r="AC218" s="29"/>
      <c r="AD218" s="37">
        <f t="shared" si="48"/>
        <v>32766</v>
      </c>
      <c r="AE218" s="3" t="str">
        <f t="shared" ca="1" si="46"/>
        <v>36 Tahun 11 bulan 17 Hari</v>
      </c>
      <c r="AF218" s="38">
        <f t="shared" si="49"/>
        <v>54697</v>
      </c>
      <c r="AG218" s="7"/>
    </row>
    <row r="219" spans="1:33" ht="32.15" customHeight="1" x14ac:dyDescent="0.35">
      <c r="A219" s="26">
        <f t="shared" si="51"/>
        <v>204</v>
      </c>
      <c r="B219" s="80" t="s">
        <v>673</v>
      </c>
      <c r="C219" s="26"/>
      <c r="D219" s="50" t="s">
        <v>700</v>
      </c>
      <c r="E219" s="24" t="s">
        <v>715</v>
      </c>
      <c r="F219" s="24" t="s">
        <v>43</v>
      </c>
      <c r="G219" s="3" t="s">
        <v>716</v>
      </c>
      <c r="H219" s="4" t="s">
        <v>662</v>
      </c>
      <c r="I219" s="4" t="s">
        <v>107</v>
      </c>
      <c r="J219" s="5">
        <v>44561</v>
      </c>
      <c r="K219" s="3" t="str">
        <f t="shared" ca="1" si="43"/>
        <v xml:space="preserve">4 Tahun 8 bulan </v>
      </c>
      <c r="L219" s="30" t="s">
        <v>88</v>
      </c>
      <c r="M219" s="5">
        <v>44561</v>
      </c>
      <c r="N219" s="3" t="str">
        <f t="shared" ca="1" si="44"/>
        <v xml:space="preserve">4 Tahun 8 bulan </v>
      </c>
      <c r="O219" s="4"/>
      <c r="P219" s="4" t="s">
        <v>35</v>
      </c>
      <c r="Q219" s="4" t="str">
        <f t="shared" si="45"/>
        <v>Laki-Laki</v>
      </c>
      <c r="R219" s="4">
        <f t="shared" si="52"/>
        <v>1</v>
      </c>
      <c r="S219" s="4" t="str">
        <f t="shared" si="50"/>
        <v>1</v>
      </c>
      <c r="T219" s="4">
        <f t="shared" si="53"/>
        <v>0</v>
      </c>
      <c r="U219" s="29"/>
      <c r="V219" s="30" t="s">
        <v>50</v>
      </c>
      <c r="W219" s="30"/>
      <c r="X219" s="30"/>
      <c r="Y219" s="30"/>
      <c r="Z219" s="30"/>
      <c r="AA219" s="30"/>
      <c r="AB219" s="29"/>
      <c r="AC219" s="29"/>
      <c r="AD219" s="37">
        <f t="shared" si="48"/>
        <v>29596</v>
      </c>
      <c r="AE219" s="3" t="str">
        <f t="shared" ca="1" si="46"/>
        <v>45 Tahun 7 bulan 22 Hari</v>
      </c>
      <c r="AF219" s="38">
        <f t="shared" si="49"/>
        <v>51533</v>
      </c>
      <c r="AG219" s="7"/>
    </row>
    <row r="220" spans="1:33" ht="32.15" customHeight="1" x14ac:dyDescent="0.35">
      <c r="A220" s="26">
        <f t="shared" si="51"/>
        <v>205</v>
      </c>
      <c r="B220" s="80" t="s">
        <v>673</v>
      </c>
      <c r="C220" s="256" t="s">
        <v>717</v>
      </c>
      <c r="D220" s="257"/>
      <c r="E220" s="45" t="s">
        <v>718</v>
      </c>
      <c r="F220" s="24" t="s">
        <v>43</v>
      </c>
      <c r="G220" s="44" t="s">
        <v>719</v>
      </c>
      <c r="H220" s="4" t="s">
        <v>181</v>
      </c>
      <c r="I220" s="33" t="s">
        <v>198</v>
      </c>
      <c r="J220" s="5" t="s">
        <v>176</v>
      </c>
      <c r="K220" s="3" t="str">
        <f t="shared" ca="1" si="43"/>
        <v xml:space="preserve">1 Tahun 4 bulan </v>
      </c>
      <c r="L220" s="30" t="s">
        <v>346</v>
      </c>
      <c r="M220" s="47" t="s">
        <v>98</v>
      </c>
      <c r="N220" s="3" t="str">
        <f t="shared" ca="1" si="44"/>
        <v xml:space="preserve">3 Tahun 0 bulan </v>
      </c>
      <c r="O220" s="36"/>
      <c r="P220" s="4" t="s">
        <v>35</v>
      </c>
      <c r="Q220" s="4" t="str">
        <f t="shared" si="45"/>
        <v>Perempuan</v>
      </c>
      <c r="R220" s="4">
        <f t="shared" si="52"/>
        <v>1</v>
      </c>
      <c r="S220" s="4" t="e">
        <f>IF(#REF!="LOWONG","0","1")</f>
        <v>#REF!</v>
      </c>
      <c r="T220" s="4" t="e">
        <f t="shared" si="53"/>
        <v>#REF!</v>
      </c>
      <c r="U220" s="29"/>
      <c r="V220" s="30" t="s">
        <v>50</v>
      </c>
      <c r="W220" s="30"/>
      <c r="X220" s="30"/>
      <c r="Y220" s="30"/>
      <c r="Z220" s="30"/>
      <c r="AA220" s="30"/>
      <c r="AB220" s="29"/>
      <c r="AC220" s="29"/>
      <c r="AD220" s="37">
        <f t="shared" si="48"/>
        <v>31691</v>
      </c>
      <c r="AE220" s="3" t="str">
        <f t="shared" ca="1" si="46"/>
        <v>39 Tahun 10 bulan 26 Hari</v>
      </c>
      <c r="AF220" s="38">
        <f t="shared" si="49"/>
        <v>53632</v>
      </c>
      <c r="AG220" s="7"/>
    </row>
    <row r="221" spans="1:33" ht="32.15" customHeight="1" x14ac:dyDescent="0.35">
      <c r="A221" s="26">
        <f t="shared" si="51"/>
        <v>206</v>
      </c>
      <c r="B221" s="80" t="s">
        <v>673</v>
      </c>
      <c r="C221" s="26"/>
      <c r="D221" s="50" t="s">
        <v>712</v>
      </c>
      <c r="E221" s="24" t="s">
        <v>108</v>
      </c>
      <c r="F221" s="24"/>
      <c r="G221" s="3"/>
      <c r="H221" s="4"/>
      <c r="I221" s="33"/>
      <c r="J221" s="81"/>
      <c r="K221" s="3" t="str">
        <f t="shared" ca="1" si="43"/>
        <v/>
      </c>
      <c r="L221" s="30" t="s">
        <v>88</v>
      </c>
      <c r="M221" s="81"/>
      <c r="N221" s="3" t="str">
        <f t="shared" ca="1" si="44"/>
        <v/>
      </c>
      <c r="O221" s="4"/>
      <c r="P221" s="4"/>
      <c r="Q221" s="4" t="str">
        <f t="shared" si="45"/>
        <v/>
      </c>
      <c r="R221" s="4">
        <v>1</v>
      </c>
      <c r="S221" s="4" t="str">
        <f>IF(E221="LOWONG","0","1")</f>
        <v>0</v>
      </c>
      <c r="T221" s="4">
        <f t="shared" si="53"/>
        <v>1</v>
      </c>
      <c r="U221" s="29"/>
      <c r="V221" s="30"/>
      <c r="W221" s="30"/>
      <c r="X221" s="30"/>
      <c r="Y221" s="30"/>
      <c r="Z221" s="30"/>
      <c r="AA221" s="30"/>
      <c r="AB221" s="29"/>
      <c r="AC221" s="29"/>
      <c r="AD221" s="37" t="str">
        <f t="shared" si="48"/>
        <v/>
      </c>
      <c r="AE221" s="3" t="str">
        <f t="shared" ca="1" si="46"/>
        <v/>
      </c>
      <c r="AF221" s="38" t="str">
        <f t="shared" si="49"/>
        <v/>
      </c>
      <c r="AG221" s="7"/>
    </row>
    <row r="222" spans="1:33" ht="32.15" customHeight="1" x14ac:dyDescent="0.35">
      <c r="A222" s="26">
        <f t="shared" si="51"/>
        <v>207</v>
      </c>
      <c r="B222" s="80" t="s">
        <v>673</v>
      </c>
      <c r="C222" s="26"/>
      <c r="D222" s="50" t="s">
        <v>700</v>
      </c>
      <c r="E222" s="24" t="s">
        <v>720</v>
      </c>
      <c r="F222" s="24" t="s">
        <v>43</v>
      </c>
      <c r="G222" s="3" t="s">
        <v>721</v>
      </c>
      <c r="H222" s="4" t="s">
        <v>274</v>
      </c>
      <c r="I222" s="33" t="s">
        <v>113</v>
      </c>
      <c r="J222" s="81" t="s">
        <v>87</v>
      </c>
      <c r="K222" s="3" t="str">
        <f t="shared" ca="1" si="43"/>
        <v xml:space="preserve">4 Tahun 8 bulan </v>
      </c>
      <c r="L222" s="30" t="s">
        <v>88</v>
      </c>
      <c r="M222" s="81" t="s">
        <v>87</v>
      </c>
      <c r="N222" s="3" t="str">
        <f t="shared" ca="1" si="44"/>
        <v xml:space="preserve">4 Tahun 8 bulan </v>
      </c>
      <c r="O222" s="4"/>
      <c r="P222" s="4" t="s">
        <v>35</v>
      </c>
      <c r="Q222" s="4" t="str">
        <f t="shared" si="45"/>
        <v>Laki-Laki</v>
      </c>
      <c r="R222" s="4">
        <v>1</v>
      </c>
      <c r="S222" s="4" t="str">
        <f>IF(E222="LOWONG","0","1")</f>
        <v>1</v>
      </c>
      <c r="T222" s="4">
        <f t="shared" si="53"/>
        <v>0</v>
      </c>
      <c r="U222" s="29"/>
      <c r="V222" s="30" t="s">
        <v>50</v>
      </c>
      <c r="W222" s="30"/>
      <c r="X222" s="30"/>
      <c r="Y222" s="30"/>
      <c r="Z222" s="30"/>
      <c r="AA222" s="30"/>
      <c r="AB222" s="29"/>
      <c r="AC222" s="29"/>
      <c r="AD222" s="37">
        <f t="shared" si="48"/>
        <v>30688</v>
      </c>
      <c r="AE222" s="3" t="str">
        <f t="shared" ca="1" si="46"/>
        <v>42 Tahun 7 bulan 25 Hari</v>
      </c>
      <c r="AF222" s="38">
        <f t="shared" si="49"/>
        <v>52628</v>
      </c>
      <c r="AG222" s="7"/>
    </row>
    <row r="223" spans="1:33" ht="32.15" customHeight="1" x14ac:dyDescent="0.35">
      <c r="A223" s="26">
        <f t="shared" si="51"/>
        <v>208</v>
      </c>
      <c r="B223" s="80" t="s">
        <v>673</v>
      </c>
      <c r="C223" s="256" t="s">
        <v>722</v>
      </c>
      <c r="D223" s="257"/>
      <c r="E223" s="24" t="s">
        <v>723</v>
      </c>
      <c r="F223" s="24" t="s">
        <v>43</v>
      </c>
      <c r="G223" s="3" t="s">
        <v>724</v>
      </c>
      <c r="H223" s="4" t="s">
        <v>181</v>
      </c>
      <c r="I223" s="4" t="s">
        <v>86</v>
      </c>
      <c r="J223" s="47" t="s">
        <v>711</v>
      </c>
      <c r="K223" s="3" t="str">
        <f t="shared" ca="1" si="43"/>
        <v xml:space="preserve">4 Tahun 11 bulan </v>
      </c>
      <c r="L223" s="30" t="s">
        <v>346</v>
      </c>
      <c r="M223" s="47" t="s">
        <v>711</v>
      </c>
      <c r="N223" s="3" t="str">
        <f t="shared" ca="1" si="44"/>
        <v xml:space="preserve">4 Tahun 11 bulan </v>
      </c>
      <c r="O223" s="4"/>
      <c r="P223" s="4" t="s">
        <v>35</v>
      </c>
      <c r="Q223" s="4" t="str">
        <f t="shared" si="45"/>
        <v>Laki-Laki</v>
      </c>
      <c r="R223" s="4">
        <v>1</v>
      </c>
      <c r="S223" s="4" t="str">
        <f>IF(E223="LOWONG","0","1")</f>
        <v>1</v>
      </c>
      <c r="T223" s="4">
        <f t="shared" si="53"/>
        <v>0</v>
      </c>
      <c r="U223" s="29"/>
      <c r="V223" s="30" t="s">
        <v>50</v>
      </c>
      <c r="W223" s="30"/>
      <c r="X223" s="30"/>
      <c r="Y223" s="30"/>
      <c r="Z223" s="30"/>
      <c r="AA223" s="30"/>
      <c r="AB223" s="29"/>
      <c r="AC223" s="29"/>
      <c r="AD223" s="37">
        <f t="shared" si="48"/>
        <v>26564</v>
      </c>
      <c r="AE223" s="3" t="str">
        <f t="shared" ca="1" si="46"/>
        <v>53 Tahun 11 bulan 10 Hari</v>
      </c>
      <c r="AF223" s="38">
        <f t="shared" si="49"/>
        <v>48488</v>
      </c>
      <c r="AG223" s="7"/>
    </row>
    <row r="224" spans="1:33" ht="32.15" customHeight="1" x14ac:dyDescent="0.35">
      <c r="A224" s="26">
        <f t="shared" si="51"/>
        <v>209</v>
      </c>
      <c r="B224" s="80" t="s">
        <v>673</v>
      </c>
      <c r="C224" s="26"/>
      <c r="D224" s="50" t="s">
        <v>700</v>
      </c>
      <c r="E224" s="221" t="s">
        <v>725</v>
      </c>
      <c r="F224" s="24" t="s">
        <v>43</v>
      </c>
      <c r="G224" s="43" t="s">
        <v>726</v>
      </c>
      <c r="H224" s="4" t="s">
        <v>727</v>
      </c>
      <c r="I224" s="33" t="s">
        <v>441</v>
      </c>
      <c r="J224" s="81" t="s">
        <v>87</v>
      </c>
      <c r="K224" s="3" t="str">
        <f t="shared" ca="1" si="43"/>
        <v xml:space="preserve">4 Tahun 8 bulan </v>
      </c>
      <c r="L224" s="30" t="s">
        <v>88</v>
      </c>
      <c r="M224" s="81" t="s">
        <v>87</v>
      </c>
      <c r="N224" s="3" t="str">
        <f t="shared" ca="1" si="44"/>
        <v xml:space="preserve">4 Tahun 8 bulan </v>
      </c>
      <c r="O224" s="56"/>
      <c r="P224" s="4" t="s">
        <v>35</v>
      </c>
      <c r="Q224" s="4" t="str">
        <f t="shared" si="45"/>
        <v>Perempuan</v>
      </c>
      <c r="R224" s="4">
        <v>1</v>
      </c>
      <c r="S224" s="4" t="str">
        <f>IF(E224="LOWONG","0","1")</f>
        <v>1</v>
      </c>
      <c r="T224" s="4">
        <f t="shared" si="53"/>
        <v>0</v>
      </c>
      <c r="U224" s="29"/>
      <c r="V224" s="30"/>
      <c r="W224" s="30"/>
      <c r="X224" s="30"/>
      <c r="Y224" s="30"/>
      <c r="Z224" s="30"/>
      <c r="AA224" s="30"/>
      <c r="AB224" s="29"/>
      <c r="AC224" s="29"/>
      <c r="AD224" s="37">
        <f t="shared" si="48"/>
        <v>25082</v>
      </c>
      <c r="AE224" s="3" t="str">
        <f t="shared" ca="1" si="46"/>
        <v>58 Tahun 0 bulan 0 Hari</v>
      </c>
      <c r="AF224" s="38">
        <f t="shared" si="49"/>
        <v>47027</v>
      </c>
      <c r="AG224" s="11" t="s">
        <v>3143</v>
      </c>
    </row>
    <row r="225" spans="1:32" s="7" customFormat="1" ht="32.15" customHeight="1" x14ac:dyDescent="0.35">
      <c r="A225" s="26">
        <f t="shared" si="51"/>
        <v>210</v>
      </c>
      <c r="B225" s="80" t="s">
        <v>673</v>
      </c>
      <c r="C225" s="26"/>
      <c r="D225" s="50" t="s">
        <v>700</v>
      </c>
      <c r="E225" s="45" t="s">
        <v>108</v>
      </c>
      <c r="F225" s="45"/>
      <c r="G225" s="44"/>
      <c r="H225" s="4"/>
      <c r="I225" s="4"/>
      <c r="J225" s="81"/>
      <c r="K225" s="3" t="str">
        <f t="shared" ca="1" si="43"/>
        <v/>
      </c>
      <c r="L225" s="30" t="s">
        <v>88</v>
      </c>
      <c r="M225" s="81"/>
      <c r="N225" s="3" t="str">
        <f t="shared" ca="1" si="44"/>
        <v/>
      </c>
      <c r="O225" s="4"/>
      <c r="P225" s="4"/>
      <c r="Q225" s="4" t="str">
        <f t="shared" si="45"/>
        <v/>
      </c>
      <c r="R225" s="4">
        <v>1</v>
      </c>
      <c r="S225" s="4" t="str">
        <f>IF(E225="LOWONG","0","1")</f>
        <v>0</v>
      </c>
      <c r="T225" s="4">
        <f t="shared" si="53"/>
        <v>1</v>
      </c>
      <c r="U225" s="29"/>
      <c r="V225" s="30"/>
      <c r="W225" s="30"/>
      <c r="X225" s="30"/>
      <c r="Y225" s="30"/>
      <c r="Z225" s="30"/>
      <c r="AA225" s="30"/>
      <c r="AB225" s="29"/>
      <c r="AC225" s="29"/>
      <c r="AD225" s="37" t="str">
        <f t="shared" si="48"/>
        <v/>
      </c>
      <c r="AE225" s="3" t="str">
        <f t="shared" ca="1" si="46"/>
        <v/>
      </c>
      <c r="AF225" s="38" t="str">
        <f t="shared" si="49"/>
        <v/>
      </c>
    </row>
    <row r="226" spans="1:32" s="6" customFormat="1" ht="32.15" customHeight="1" x14ac:dyDescent="0.35">
      <c r="A226" s="4"/>
      <c r="B226" s="32" t="s">
        <v>728</v>
      </c>
      <c r="C226" s="269" t="s">
        <v>729</v>
      </c>
      <c r="D226" s="270"/>
      <c r="E226" s="271" t="str">
        <f ca="1">IF(J226="","",CONCATENATE(DATEDIF(J226,NOW(),"Y")," Tahun ",DATEDIF(J226,NOW(),"YM")," bulan "))</f>
        <v/>
      </c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3"/>
    </row>
    <row r="227" spans="1:32" s="7" customFormat="1" ht="32.15" customHeight="1" x14ac:dyDescent="0.35">
      <c r="A227" s="26">
        <f>A225+1</f>
        <v>211</v>
      </c>
      <c r="B227" s="27" t="s">
        <v>728</v>
      </c>
      <c r="C227" s="278" t="s">
        <v>730</v>
      </c>
      <c r="D227" s="279"/>
      <c r="E227" s="24" t="s">
        <v>596</v>
      </c>
      <c r="F227" s="24" t="s">
        <v>43</v>
      </c>
      <c r="G227" s="4" t="s">
        <v>597</v>
      </c>
      <c r="H227" s="4" t="s">
        <v>598</v>
      </c>
      <c r="I227" s="33" t="s">
        <v>599</v>
      </c>
      <c r="J227" s="53">
        <v>46260</v>
      </c>
      <c r="K227" s="3" t="str">
        <f t="shared" ca="1" si="43"/>
        <v xml:space="preserve">0 Tahun 0 bulan </v>
      </c>
      <c r="L227" s="30" t="s">
        <v>56</v>
      </c>
      <c r="M227" s="212">
        <v>45610</v>
      </c>
      <c r="N227" s="3" t="str">
        <f t="shared" ca="1" si="44"/>
        <v xml:space="preserve">1 Tahun 9 bulan </v>
      </c>
      <c r="O227" s="36" t="s">
        <v>81</v>
      </c>
      <c r="P227" s="4" t="s">
        <v>35</v>
      </c>
      <c r="Q227" s="4" t="str">
        <f t="shared" si="45"/>
        <v>Laki-Laki</v>
      </c>
      <c r="R227" s="4">
        <v>1</v>
      </c>
      <c r="S227" s="4" t="str">
        <f t="shared" ref="S227:S232" si="54">IF(E227="LOWONG","0","1")</f>
        <v>1</v>
      </c>
      <c r="T227" s="4">
        <f t="shared" si="53"/>
        <v>0</v>
      </c>
      <c r="U227" s="29"/>
      <c r="V227" s="30" t="s">
        <v>50</v>
      </c>
      <c r="W227" s="30"/>
      <c r="X227" s="30"/>
      <c r="Y227" s="30"/>
      <c r="Z227" s="30"/>
      <c r="AA227" s="30"/>
      <c r="AB227" s="29"/>
      <c r="AC227" s="29"/>
      <c r="AD227" s="37">
        <f t="shared" si="48"/>
        <v>27751</v>
      </c>
      <c r="AE227" s="3" t="str">
        <f t="shared" ca="1" si="46"/>
        <v>50 Tahun 8 bulan 9 Hari</v>
      </c>
      <c r="AF227" s="38">
        <f t="shared" si="49"/>
        <v>49675</v>
      </c>
    </row>
    <row r="228" spans="1:32" s="7" customFormat="1" ht="32.15" customHeight="1" x14ac:dyDescent="0.35">
      <c r="A228" s="26">
        <f t="shared" si="51"/>
        <v>212</v>
      </c>
      <c r="B228" s="27" t="s">
        <v>728</v>
      </c>
      <c r="C228" s="256" t="s">
        <v>733</v>
      </c>
      <c r="D228" s="257"/>
      <c r="E228" s="24" t="s">
        <v>1241</v>
      </c>
      <c r="F228" s="24" t="s">
        <v>43</v>
      </c>
      <c r="G228" s="3" t="s">
        <v>1242</v>
      </c>
      <c r="H228" s="4" t="s">
        <v>1243</v>
      </c>
      <c r="I228" s="33" t="s">
        <v>46</v>
      </c>
      <c r="J228" s="53">
        <v>46260</v>
      </c>
      <c r="K228" s="3" t="str">
        <f t="shared" ca="1" si="43"/>
        <v xml:space="preserve">0 Tahun 0 bulan </v>
      </c>
      <c r="L228" s="30" t="s">
        <v>79</v>
      </c>
      <c r="M228" s="81">
        <v>45916</v>
      </c>
      <c r="N228" s="3" t="str">
        <f t="shared" ca="1" si="44"/>
        <v xml:space="preserve">0 Tahun 11 bulan </v>
      </c>
      <c r="O228" s="4" t="s">
        <v>49</v>
      </c>
      <c r="P228" s="4" t="s">
        <v>35</v>
      </c>
      <c r="Q228" s="4" t="str">
        <f t="shared" si="45"/>
        <v>Laki-Laki</v>
      </c>
      <c r="R228" s="4">
        <v>1</v>
      </c>
      <c r="S228" s="4" t="str">
        <f t="shared" si="54"/>
        <v>1</v>
      </c>
      <c r="T228" s="4">
        <f t="shared" si="53"/>
        <v>0</v>
      </c>
      <c r="U228" s="29"/>
      <c r="V228" s="30"/>
      <c r="W228" s="30"/>
      <c r="X228" s="30"/>
      <c r="Y228" s="30"/>
      <c r="Z228" s="30"/>
      <c r="AA228" s="30"/>
      <c r="AB228" s="29"/>
      <c r="AC228" s="29"/>
      <c r="AD228" s="37">
        <f t="shared" si="48"/>
        <v>27403</v>
      </c>
      <c r="AE228" s="3" t="str">
        <f t="shared" ca="1" si="46"/>
        <v>51 Tahun 7 bulan 23 Hari</v>
      </c>
      <c r="AF228" s="38">
        <f t="shared" si="49"/>
        <v>49341</v>
      </c>
    </row>
    <row r="229" spans="1:32" s="7" customFormat="1" ht="32.15" customHeight="1" x14ac:dyDescent="0.35">
      <c r="A229" s="26">
        <f t="shared" si="51"/>
        <v>213</v>
      </c>
      <c r="B229" s="27" t="s">
        <v>728</v>
      </c>
      <c r="C229" s="26"/>
      <c r="D229" s="50" t="s">
        <v>734</v>
      </c>
      <c r="E229" s="45" t="s">
        <v>735</v>
      </c>
      <c r="F229" s="24" t="s">
        <v>43</v>
      </c>
      <c r="G229" s="44" t="s">
        <v>736</v>
      </c>
      <c r="H229" s="36" t="s">
        <v>241</v>
      </c>
      <c r="I229" s="48" t="s">
        <v>737</v>
      </c>
      <c r="J229" s="82" t="s">
        <v>354</v>
      </c>
      <c r="K229" s="3" t="str">
        <f t="shared" ca="1" si="43"/>
        <v xml:space="preserve">6 Tahun 9 bulan </v>
      </c>
      <c r="L229" s="30" t="s">
        <v>200</v>
      </c>
      <c r="M229" s="82" t="s">
        <v>354</v>
      </c>
      <c r="N229" s="3" t="str">
        <f t="shared" ca="1" si="44"/>
        <v xml:space="preserve">6 Tahun 9 bulan </v>
      </c>
      <c r="O229" s="36"/>
      <c r="P229" s="4" t="s">
        <v>35</v>
      </c>
      <c r="Q229" s="4" t="str">
        <f t="shared" si="45"/>
        <v>Laki-Laki</v>
      </c>
      <c r="R229" s="4">
        <v>1</v>
      </c>
      <c r="S229" s="4" t="str">
        <f t="shared" si="54"/>
        <v>1</v>
      </c>
      <c r="T229" s="4">
        <f t="shared" si="53"/>
        <v>0</v>
      </c>
      <c r="U229" s="29"/>
      <c r="V229" s="30" t="s">
        <v>50</v>
      </c>
      <c r="W229" s="30"/>
      <c r="X229" s="30"/>
      <c r="Y229" s="30"/>
      <c r="Z229" s="30"/>
      <c r="AA229" s="30"/>
      <c r="AB229" s="29"/>
      <c r="AC229" s="29"/>
      <c r="AD229" s="37">
        <f t="shared" si="48"/>
        <v>29017</v>
      </c>
      <c r="AE229" s="3" t="str">
        <f t="shared" ca="1" si="46"/>
        <v>47 Tahun 2 bulan 21 Hari</v>
      </c>
      <c r="AF229" s="38">
        <f t="shared" si="49"/>
        <v>50952</v>
      </c>
    </row>
    <row r="230" spans="1:32" s="7" customFormat="1" ht="32.15" customHeight="1" x14ac:dyDescent="0.35">
      <c r="A230" s="26">
        <f t="shared" si="51"/>
        <v>214</v>
      </c>
      <c r="B230" s="27" t="s">
        <v>728</v>
      </c>
      <c r="C230" s="26"/>
      <c r="D230" s="50" t="s">
        <v>738</v>
      </c>
      <c r="E230" s="24" t="s">
        <v>739</v>
      </c>
      <c r="F230" s="24" t="s">
        <v>43</v>
      </c>
      <c r="G230" s="3" t="s">
        <v>740</v>
      </c>
      <c r="H230" s="4" t="s">
        <v>410</v>
      </c>
      <c r="I230" s="33" t="s">
        <v>86</v>
      </c>
      <c r="J230" s="47" t="s">
        <v>533</v>
      </c>
      <c r="K230" s="3" t="str">
        <f t="shared" ca="1" si="43"/>
        <v xml:space="preserve">9 Tahun 7 bulan </v>
      </c>
      <c r="L230" s="30" t="s">
        <v>200</v>
      </c>
      <c r="M230" s="47" t="s">
        <v>533</v>
      </c>
      <c r="N230" s="3" t="str">
        <f t="shared" ca="1" si="44"/>
        <v xml:space="preserve">9 Tahun 7 bulan </v>
      </c>
      <c r="O230" s="4"/>
      <c r="P230" s="4" t="s">
        <v>35</v>
      </c>
      <c r="Q230" s="4" t="str">
        <f t="shared" si="45"/>
        <v>Perempuan</v>
      </c>
      <c r="R230" s="4">
        <v>1</v>
      </c>
      <c r="S230" s="4" t="str">
        <f t="shared" si="54"/>
        <v>1</v>
      </c>
      <c r="T230" s="4">
        <f t="shared" si="53"/>
        <v>0</v>
      </c>
      <c r="U230" s="29"/>
      <c r="V230" s="30"/>
      <c r="W230" s="30"/>
      <c r="X230" s="30"/>
      <c r="Y230" s="30"/>
      <c r="Z230" s="30"/>
      <c r="AA230" s="30"/>
      <c r="AB230" s="29"/>
      <c r="AC230" s="29"/>
      <c r="AD230" s="37">
        <f t="shared" si="48"/>
        <v>26945</v>
      </c>
      <c r="AE230" s="3" t="str">
        <f t="shared" ca="1" si="46"/>
        <v>52 Tahun 10 bulan 24 Hari</v>
      </c>
      <c r="AF230" s="38">
        <f t="shared" si="49"/>
        <v>48884</v>
      </c>
    </row>
    <row r="231" spans="1:32" s="7" customFormat="1" ht="32.15" customHeight="1" x14ac:dyDescent="0.35">
      <c r="A231" s="26">
        <f t="shared" si="51"/>
        <v>215</v>
      </c>
      <c r="B231" s="27" t="s">
        <v>728</v>
      </c>
      <c r="C231" s="256" t="s">
        <v>741</v>
      </c>
      <c r="D231" s="257"/>
      <c r="E231" s="24" t="s">
        <v>742</v>
      </c>
      <c r="F231" s="24" t="s">
        <v>43</v>
      </c>
      <c r="G231" s="4" t="s">
        <v>743</v>
      </c>
      <c r="H231" s="4" t="s">
        <v>419</v>
      </c>
      <c r="I231" s="4" t="s">
        <v>744</v>
      </c>
      <c r="J231" s="47" t="s">
        <v>127</v>
      </c>
      <c r="K231" s="3" t="str">
        <f t="shared" ca="1" si="43"/>
        <v xml:space="preserve">5 Tahun 6 bulan </v>
      </c>
      <c r="L231" s="30" t="s">
        <v>346</v>
      </c>
      <c r="M231" s="47" t="s">
        <v>127</v>
      </c>
      <c r="N231" s="3" t="str">
        <f t="shared" ca="1" si="44"/>
        <v xml:space="preserve">5 Tahun 6 bulan </v>
      </c>
      <c r="O231" s="4"/>
      <c r="P231" s="4" t="s">
        <v>35</v>
      </c>
      <c r="Q231" s="4" t="str">
        <f t="shared" si="45"/>
        <v>Laki-Laki</v>
      </c>
      <c r="R231" s="4">
        <v>1</v>
      </c>
      <c r="S231" s="4" t="str">
        <f t="shared" si="54"/>
        <v>1</v>
      </c>
      <c r="T231" s="4">
        <f t="shared" si="53"/>
        <v>0</v>
      </c>
      <c r="U231" s="29"/>
      <c r="V231" s="30" t="s">
        <v>50</v>
      </c>
      <c r="W231" s="30"/>
      <c r="X231" s="30"/>
      <c r="Y231" s="30"/>
      <c r="Z231" s="30"/>
      <c r="AA231" s="30"/>
      <c r="AB231" s="29"/>
      <c r="AC231" s="29"/>
      <c r="AD231" s="37">
        <f t="shared" si="48"/>
        <v>27752</v>
      </c>
      <c r="AE231" s="3" t="str">
        <f t="shared" ca="1" si="46"/>
        <v>50 Tahun 8 bulan 8 Hari</v>
      </c>
      <c r="AF231" s="38">
        <f t="shared" si="49"/>
        <v>49675</v>
      </c>
    </row>
    <row r="232" spans="1:32" s="7" customFormat="1" ht="32.15" customHeight="1" x14ac:dyDescent="0.35">
      <c r="A232" s="26">
        <f t="shared" si="51"/>
        <v>216</v>
      </c>
      <c r="B232" s="27" t="s">
        <v>728</v>
      </c>
      <c r="C232" s="26"/>
      <c r="D232" s="50" t="s">
        <v>745</v>
      </c>
      <c r="E232" s="24" t="s">
        <v>108</v>
      </c>
      <c r="F232" s="24"/>
      <c r="G232" s="3"/>
      <c r="H232" s="4"/>
      <c r="I232" s="25"/>
      <c r="J232" s="81"/>
      <c r="K232" s="3" t="str">
        <f t="shared" ca="1" si="43"/>
        <v/>
      </c>
      <c r="L232" s="30" t="s">
        <v>88</v>
      </c>
      <c r="M232" s="30"/>
      <c r="N232" s="3" t="str">
        <f t="shared" ca="1" si="44"/>
        <v/>
      </c>
      <c r="O232" s="36"/>
      <c r="P232" s="4"/>
      <c r="Q232" s="4" t="str">
        <f t="shared" si="45"/>
        <v/>
      </c>
      <c r="R232" s="4">
        <v>1</v>
      </c>
      <c r="S232" s="4" t="str">
        <f t="shared" si="54"/>
        <v>0</v>
      </c>
      <c r="T232" s="4">
        <f t="shared" si="53"/>
        <v>1</v>
      </c>
      <c r="U232" s="29"/>
      <c r="V232" s="30" t="s">
        <v>50</v>
      </c>
      <c r="W232" s="30"/>
      <c r="X232" s="30"/>
      <c r="Y232" s="30"/>
      <c r="Z232" s="30"/>
      <c r="AA232" s="30"/>
      <c r="AB232" s="29"/>
      <c r="AC232" s="29"/>
      <c r="AD232" s="37" t="str">
        <f t="shared" si="48"/>
        <v/>
      </c>
      <c r="AE232" s="3" t="str">
        <f t="shared" ca="1" si="46"/>
        <v/>
      </c>
      <c r="AF232" s="38" t="str">
        <f t="shared" si="49"/>
        <v/>
      </c>
    </row>
    <row r="233" spans="1:32" s="7" customFormat="1" ht="32.15" customHeight="1" x14ac:dyDescent="0.35">
      <c r="A233" s="26">
        <f t="shared" si="51"/>
        <v>217</v>
      </c>
      <c r="B233" s="27" t="s">
        <v>728</v>
      </c>
      <c r="C233" s="26"/>
      <c r="D233" s="50" t="s">
        <v>747</v>
      </c>
      <c r="E233" s="24" t="s">
        <v>108</v>
      </c>
      <c r="F233" s="83"/>
      <c r="G233" s="29"/>
      <c r="H233" s="29"/>
      <c r="I233" s="29"/>
      <c r="J233" s="81"/>
      <c r="K233" s="3" t="str">
        <f t="shared" ca="1" si="43"/>
        <v/>
      </c>
      <c r="L233" s="30" t="s">
        <v>88</v>
      </c>
      <c r="M233" s="84"/>
      <c r="N233" s="3" t="str">
        <f t="shared" ca="1" si="44"/>
        <v/>
      </c>
      <c r="O233" s="25"/>
      <c r="P233" s="4"/>
      <c r="Q233" s="4" t="str">
        <f t="shared" si="45"/>
        <v/>
      </c>
      <c r="R233" s="4">
        <v>1</v>
      </c>
      <c r="S233" s="4" t="str">
        <f>IF(E513="LOWONG","0","1")</f>
        <v>1</v>
      </c>
      <c r="T233" s="4">
        <f t="shared" si="53"/>
        <v>0</v>
      </c>
      <c r="U233" s="29"/>
      <c r="V233" s="30"/>
      <c r="W233" s="30"/>
      <c r="X233" s="30"/>
      <c r="Y233" s="30"/>
      <c r="Z233" s="30"/>
      <c r="AA233" s="30"/>
      <c r="AB233" s="29"/>
      <c r="AC233" s="29"/>
      <c r="AD233" s="37" t="str">
        <f t="shared" si="48"/>
        <v/>
      </c>
      <c r="AE233" s="3" t="str">
        <f t="shared" ca="1" si="46"/>
        <v/>
      </c>
      <c r="AF233" s="38" t="str">
        <f t="shared" si="49"/>
        <v/>
      </c>
    </row>
    <row r="234" spans="1:32" s="7" customFormat="1" ht="32.15" customHeight="1" x14ac:dyDescent="0.35">
      <c r="A234" s="26">
        <f t="shared" si="51"/>
        <v>218</v>
      </c>
      <c r="B234" s="27" t="s">
        <v>728</v>
      </c>
      <c r="C234" s="26"/>
      <c r="D234" s="50" t="s">
        <v>748</v>
      </c>
      <c r="E234" s="45" t="s">
        <v>108</v>
      </c>
      <c r="F234" s="45"/>
      <c r="G234" s="44"/>
      <c r="H234" s="4"/>
      <c r="I234" s="33"/>
      <c r="J234" s="81"/>
      <c r="K234" s="3" t="str">
        <f t="shared" ca="1" si="43"/>
        <v/>
      </c>
      <c r="L234" s="30" t="s">
        <v>88</v>
      </c>
      <c r="M234" s="81"/>
      <c r="N234" s="3" t="str">
        <f t="shared" ca="1" si="44"/>
        <v/>
      </c>
      <c r="O234" s="4"/>
      <c r="P234" s="4"/>
      <c r="Q234" s="4" t="str">
        <f t="shared" si="45"/>
        <v/>
      </c>
      <c r="R234" s="4">
        <v>1</v>
      </c>
      <c r="S234" s="4" t="str">
        <f>IF(E234="LOWONG","0","1")</f>
        <v>0</v>
      </c>
      <c r="T234" s="4">
        <f t="shared" si="53"/>
        <v>1</v>
      </c>
      <c r="U234" s="29"/>
      <c r="V234" s="30"/>
      <c r="W234" s="30"/>
      <c r="X234" s="30"/>
      <c r="Y234" s="30"/>
      <c r="Z234" s="30"/>
      <c r="AA234" s="30"/>
      <c r="AB234" s="29"/>
      <c r="AC234" s="29"/>
      <c r="AD234" s="37" t="str">
        <f t="shared" si="48"/>
        <v/>
      </c>
      <c r="AE234" s="3" t="str">
        <f t="shared" ca="1" si="46"/>
        <v/>
      </c>
      <c r="AF234" s="38" t="str">
        <f t="shared" si="49"/>
        <v/>
      </c>
    </row>
    <row r="235" spans="1:32" s="7" customFormat="1" ht="32.15" customHeight="1" x14ac:dyDescent="0.35">
      <c r="A235" s="26">
        <f t="shared" si="51"/>
        <v>219</v>
      </c>
      <c r="B235" s="27" t="s">
        <v>728</v>
      </c>
      <c r="C235" s="256" t="s">
        <v>749</v>
      </c>
      <c r="D235" s="257"/>
      <c r="E235" s="85" t="s">
        <v>1273</v>
      </c>
      <c r="F235" s="24" t="s">
        <v>43</v>
      </c>
      <c r="G235" s="86" t="s">
        <v>1274</v>
      </c>
      <c r="H235" s="4" t="s">
        <v>1275</v>
      </c>
      <c r="I235" s="30" t="s">
        <v>46</v>
      </c>
      <c r="J235" s="53">
        <v>46260</v>
      </c>
      <c r="K235" s="3" t="str">
        <f t="shared" ca="1" si="43"/>
        <v xml:space="preserve">0 Tahun 0 bulan </v>
      </c>
      <c r="L235" s="30" t="s">
        <v>346</v>
      </c>
      <c r="M235" s="47"/>
      <c r="N235" s="3" t="str">
        <f t="shared" ca="1" si="44"/>
        <v/>
      </c>
      <c r="O235" s="30"/>
      <c r="P235" s="4" t="s">
        <v>35</v>
      </c>
      <c r="Q235" s="4" t="str">
        <f t="shared" si="45"/>
        <v>Laki-Laki</v>
      </c>
      <c r="R235" s="4">
        <v>1</v>
      </c>
      <c r="S235" s="4" t="str">
        <f>IF(E235="LOWONG","0","1")</f>
        <v>1</v>
      </c>
      <c r="T235" s="4">
        <f t="shared" si="53"/>
        <v>0</v>
      </c>
      <c r="U235" s="29"/>
      <c r="V235" s="30" t="s">
        <v>50</v>
      </c>
      <c r="W235" s="30"/>
      <c r="X235" s="30"/>
      <c r="Y235" s="30"/>
      <c r="Z235" s="30"/>
      <c r="AA235" s="30"/>
      <c r="AB235" s="29"/>
      <c r="AC235" s="29"/>
      <c r="AD235" s="37">
        <f t="shared" si="48"/>
        <v>28083</v>
      </c>
      <c r="AE235" s="3" t="str">
        <f t="shared" ca="1" si="46"/>
        <v>49 Tahun 9 bulan 13 Hari</v>
      </c>
      <c r="AF235" s="38">
        <f t="shared" si="49"/>
        <v>50010</v>
      </c>
    </row>
    <row r="236" spans="1:32" s="7" customFormat="1" ht="32.15" customHeight="1" x14ac:dyDescent="0.35">
      <c r="A236" s="26">
        <f t="shared" si="51"/>
        <v>220</v>
      </c>
      <c r="B236" s="27" t="s">
        <v>728</v>
      </c>
      <c r="C236" s="26"/>
      <c r="D236" s="50" t="s">
        <v>752</v>
      </c>
      <c r="E236" s="24" t="s">
        <v>108</v>
      </c>
      <c r="F236" s="24"/>
      <c r="G236" s="3"/>
      <c r="H236" s="4"/>
      <c r="I236" s="4"/>
      <c r="J236" s="84"/>
      <c r="K236" s="3" t="str">
        <f t="shared" ca="1" si="43"/>
        <v/>
      </c>
      <c r="L236" s="30" t="s">
        <v>88</v>
      </c>
      <c r="M236" s="84" t="s">
        <v>753</v>
      </c>
      <c r="N236" s="3"/>
      <c r="O236" s="4"/>
      <c r="P236" s="4"/>
      <c r="Q236" s="4" t="str">
        <f t="shared" si="45"/>
        <v/>
      </c>
      <c r="R236" s="4">
        <v>1</v>
      </c>
      <c r="S236" s="4" t="str">
        <f>IF(E236="LOWONG","0","1")</f>
        <v>0</v>
      </c>
      <c r="T236" s="4">
        <f t="shared" si="53"/>
        <v>1</v>
      </c>
      <c r="U236" s="29"/>
      <c r="V236" s="30"/>
      <c r="W236" s="30"/>
      <c r="X236" s="30"/>
      <c r="Y236" s="30"/>
      <c r="Z236" s="30"/>
      <c r="AA236" s="30"/>
      <c r="AB236" s="29"/>
      <c r="AC236" s="29"/>
      <c r="AD236" s="37" t="str">
        <f t="shared" si="48"/>
        <v/>
      </c>
      <c r="AE236" s="3" t="str">
        <f t="shared" ca="1" si="46"/>
        <v/>
      </c>
      <c r="AF236" s="38" t="str">
        <f t="shared" si="49"/>
        <v/>
      </c>
    </row>
    <row r="237" spans="1:32" s="7" customFormat="1" ht="32.15" customHeight="1" x14ac:dyDescent="0.35">
      <c r="A237" s="26">
        <f t="shared" si="51"/>
        <v>221</v>
      </c>
      <c r="B237" s="27" t="s">
        <v>728</v>
      </c>
      <c r="C237" s="26"/>
      <c r="D237" s="50" t="s">
        <v>752</v>
      </c>
      <c r="E237" s="24" t="s">
        <v>754</v>
      </c>
      <c r="F237" s="24" t="s">
        <v>43</v>
      </c>
      <c r="G237" s="3" t="s">
        <v>755</v>
      </c>
      <c r="H237" s="4" t="s">
        <v>159</v>
      </c>
      <c r="I237" s="41" t="s">
        <v>46</v>
      </c>
      <c r="J237" s="81" t="s">
        <v>87</v>
      </c>
      <c r="K237" s="3" t="str">
        <f t="shared" ca="1" si="43"/>
        <v xml:space="preserve">4 Tahun 8 bulan </v>
      </c>
      <c r="L237" s="30" t="s">
        <v>88</v>
      </c>
      <c r="M237" s="81" t="s">
        <v>87</v>
      </c>
      <c r="N237" s="3" t="str">
        <f t="shared" ca="1" si="44"/>
        <v xml:space="preserve">4 Tahun 8 bulan </v>
      </c>
      <c r="O237" s="4"/>
      <c r="P237" s="4" t="s">
        <v>35</v>
      </c>
      <c r="Q237" s="4" t="str">
        <f t="shared" si="45"/>
        <v>Laki-Laki</v>
      </c>
      <c r="R237" s="4">
        <v>1</v>
      </c>
      <c r="S237" s="4" t="str">
        <f>IF(E237="LOWONG","0","1")</f>
        <v>1</v>
      </c>
      <c r="T237" s="4">
        <f t="shared" si="53"/>
        <v>0</v>
      </c>
      <c r="U237" s="29"/>
      <c r="V237" s="30" t="s">
        <v>50</v>
      </c>
      <c r="W237" s="30"/>
      <c r="X237" s="30"/>
      <c r="Y237" s="30"/>
      <c r="Z237" s="30"/>
      <c r="AA237" s="30"/>
      <c r="AB237" s="29"/>
      <c r="AC237" s="29"/>
      <c r="AD237" s="37">
        <f t="shared" si="48"/>
        <v>28789</v>
      </c>
      <c r="AE237" s="3" t="str">
        <f t="shared" ca="1" si="46"/>
        <v>47 Tahun 10 bulan 6 Hari</v>
      </c>
      <c r="AF237" s="38">
        <f t="shared" si="49"/>
        <v>50710</v>
      </c>
    </row>
    <row r="238" spans="1:32" s="6" customFormat="1" ht="32.15" customHeight="1" x14ac:dyDescent="0.35">
      <c r="A238" s="4"/>
      <c r="B238" s="32" t="s">
        <v>756</v>
      </c>
      <c r="C238" s="269" t="s">
        <v>757</v>
      </c>
      <c r="D238" s="270"/>
      <c r="E238" s="24"/>
      <c r="F238" s="24"/>
      <c r="G238" s="4"/>
      <c r="H238" s="4"/>
      <c r="I238" s="33"/>
      <c r="J238" s="34"/>
      <c r="K238" s="3" t="str">
        <f t="shared" ca="1" si="43"/>
        <v/>
      </c>
      <c r="L238" s="25"/>
      <c r="M238" s="34"/>
      <c r="N238" s="3" t="str">
        <f t="shared" ca="1" si="44"/>
        <v/>
      </c>
      <c r="O238" s="4"/>
      <c r="P238" s="4"/>
      <c r="Q238" s="4"/>
      <c r="R238" s="4"/>
      <c r="S238" s="4"/>
      <c r="T238" s="4"/>
      <c r="U238" s="35"/>
      <c r="V238" s="25"/>
      <c r="W238" s="25"/>
      <c r="X238" s="25"/>
      <c r="Y238" s="25"/>
      <c r="Z238" s="25"/>
      <c r="AA238" s="25"/>
      <c r="AB238" s="35"/>
      <c r="AC238" s="35"/>
      <c r="AD238" s="37" t="str">
        <f t="shared" si="48"/>
        <v/>
      </c>
      <c r="AE238" s="3" t="str">
        <f t="shared" ca="1" si="46"/>
        <v/>
      </c>
      <c r="AF238" s="38" t="str">
        <f t="shared" si="49"/>
        <v/>
      </c>
    </row>
    <row r="239" spans="1:32" s="7" customFormat="1" ht="33.75" customHeight="1" x14ac:dyDescent="0.35">
      <c r="A239" s="26">
        <f>A237+1</f>
        <v>222</v>
      </c>
      <c r="B239" s="32" t="s">
        <v>756</v>
      </c>
      <c r="C239" s="278" t="s">
        <v>758</v>
      </c>
      <c r="D239" s="279"/>
      <c r="E239" s="45" t="s">
        <v>2872</v>
      </c>
      <c r="F239" s="24" t="s">
        <v>43</v>
      </c>
      <c r="G239" s="44" t="s">
        <v>2873</v>
      </c>
      <c r="H239" s="4" t="s">
        <v>2874</v>
      </c>
      <c r="I239" s="4"/>
      <c r="J239" s="81"/>
      <c r="K239" s="3" t="str">
        <f t="shared" ca="1" si="43"/>
        <v/>
      </c>
      <c r="L239" s="30" t="s">
        <v>56</v>
      </c>
      <c r="M239" s="81"/>
      <c r="N239" s="3" t="str">
        <f t="shared" ca="1" si="44"/>
        <v/>
      </c>
      <c r="O239" s="36"/>
      <c r="P239" s="4" t="s">
        <v>35</v>
      </c>
      <c r="Q239" s="4" t="str">
        <f t="shared" si="45"/>
        <v>Laki-Laki</v>
      </c>
      <c r="R239" s="4">
        <v>1</v>
      </c>
      <c r="S239" s="4" t="str">
        <f t="shared" ref="S239:S259" si="55">IF(E239="LOWONG","0","1")</f>
        <v>1</v>
      </c>
      <c r="T239" s="4">
        <f t="shared" si="53"/>
        <v>0</v>
      </c>
      <c r="U239" s="29"/>
      <c r="V239" s="30" t="s">
        <v>50</v>
      </c>
      <c r="W239" s="30"/>
      <c r="X239" s="30"/>
      <c r="Y239" s="30"/>
      <c r="Z239" s="30"/>
      <c r="AA239" s="30"/>
      <c r="AB239" s="29"/>
      <c r="AC239" s="29"/>
      <c r="AD239" s="37">
        <f t="shared" si="48"/>
        <v>30075</v>
      </c>
      <c r="AE239" s="3" t="str">
        <f t="shared" ca="1" si="46"/>
        <v>44 Tahun 3 bulan 28 Hari</v>
      </c>
      <c r="AF239" s="38">
        <f t="shared" si="49"/>
        <v>52018</v>
      </c>
    </row>
    <row r="240" spans="1:32" s="7" customFormat="1" ht="30.75" customHeight="1" x14ac:dyDescent="0.35">
      <c r="A240" s="26">
        <f t="shared" si="51"/>
        <v>223</v>
      </c>
      <c r="B240" s="32" t="s">
        <v>756</v>
      </c>
      <c r="C240" s="256" t="s">
        <v>760</v>
      </c>
      <c r="D240" s="257"/>
      <c r="E240" s="24" t="s">
        <v>761</v>
      </c>
      <c r="F240" s="24" t="s">
        <v>43</v>
      </c>
      <c r="G240" s="3" t="s">
        <v>762</v>
      </c>
      <c r="H240" s="4" t="s">
        <v>410</v>
      </c>
      <c r="I240" s="4" t="s">
        <v>763</v>
      </c>
      <c r="J240" s="81">
        <v>45993</v>
      </c>
      <c r="K240" s="3" t="str">
        <f t="shared" ca="1" si="43"/>
        <v xml:space="preserve">0 Tahun 8 bulan </v>
      </c>
      <c r="L240" s="30" t="s">
        <v>79</v>
      </c>
      <c r="M240" s="47" t="s">
        <v>292</v>
      </c>
      <c r="N240" s="3" t="str">
        <f t="shared" ca="1" si="44"/>
        <v xml:space="preserve">7 Tahun 7 bulan </v>
      </c>
      <c r="O240" s="25"/>
      <c r="P240" s="4" t="s">
        <v>35</v>
      </c>
      <c r="Q240" s="4" t="str">
        <f t="shared" si="45"/>
        <v>Laki-Laki</v>
      </c>
      <c r="R240" s="4">
        <v>1</v>
      </c>
      <c r="S240" s="4" t="str">
        <f t="shared" si="55"/>
        <v>1</v>
      </c>
      <c r="T240" s="4">
        <f t="shared" si="53"/>
        <v>0</v>
      </c>
      <c r="U240" s="29"/>
      <c r="V240" s="30"/>
      <c r="W240" s="30"/>
      <c r="X240" s="30"/>
      <c r="Y240" s="30"/>
      <c r="Z240" s="30"/>
      <c r="AA240" s="30"/>
      <c r="AB240" s="29"/>
      <c r="AC240" s="29"/>
      <c r="AD240" s="37">
        <f t="shared" si="48"/>
        <v>31406</v>
      </c>
      <c r="AE240" s="3" t="str">
        <f t="shared" ca="1" si="46"/>
        <v>40 Tahun 8 bulan 7 Hari</v>
      </c>
      <c r="AF240" s="38">
        <f t="shared" si="49"/>
        <v>53328</v>
      </c>
    </row>
    <row r="241" spans="1:32" s="7" customFormat="1" ht="33.75" customHeight="1" x14ac:dyDescent="0.35">
      <c r="A241" s="26">
        <f t="shared" si="51"/>
        <v>224</v>
      </c>
      <c r="B241" s="4" t="s">
        <v>756</v>
      </c>
      <c r="C241" s="26"/>
      <c r="D241" s="50" t="s">
        <v>764</v>
      </c>
      <c r="E241" s="51" t="s">
        <v>765</v>
      </c>
      <c r="F241" s="24" t="s">
        <v>43</v>
      </c>
      <c r="G241" s="59" t="s">
        <v>766</v>
      </c>
      <c r="H241" s="4" t="s">
        <v>621</v>
      </c>
      <c r="I241" s="33" t="s">
        <v>86</v>
      </c>
      <c r="J241" s="47" t="s">
        <v>292</v>
      </c>
      <c r="K241" s="3" t="str">
        <f t="shared" ca="1" si="43"/>
        <v xml:space="preserve">7 Tahun 7 bulan </v>
      </c>
      <c r="L241" s="30" t="s">
        <v>200</v>
      </c>
      <c r="M241" s="47" t="s">
        <v>292</v>
      </c>
      <c r="N241" s="3" t="str">
        <f t="shared" ca="1" si="44"/>
        <v xml:space="preserve">7 Tahun 7 bulan </v>
      </c>
      <c r="O241" s="4"/>
      <c r="P241" s="4" t="s">
        <v>35</v>
      </c>
      <c r="Q241" s="4" t="str">
        <f t="shared" si="45"/>
        <v>Perempuan</v>
      </c>
      <c r="R241" s="4">
        <v>1</v>
      </c>
      <c r="S241" s="4" t="str">
        <f t="shared" si="55"/>
        <v>1</v>
      </c>
      <c r="T241" s="4">
        <f t="shared" si="53"/>
        <v>0</v>
      </c>
      <c r="U241" s="29"/>
      <c r="V241" s="30"/>
      <c r="W241" s="30"/>
      <c r="X241" s="30"/>
      <c r="Y241" s="30"/>
      <c r="Z241" s="30"/>
      <c r="AA241" s="30"/>
      <c r="AB241" s="29"/>
      <c r="AC241" s="29"/>
      <c r="AD241" s="37">
        <f t="shared" si="48"/>
        <v>25966</v>
      </c>
      <c r="AE241" s="3" t="str">
        <f t="shared" ca="1" si="46"/>
        <v>55 Tahun 6 bulan 30 Hari</v>
      </c>
      <c r="AF241" s="38">
        <f t="shared" si="49"/>
        <v>47908</v>
      </c>
    </row>
    <row r="242" spans="1:32" s="7" customFormat="1" ht="33.75" customHeight="1" x14ac:dyDescent="0.35">
      <c r="A242" s="26">
        <f t="shared" si="51"/>
        <v>225</v>
      </c>
      <c r="B242" s="4" t="s">
        <v>756</v>
      </c>
      <c r="C242" s="26"/>
      <c r="D242" s="50" t="s">
        <v>767</v>
      </c>
      <c r="E242" s="24" t="s">
        <v>108</v>
      </c>
      <c r="F242" s="24"/>
      <c r="G242" s="3"/>
      <c r="H242" s="56"/>
      <c r="I242" s="4"/>
      <c r="J242" s="84"/>
      <c r="K242" s="3" t="str">
        <f t="shared" ca="1" si="43"/>
        <v/>
      </c>
      <c r="L242" s="30" t="s">
        <v>88</v>
      </c>
      <c r="M242" s="84"/>
      <c r="N242" s="3" t="str">
        <f t="shared" ca="1" si="44"/>
        <v/>
      </c>
      <c r="O242" s="4"/>
      <c r="P242" s="4"/>
      <c r="Q242" s="4" t="str">
        <f t="shared" si="45"/>
        <v/>
      </c>
      <c r="R242" s="4">
        <v>1</v>
      </c>
      <c r="S242" s="4" t="str">
        <f t="shared" si="55"/>
        <v>0</v>
      </c>
      <c r="T242" s="4">
        <f t="shared" si="53"/>
        <v>1</v>
      </c>
      <c r="U242" s="29"/>
      <c r="V242" s="30"/>
      <c r="W242" s="30"/>
      <c r="X242" s="30"/>
      <c r="Y242" s="30"/>
      <c r="Z242" s="30"/>
      <c r="AA242" s="30"/>
      <c r="AB242" s="29"/>
      <c r="AC242" s="29"/>
      <c r="AD242" s="37" t="str">
        <f t="shared" si="48"/>
        <v/>
      </c>
      <c r="AE242" s="3" t="str">
        <f t="shared" ca="1" si="46"/>
        <v/>
      </c>
      <c r="AF242" s="38" t="str">
        <f t="shared" si="49"/>
        <v/>
      </c>
    </row>
    <row r="243" spans="1:32" s="7" customFormat="1" ht="33.75" customHeight="1" x14ac:dyDescent="0.35">
      <c r="A243" s="26">
        <f t="shared" si="51"/>
        <v>226</v>
      </c>
      <c r="B243" s="4" t="s">
        <v>756</v>
      </c>
      <c r="C243" s="26"/>
      <c r="D243" s="50" t="s">
        <v>768</v>
      </c>
      <c r="E243" s="87" t="s">
        <v>3072</v>
      </c>
      <c r="F243" s="24" t="s">
        <v>43</v>
      </c>
      <c r="G243" s="70" t="s">
        <v>3073</v>
      </c>
      <c r="H243" s="56" t="s">
        <v>3074</v>
      </c>
      <c r="I243" s="56" t="s">
        <v>46</v>
      </c>
      <c r="J243" s="53">
        <v>46260</v>
      </c>
      <c r="K243" s="3" t="str">
        <f t="shared" ca="1" si="43"/>
        <v xml:space="preserve">0 Tahun 0 bulan </v>
      </c>
      <c r="L243" s="30" t="s">
        <v>200</v>
      </c>
      <c r="M243" s="47"/>
      <c r="N243" s="3" t="str">
        <f t="shared" ca="1" si="44"/>
        <v/>
      </c>
      <c r="O243" s="4"/>
      <c r="P243" s="4" t="s">
        <v>35</v>
      </c>
      <c r="Q243" s="4" t="str">
        <f t="shared" si="45"/>
        <v>Perempuan</v>
      </c>
      <c r="R243" s="4">
        <f t="shared" si="52"/>
        <v>1</v>
      </c>
      <c r="S243" s="4" t="str">
        <f t="shared" si="55"/>
        <v>1</v>
      </c>
      <c r="T243" s="4">
        <f t="shared" si="53"/>
        <v>0</v>
      </c>
      <c r="U243" s="29"/>
      <c r="V243" s="30" t="s">
        <v>50</v>
      </c>
      <c r="W243" s="30"/>
      <c r="X243" s="30"/>
      <c r="Y243" s="30"/>
      <c r="Z243" s="30"/>
      <c r="AA243" s="30"/>
      <c r="AB243" s="29"/>
      <c r="AC243" s="29"/>
      <c r="AD243" s="37">
        <f t="shared" si="48"/>
        <v>28433</v>
      </c>
      <c r="AE243" s="3" t="str">
        <f t="shared" ca="1" si="46"/>
        <v>48 Tahun 9 bulan 28 Hari</v>
      </c>
      <c r="AF243" s="38">
        <f t="shared" si="49"/>
        <v>50375</v>
      </c>
    </row>
    <row r="244" spans="1:32" s="7" customFormat="1" ht="40.5" customHeight="1" x14ac:dyDescent="0.35">
      <c r="A244" s="26">
        <f t="shared" si="51"/>
        <v>227</v>
      </c>
      <c r="B244" s="32" t="s">
        <v>756</v>
      </c>
      <c r="C244" s="256" t="s">
        <v>769</v>
      </c>
      <c r="D244" s="257"/>
      <c r="E244" s="24" t="s">
        <v>770</v>
      </c>
      <c r="F244" s="24" t="s">
        <v>43</v>
      </c>
      <c r="G244" s="4" t="s">
        <v>771</v>
      </c>
      <c r="H244" s="4" t="s">
        <v>181</v>
      </c>
      <c r="I244" s="4" t="s">
        <v>772</v>
      </c>
      <c r="J244" s="81" t="s">
        <v>237</v>
      </c>
      <c r="K244" s="3" t="str">
        <f t="shared" ca="1" si="43"/>
        <v xml:space="preserve">4 Tahun 7 bulan </v>
      </c>
      <c r="L244" s="30" t="s">
        <v>346</v>
      </c>
      <c r="M244" s="81" t="s">
        <v>237</v>
      </c>
      <c r="N244" s="3" t="str">
        <f t="shared" ca="1" si="44"/>
        <v xml:space="preserve">4 Tahun 7 bulan </v>
      </c>
      <c r="O244" s="35" t="s">
        <v>128</v>
      </c>
      <c r="P244" s="4" t="s">
        <v>35</v>
      </c>
      <c r="Q244" s="4" t="str">
        <f t="shared" si="45"/>
        <v>Perempuan</v>
      </c>
      <c r="R244" s="4">
        <f t="shared" si="52"/>
        <v>1</v>
      </c>
      <c r="S244" s="4" t="str">
        <f t="shared" si="55"/>
        <v>1</v>
      </c>
      <c r="T244" s="4">
        <f t="shared" si="53"/>
        <v>0</v>
      </c>
      <c r="U244" s="29"/>
      <c r="V244" s="30"/>
      <c r="W244" s="30"/>
      <c r="X244" s="30"/>
      <c r="Y244" s="30"/>
      <c r="Z244" s="30"/>
      <c r="AA244" s="30"/>
      <c r="AB244" s="29"/>
      <c r="AC244" s="29"/>
      <c r="AD244" s="37">
        <f t="shared" si="48"/>
        <v>26965</v>
      </c>
      <c r="AE244" s="3" t="str">
        <f t="shared" ca="1" si="46"/>
        <v>52 Tahun 10 bulan 4 Hari</v>
      </c>
      <c r="AF244" s="38">
        <f t="shared" si="49"/>
        <v>48884</v>
      </c>
    </row>
    <row r="245" spans="1:32" s="7" customFormat="1" ht="40.5" customHeight="1" x14ac:dyDescent="0.35">
      <c r="A245" s="26">
        <f t="shared" si="51"/>
        <v>228</v>
      </c>
      <c r="B245" s="4" t="s">
        <v>756</v>
      </c>
      <c r="C245" s="26"/>
      <c r="D245" s="50" t="s">
        <v>773</v>
      </c>
      <c r="E245" s="45" t="s">
        <v>774</v>
      </c>
      <c r="F245" s="24" t="s">
        <v>43</v>
      </c>
      <c r="G245" s="44" t="s">
        <v>775</v>
      </c>
      <c r="H245" s="36" t="s">
        <v>410</v>
      </c>
      <c r="I245" s="48" t="s">
        <v>86</v>
      </c>
      <c r="J245" s="81" t="s">
        <v>87</v>
      </c>
      <c r="K245" s="3" t="str">
        <f t="shared" ca="1" si="43"/>
        <v xml:space="preserve">4 Tahun 8 bulan </v>
      </c>
      <c r="L245" s="30" t="s">
        <v>88</v>
      </c>
      <c r="M245" s="81" t="s">
        <v>87</v>
      </c>
      <c r="N245" s="3" t="str">
        <f t="shared" ca="1" si="44"/>
        <v xml:space="preserve">4 Tahun 8 bulan </v>
      </c>
      <c r="O245" s="36"/>
      <c r="P245" s="4" t="s">
        <v>35</v>
      </c>
      <c r="Q245" s="4" t="str">
        <f t="shared" si="45"/>
        <v>Perempuan</v>
      </c>
      <c r="R245" s="4">
        <f t="shared" si="52"/>
        <v>1</v>
      </c>
      <c r="S245" s="4" t="str">
        <f t="shared" si="55"/>
        <v>1</v>
      </c>
      <c r="T245" s="4">
        <f t="shared" si="53"/>
        <v>0</v>
      </c>
      <c r="U245" s="29"/>
      <c r="V245" s="30"/>
      <c r="W245" s="30"/>
      <c r="X245" s="30"/>
      <c r="Y245" s="30"/>
      <c r="Z245" s="30"/>
      <c r="AA245" s="30"/>
      <c r="AB245" s="29"/>
      <c r="AC245" s="29"/>
      <c r="AD245" s="37">
        <f t="shared" si="48"/>
        <v>25851</v>
      </c>
      <c r="AE245" s="3" t="str">
        <f t="shared" ca="1" si="46"/>
        <v>55 Tahun 10 bulan 22 Hari</v>
      </c>
      <c r="AF245" s="38">
        <f t="shared" si="49"/>
        <v>47788</v>
      </c>
    </row>
    <row r="246" spans="1:32" s="7" customFormat="1" ht="40.5" customHeight="1" x14ac:dyDescent="0.35">
      <c r="A246" s="26">
        <f t="shared" si="51"/>
        <v>229</v>
      </c>
      <c r="B246" s="4" t="s">
        <v>756</v>
      </c>
      <c r="C246" s="26"/>
      <c r="D246" s="50" t="s">
        <v>773</v>
      </c>
      <c r="E246" s="24" t="s">
        <v>776</v>
      </c>
      <c r="F246" s="24" t="s">
        <v>43</v>
      </c>
      <c r="G246" s="3" t="s">
        <v>777</v>
      </c>
      <c r="H246" s="4" t="s">
        <v>545</v>
      </c>
      <c r="I246" s="41" t="s">
        <v>778</v>
      </c>
      <c r="J246" s="81" t="s">
        <v>87</v>
      </c>
      <c r="K246" s="3" t="str">
        <f t="shared" ca="1" si="43"/>
        <v xml:space="preserve">4 Tahun 8 bulan </v>
      </c>
      <c r="L246" s="30" t="s">
        <v>88</v>
      </c>
      <c r="M246" s="81" t="s">
        <v>87</v>
      </c>
      <c r="N246" s="3" t="str">
        <f t="shared" ca="1" si="44"/>
        <v xml:space="preserve">4 Tahun 8 bulan </v>
      </c>
      <c r="O246" s="35"/>
      <c r="P246" s="4" t="s">
        <v>35</v>
      </c>
      <c r="Q246" s="4" t="str">
        <f t="shared" si="45"/>
        <v>Perempuan</v>
      </c>
      <c r="R246" s="4">
        <f t="shared" si="52"/>
        <v>1</v>
      </c>
      <c r="S246" s="4" t="str">
        <f t="shared" si="55"/>
        <v>1</v>
      </c>
      <c r="T246" s="4">
        <f t="shared" si="53"/>
        <v>0</v>
      </c>
      <c r="U246" s="29"/>
      <c r="V246" s="30"/>
      <c r="W246" s="30"/>
      <c r="X246" s="30"/>
      <c r="Y246" s="30"/>
      <c r="Z246" s="30"/>
      <c r="AA246" s="30"/>
      <c r="AB246" s="29"/>
      <c r="AC246" s="29"/>
      <c r="AD246" s="37">
        <f t="shared" si="48"/>
        <v>26455</v>
      </c>
      <c r="AE246" s="3" t="str">
        <f t="shared" ca="1" si="46"/>
        <v>54 Tahun 2 bulan 27 Hari</v>
      </c>
      <c r="AF246" s="38">
        <f t="shared" si="49"/>
        <v>48396</v>
      </c>
    </row>
    <row r="247" spans="1:32" s="7" customFormat="1" ht="40.5" customHeight="1" x14ac:dyDescent="0.35">
      <c r="A247" s="26">
        <f t="shared" si="51"/>
        <v>230</v>
      </c>
      <c r="B247" s="24" t="s">
        <v>43</v>
      </c>
      <c r="C247" s="26"/>
      <c r="D247" s="50" t="s">
        <v>773</v>
      </c>
      <c r="E247" s="24" t="s">
        <v>779</v>
      </c>
      <c r="F247" s="24" t="s">
        <v>43</v>
      </c>
      <c r="G247" s="3" t="s">
        <v>780</v>
      </c>
      <c r="H247" s="4" t="s">
        <v>781</v>
      </c>
      <c r="I247" s="33" t="s">
        <v>46</v>
      </c>
      <c r="J247" s="81" t="s">
        <v>87</v>
      </c>
      <c r="K247" s="3" t="str">
        <f t="shared" ca="1" si="43"/>
        <v xml:space="preserve">4 Tahun 8 bulan </v>
      </c>
      <c r="L247" s="30" t="s">
        <v>88</v>
      </c>
      <c r="M247" s="81" t="s">
        <v>87</v>
      </c>
      <c r="N247" s="3" t="str">
        <f t="shared" ca="1" si="44"/>
        <v xml:space="preserve">4 Tahun 8 bulan </v>
      </c>
      <c r="O247" s="4"/>
      <c r="P247" s="4" t="s">
        <v>35</v>
      </c>
      <c r="Q247" s="4" t="str">
        <f t="shared" si="45"/>
        <v>Perempuan</v>
      </c>
      <c r="R247" s="4">
        <f t="shared" si="52"/>
        <v>1</v>
      </c>
      <c r="S247" s="4" t="str">
        <f t="shared" si="55"/>
        <v>1</v>
      </c>
      <c r="T247" s="4">
        <f t="shared" si="53"/>
        <v>0</v>
      </c>
      <c r="U247" s="29"/>
      <c r="V247" s="30"/>
      <c r="W247" s="30"/>
      <c r="X247" s="30"/>
      <c r="Y247" s="30"/>
      <c r="Z247" s="30"/>
      <c r="AA247" s="30"/>
      <c r="AB247" s="29"/>
      <c r="AC247" s="29"/>
      <c r="AD247" s="37">
        <f t="shared" si="48"/>
        <v>27306</v>
      </c>
      <c r="AE247" s="3" t="str">
        <f t="shared" ca="1" si="46"/>
        <v>51 Tahun 10 bulan 28 Hari</v>
      </c>
      <c r="AF247" s="38">
        <f t="shared" si="49"/>
        <v>49249</v>
      </c>
    </row>
    <row r="248" spans="1:32" s="7" customFormat="1" ht="39" customHeight="1" x14ac:dyDescent="0.35">
      <c r="A248" s="26">
        <f t="shared" si="51"/>
        <v>231</v>
      </c>
      <c r="B248" s="32" t="s">
        <v>756</v>
      </c>
      <c r="C248" s="256" t="s">
        <v>782</v>
      </c>
      <c r="D248" s="257"/>
      <c r="E248" s="24" t="s">
        <v>783</v>
      </c>
      <c r="F248" s="24" t="s">
        <v>43</v>
      </c>
      <c r="G248" s="4" t="s">
        <v>784</v>
      </c>
      <c r="H248" s="4" t="s">
        <v>385</v>
      </c>
      <c r="I248" s="33" t="s">
        <v>785</v>
      </c>
      <c r="J248" s="81" t="s">
        <v>354</v>
      </c>
      <c r="K248" s="3" t="str">
        <f t="shared" ca="1" si="43"/>
        <v xml:space="preserve">6 Tahun 9 bulan </v>
      </c>
      <c r="L248" s="30" t="s">
        <v>346</v>
      </c>
      <c r="M248" s="81" t="s">
        <v>354</v>
      </c>
      <c r="N248" s="3" t="str">
        <f t="shared" ca="1" si="44"/>
        <v xml:space="preserve">6 Tahun 9 bulan </v>
      </c>
      <c r="O248" s="4"/>
      <c r="P248" s="4" t="s">
        <v>35</v>
      </c>
      <c r="Q248" s="4" t="str">
        <f t="shared" si="45"/>
        <v>Perempuan</v>
      </c>
      <c r="R248" s="4">
        <f t="shared" si="52"/>
        <v>1</v>
      </c>
      <c r="S248" s="4" t="str">
        <f t="shared" si="55"/>
        <v>1</v>
      </c>
      <c r="T248" s="4">
        <f t="shared" si="53"/>
        <v>0</v>
      </c>
      <c r="U248" s="29"/>
      <c r="V248" s="30"/>
      <c r="W248" s="30"/>
      <c r="X248" s="30"/>
      <c r="Y248" s="30"/>
      <c r="Z248" s="30"/>
      <c r="AA248" s="30"/>
      <c r="AB248" s="29"/>
      <c r="AC248" s="29"/>
      <c r="AD248" s="37">
        <f t="shared" si="48"/>
        <v>27760</v>
      </c>
      <c r="AE248" s="3" t="str">
        <f t="shared" ca="1" si="46"/>
        <v>50 Tahun 8 bulan 0 Hari</v>
      </c>
      <c r="AF248" s="38">
        <f t="shared" si="49"/>
        <v>49706</v>
      </c>
    </row>
    <row r="249" spans="1:32" s="7" customFormat="1" ht="39" customHeight="1" x14ac:dyDescent="0.35">
      <c r="A249" s="26">
        <f t="shared" si="51"/>
        <v>232</v>
      </c>
      <c r="B249" s="4" t="s">
        <v>756</v>
      </c>
      <c r="C249" s="26"/>
      <c r="D249" s="50" t="s">
        <v>773</v>
      </c>
      <c r="E249" s="51" t="s">
        <v>786</v>
      </c>
      <c r="F249" s="24" t="s">
        <v>43</v>
      </c>
      <c r="G249" s="59" t="s">
        <v>787</v>
      </c>
      <c r="H249" s="4" t="s">
        <v>788</v>
      </c>
      <c r="I249" s="33" t="s">
        <v>86</v>
      </c>
      <c r="J249" s="81" t="s">
        <v>87</v>
      </c>
      <c r="K249" s="3" t="str">
        <f t="shared" ca="1" si="43"/>
        <v xml:space="preserve">4 Tahun 8 bulan </v>
      </c>
      <c r="L249" s="30" t="s">
        <v>88</v>
      </c>
      <c r="M249" s="81" t="s">
        <v>87</v>
      </c>
      <c r="N249" s="3" t="str">
        <f t="shared" ca="1" si="44"/>
        <v xml:space="preserve">4 Tahun 8 bulan </v>
      </c>
      <c r="O249" s="4"/>
      <c r="P249" s="4" t="s">
        <v>35</v>
      </c>
      <c r="Q249" s="4" t="str">
        <f t="shared" si="45"/>
        <v>Perempuan</v>
      </c>
      <c r="R249" s="4">
        <f t="shared" si="52"/>
        <v>1</v>
      </c>
      <c r="S249" s="4" t="str">
        <f t="shared" si="55"/>
        <v>1</v>
      </c>
      <c r="T249" s="4">
        <f t="shared" si="53"/>
        <v>0</v>
      </c>
      <c r="U249" s="29"/>
      <c r="V249" s="30"/>
      <c r="W249" s="30"/>
      <c r="X249" s="30"/>
      <c r="Y249" s="30"/>
      <c r="Z249" s="30"/>
      <c r="AA249" s="30"/>
      <c r="AB249" s="29"/>
      <c r="AC249" s="29"/>
      <c r="AD249" s="37">
        <f t="shared" si="48"/>
        <v>26790</v>
      </c>
      <c r="AE249" s="3" t="str">
        <f t="shared" ca="1" si="46"/>
        <v>53 Tahun 3 bulan 26 Hari</v>
      </c>
      <c r="AF249" s="38">
        <f t="shared" si="49"/>
        <v>48731</v>
      </c>
    </row>
    <row r="250" spans="1:32" s="7" customFormat="1" ht="36.75" customHeight="1" x14ac:dyDescent="0.35">
      <c r="A250" s="26">
        <f t="shared" si="51"/>
        <v>233</v>
      </c>
      <c r="B250" s="4" t="s">
        <v>756</v>
      </c>
      <c r="C250" s="26"/>
      <c r="D250" s="50" t="s">
        <v>773</v>
      </c>
      <c r="E250" s="45" t="s">
        <v>789</v>
      </c>
      <c r="F250" s="24" t="s">
        <v>43</v>
      </c>
      <c r="G250" s="44" t="s">
        <v>790</v>
      </c>
      <c r="H250" s="4" t="s">
        <v>788</v>
      </c>
      <c r="I250" s="33" t="s">
        <v>86</v>
      </c>
      <c r="J250" s="81" t="s">
        <v>87</v>
      </c>
      <c r="K250" s="3" t="str">
        <f t="shared" ca="1" si="43"/>
        <v xml:space="preserve">4 Tahun 8 bulan </v>
      </c>
      <c r="L250" s="30" t="s">
        <v>88</v>
      </c>
      <c r="M250" s="81" t="s">
        <v>87</v>
      </c>
      <c r="N250" s="3" t="str">
        <f t="shared" ca="1" si="44"/>
        <v xml:space="preserve">4 Tahun 8 bulan </v>
      </c>
      <c r="O250" s="4"/>
      <c r="P250" s="4" t="s">
        <v>35</v>
      </c>
      <c r="Q250" s="4" t="str">
        <f t="shared" si="45"/>
        <v>Perempuan</v>
      </c>
      <c r="R250" s="4">
        <f t="shared" si="52"/>
        <v>1</v>
      </c>
      <c r="S250" s="4" t="str">
        <f t="shared" si="55"/>
        <v>1</v>
      </c>
      <c r="T250" s="4">
        <f t="shared" si="53"/>
        <v>0</v>
      </c>
      <c r="U250" s="29"/>
      <c r="V250" s="30" t="s">
        <v>50</v>
      </c>
      <c r="W250" s="30"/>
      <c r="X250" s="30"/>
      <c r="Y250" s="30"/>
      <c r="Z250" s="30"/>
      <c r="AA250" s="30"/>
      <c r="AB250" s="29"/>
      <c r="AC250" s="29"/>
      <c r="AD250" s="37">
        <f t="shared" si="48"/>
        <v>29469</v>
      </c>
      <c r="AE250" s="3" t="str">
        <f t="shared" ca="1" si="46"/>
        <v>45 Tahun 11 bulan 27 Hari</v>
      </c>
      <c r="AF250" s="38">
        <f t="shared" si="49"/>
        <v>51410</v>
      </c>
    </row>
    <row r="251" spans="1:32" s="7" customFormat="1" ht="30" x14ac:dyDescent="0.35">
      <c r="A251" s="26">
        <f t="shared" si="51"/>
        <v>234</v>
      </c>
      <c r="B251" s="4" t="s">
        <v>756</v>
      </c>
      <c r="C251" s="26"/>
      <c r="D251" s="50" t="s">
        <v>773</v>
      </c>
      <c r="E251" s="24" t="s">
        <v>108</v>
      </c>
      <c r="F251" s="24"/>
      <c r="G251" s="3"/>
      <c r="H251" s="4"/>
      <c r="I251" s="41"/>
      <c r="J251" s="84"/>
      <c r="K251" s="3" t="str">
        <f t="shared" ca="1" si="43"/>
        <v/>
      </c>
      <c r="L251" s="30" t="s">
        <v>88</v>
      </c>
      <c r="M251" s="84"/>
      <c r="N251" s="3" t="str">
        <f t="shared" ca="1" si="44"/>
        <v/>
      </c>
      <c r="O251" s="4"/>
      <c r="P251" s="4"/>
      <c r="Q251" s="4" t="str">
        <f t="shared" si="45"/>
        <v/>
      </c>
      <c r="R251" s="4">
        <f t="shared" si="52"/>
        <v>1</v>
      </c>
      <c r="S251" s="4" t="str">
        <f t="shared" si="55"/>
        <v>0</v>
      </c>
      <c r="T251" s="4">
        <f t="shared" si="53"/>
        <v>1</v>
      </c>
      <c r="U251" s="29"/>
      <c r="V251" s="30"/>
      <c r="W251" s="30"/>
      <c r="X251" s="30"/>
      <c r="Y251" s="30"/>
      <c r="Z251" s="30"/>
      <c r="AA251" s="30"/>
      <c r="AB251" s="29"/>
      <c r="AC251" s="29"/>
      <c r="AD251" s="37" t="str">
        <f t="shared" si="48"/>
        <v/>
      </c>
      <c r="AE251" s="3" t="str">
        <f t="shared" ca="1" si="46"/>
        <v/>
      </c>
      <c r="AF251" s="38" t="str">
        <f t="shared" si="49"/>
        <v/>
      </c>
    </row>
    <row r="252" spans="1:32" s="7" customFormat="1" ht="40.5" customHeight="1" x14ac:dyDescent="0.35">
      <c r="A252" s="26">
        <f t="shared" si="51"/>
        <v>235</v>
      </c>
      <c r="B252" s="32" t="s">
        <v>756</v>
      </c>
      <c r="C252" s="256" t="s">
        <v>791</v>
      </c>
      <c r="D252" s="257"/>
      <c r="E252" s="24" t="s">
        <v>792</v>
      </c>
      <c r="F252" s="24" t="s">
        <v>43</v>
      </c>
      <c r="G252" s="3" t="s">
        <v>793</v>
      </c>
      <c r="H252" s="4" t="s">
        <v>794</v>
      </c>
      <c r="I252" s="33" t="s">
        <v>118</v>
      </c>
      <c r="J252" s="81" t="s">
        <v>237</v>
      </c>
      <c r="K252" s="3" t="str">
        <f t="shared" ca="1" si="43"/>
        <v xml:space="preserve">4 Tahun 7 bulan </v>
      </c>
      <c r="L252" s="30" t="s">
        <v>346</v>
      </c>
      <c r="M252" s="81" t="s">
        <v>237</v>
      </c>
      <c r="N252" s="3" t="str">
        <f t="shared" ca="1" si="44"/>
        <v xml:space="preserve">4 Tahun 7 bulan </v>
      </c>
      <c r="O252" s="4"/>
      <c r="P252" s="4" t="s">
        <v>35</v>
      </c>
      <c r="Q252" s="4" t="str">
        <f t="shared" si="45"/>
        <v>Laki-Laki</v>
      </c>
      <c r="R252" s="4">
        <f t="shared" si="52"/>
        <v>1</v>
      </c>
      <c r="S252" s="4" t="str">
        <f t="shared" si="55"/>
        <v>1</v>
      </c>
      <c r="T252" s="4">
        <f t="shared" si="53"/>
        <v>0</v>
      </c>
      <c r="U252" s="29"/>
      <c r="V252" s="30" t="s">
        <v>50</v>
      </c>
      <c r="W252" s="30"/>
      <c r="X252" s="30"/>
      <c r="Y252" s="30"/>
      <c r="Z252" s="30"/>
      <c r="AA252" s="30"/>
      <c r="AB252" s="29"/>
      <c r="AC252" s="29"/>
      <c r="AD252" s="37">
        <f t="shared" si="48"/>
        <v>25548</v>
      </c>
      <c r="AE252" s="3" t="str">
        <f t="shared" ca="1" si="46"/>
        <v>56 Tahun 8 bulan 21 Hari</v>
      </c>
      <c r="AF252" s="38">
        <f t="shared" si="49"/>
        <v>47484</v>
      </c>
    </row>
    <row r="253" spans="1:32" s="7" customFormat="1" ht="38.25" customHeight="1" x14ac:dyDescent="0.35">
      <c r="A253" s="26">
        <f t="shared" si="51"/>
        <v>236</v>
      </c>
      <c r="B253" s="4" t="s">
        <v>756</v>
      </c>
      <c r="C253" s="26"/>
      <c r="D253" s="50" t="s">
        <v>795</v>
      </c>
      <c r="E253" s="58" t="s">
        <v>108</v>
      </c>
      <c r="F253" s="58"/>
      <c r="G253" s="29"/>
      <c r="H253" s="29"/>
      <c r="I253" s="29"/>
      <c r="J253" s="88"/>
      <c r="K253" s="3" t="str">
        <f t="shared" ca="1" si="43"/>
        <v/>
      </c>
      <c r="L253" s="30" t="s">
        <v>88</v>
      </c>
      <c r="M253" s="88"/>
      <c r="N253" s="3" t="str">
        <f t="shared" ca="1" si="44"/>
        <v/>
      </c>
      <c r="O253" s="29"/>
      <c r="P253" s="29"/>
      <c r="Q253" s="4" t="str">
        <f t="shared" si="45"/>
        <v/>
      </c>
      <c r="R253" s="4">
        <f t="shared" si="52"/>
        <v>1</v>
      </c>
      <c r="S253" s="4" t="str">
        <f t="shared" si="55"/>
        <v>0</v>
      </c>
      <c r="T253" s="4">
        <f t="shared" si="53"/>
        <v>1</v>
      </c>
      <c r="U253" s="29"/>
      <c r="V253" s="30"/>
      <c r="W253" s="30"/>
      <c r="X253" s="30"/>
      <c r="Y253" s="30"/>
      <c r="Z253" s="30"/>
      <c r="AA253" s="30"/>
      <c r="AB253" s="29"/>
      <c r="AC253" s="29"/>
      <c r="AD253" s="37" t="str">
        <f t="shared" si="48"/>
        <v/>
      </c>
      <c r="AE253" s="3" t="str">
        <f t="shared" ca="1" si="46"/>
        <v/>
      </c>
      <c r="AF253" s="38" t="str">
        <f t="shared" si="49"/>
        <v/>
      </c>
    </row>
    <row r="254" spans="1:32" s="7" customFormat="1" ht="38.25" customHeight="1" x14ac:dyDescent="0.35">
      <c r="A254" s="26">
        <f t="shared" si="51"/>
        <v>237</v>
      </c>
      <c r="B254" s="4" t="s">
        <v>756</v>
      </c>
      <c r="C254" s="26"/>
      <c r="D254" s="50" t="s">
        <v>795</v>
      </c>
      <c r="E254" s="24" t="s">
        <v>796</v>
      </c>
      <c r="F254" s="24" t="s">
        <v>43</v>
      </c>
      <c r="G254" s="4" t="s">
        <v>797</v>
      </c>
      <c r="H254" s="4" t="s">
        <v>788</v>
      </c>
      <c r="I254" s="33" t="s">
        <v>86</v>
      </c>
      <c r="J254" s="81" t="s">
        <v>87</v>
      </c>
      <c r="K254" s="3" t="str">
        <f t="shared" ca="1" si="43"/>
        <v xml:space="preserve">4 Tahun 8 bulan </v>
      </c>
      <c r="L254" s="30" t="s">
        <v>88</v>
      </c>
      <c r="M254" s="81" t="s">
        <v>87</v>
      </c>
      <c r="N254" s="3" t="str">
        <f t="shared" ca="1" si="44"/>
        <v xml:space="preserve">4 Tahun 8 bulan </v>
      </c>
      <c r="O254" s="4"/>
      <c r="P254" s="4" t="s">
        <v>35</v>
      </c>
      <c r="Q254" s="4" t="str">
        <f t="shared" si="45"/>
        <v>Perempuan</v>
      </c>
      <c r="R254" s="4">
        <f t="shared" si="52"/>
        <v>1</v>
      </c>
      <c r="S254" s="4" t="str">
        <f t="shared" si="55"/>
        <v>1</v>
      </c>
      <c r="T254" s="4">
        <f t="shared" si="53"/>
        <v>0</v>
      </c>
      <c r="U254" s="29"/>
      <c r="V254" s="30"/>
      <c r="W254" s="30"/>
      <c r="X254" s="30"/>
      <c r="Y254" s="30"/>
      <c r="Z254" s="30"/>
      <c r="AA254" s="30"/>
      <c r="AB254" s="29"/>
      <c r="AC254" s="29"/>
      <c r="AD254" s="37">
        <f t="shared" si="48"/>
        <v>28255</v>
      </c>
      <c r="AE254" s="3" t="str">
        <f t="shared" ca="1" si="46"/>
        <v>49 Tahun 3 bulan 22 Hari</v>
      </c>
      <c r="AF254" s="38">
        <f t="shared" si="49"/>
        <v>50192</v>
      </c>
    </row>
    <row r="255" spans="1:32" s="7" customFormat="1" ht="38.25" customHeight="1" x14ac:dyDescent="0.35">
      <c r="A255" s="26">
        <f t="shared" si="51"/>
        <v>238</v>
      </c>
      <c r="B255" s="4" t="s">
        <v>756</v>
      </c>
      <c r="C255" s="26"/>
      <c r="D255" s="50" t="s">
        <v>795</v>
      </c>
      <c r="E255" s="51" t="s">
        <v>798</v>
      </c>
      <c r="F255" s="24" t="s">
        <v>43</v>
      </c>
      <c r="G255" s="59" t="s">
        <v>799</v>
      </c>
      <c r="H255" s="36" t="s">
        <v>800</v>
      </c>
      <c r="I255" s="33" t="s">
        <v>86</v>
      </c>
      <c r="J255" s="81" t="s">
        <v>87</v>
      </c>
      <c r="K255" s="3" t="str">
        <f t="shared" ca="1" si="43"/>
        <v xml:space="preserve">4 Tahun 8 bulan </v>
      </c>
      <c r="L255" s="30" t="s">
        <v>88</v>
      </c>
      <c r="M255" s="81" t="s">
        <v>87</v>
      </c>
      <c r="N255" s="3" t="str">
        <f t="shared" ca="1" si="44"/>
        <v xml:space="preserve">4 Tahun 8 bulan </v>
      </c>
      <c r="O255" s="4"/>
      <c r="P255" s="4" t="s">
        <v>35</v>
      </c>
      <c r="Q255" s="4" t="str">
        <f t="shared" si="45"/>
        <v>Perempuan</v>
      </c>
      <c r="R255" s="4">
        <f t="shared" si="52"/>
        <v>1</v>
      </c>
      <c r="S255" s="4" t="str">
        <f t="shared" si="55"/>
        <v>1</v>
      </c>
      <c r="T255" s="4">
        <f t="shared" si="53"/>
        <v>0</v>
      </c>
      <c r="U255" s="29"/>
      <c r="V255" s="30"/>
      <c r="W255" s="30"/>
      <c r="X255" s="30"/>
      <c r="Y255" s="30"/>
      <c r="Z255" s="30"/>
      <c r="AA255" s="30"/>
      <c r="AB255" s="29"/>
      <c r="AC255" s="29"/>
      <c r="AD255" s="37">
        <f t="shared" si="48"/>
        <v>31426</v>
      </c>
      <c r="AE255" s="3" t="str">
        <f t="shared" ca="1" si="46"/>
        <v>40 Tahun 7 bulan 18 Hari</v>
      </c>
      <c r="AF255" s="38">
        <f t="shared" si="49"/>
        <v>53359</v>
      </c>
    </row>
    <row r="256" spans="1:32" s="7" customFormat="1" ht="35.25" customHeight="1" x14ac:dyDescent="0.35">
      <c r="A256" s="26">
        <f t="shared" si="51"/>
        <v>239</v>
      </c>
      <c r="B256" s="32" t="s">
        <v>756</v>
      </c>
      <c r="C256" s="256" t="s">
        <v>801</v>
      </c>
      <c r="D256" s="257"/>
      <c r="E256" s="24" t="s">
        <v>802</v>
      </c>
      <c r="F256" s="24" t="s">
        <v>43</v>
      </c>
      <c r="G256" s="3" t="s">
        <v>803</v>
      </c>
      <c r="H256" s="4" t="s">
        <v>132</v>
      </c>
      <c r="I256" s="4" t="s">
        <v>804</v>
      </c>
      <c r="J256" s="5" t="s">
        <v>98</v>
      </c>
      <c r="K256" s="3" t="str">
        <f t="shared" ca="1" si="43"/>
        <v xml:space="preserve">3 Tahun 0 bulan </v>
      </c>
      <c r="L256" s="30" t="s">
        <v>346</v>
      </c>
      <c r="M256" s="5" t="s">
        <v>98</v>
      </c>
      <c r="N256" s="3" t="str">
        <f t="shared" ca="1" si="44"/>
        <v xml:space="preserve">3 Tahun 0 bulan </v>
      </c>
      <c r="O256" s="4"/>
      <c r="P256" s="4" t="s">
        <v>35</v>
      </c>
      <c r="Q256" s="4" t="str">
        <f t="shared" si="45"/>
        <v>Laki-Laki</v>
      </c>
      <c r="R256" s="4">
        <f t="shared" si="52"/>
        <v>1</v>
      </c>
      <c r="S256" s="4" t="str">
        <f t="shared" si="55"/>
        <v>1</v>
      </c>
      <c r="T256" s="4">
        <f t="shared" si="53"/>
        <v>0</v>
      </c>
      <c r="U256" s="29"/>
      <c r="V256" s="30" t="s">
        <v>50</v>
      </c>
      <c r="W256" s="30"/>
      <c r="X256" s="30"/>
      <c r="Y256" s="30"/>
      <c r="Z256" s="30"/>
      <c r="AA256" s="30"/>
      <c r="AB256" s="29"/>
      <c r="AC256" s="29"/>
      <c r="AD256" s="37">
        <f t="shared" si="48"/>
        <v>25890</v>
      </c>
      <c r="AE256" s="3" t="str">
        <f t="shared" ca="1" si="46"/>
        <v>55 Tahun 9 bulan 14 Hari</v>
      </c>
      <c r="AF256" s="38">
        <f t="shared" si="49"/>
        <v>47818</v>
      </c>
    </row>
    <row r="257" spans="1:32" s="7" customFormat="1" ht="39.75" customHeight="1" x14ac:dyDescent="0.35">
      <c r="A257" s="26">
        <f t="shared" si="51"/>
        <v>240</v>
      </c>
      <c r="B257" s="4" t="s">
        <v>756</v>
      </c>
      <c r="C257" s="26"/>
      <c r="D257" s="50" t="s">
        <v>795</v>
      </c>
      <c r="E257" s="45" t="s">
        <v>108</v>
      </c>
      <c r="F257" s="45"/>
      <c r="G257" s="44"/>
      <c r="H257" s="4"/>
      <c r="I257" s="33"/>
      <c r="J257" s="84"/>
      <c r="K257" s="3" t="str">
        <f t="shared" ca="1" si="43"/>
        <v/>
      </c>
      <c r="L257" s="30" t="s">
        <v>88</v>
      </c>
      <c r="M257" s="84"/>
      <c r="N257" s="3" t="str">
        <f t="shared" ca="1" si="44"/>
        <v/>
      </c>
      <c r="O257" s="4"/>
      <c r="P257" s="4"/>
      <c r="Q257" s="4" t="str">
        <f t="shared" si="45"/>
        <v/>
      </c>
      <c r="R257" s="4">
        <f t="shared" si="52"/>
        <v>1</v>
      </c>
      <c r="S257" s="4" t="str">
        <f t="shared" si="55"/>
        <v>0</v>
      </c>
      <c r="T257" s="4">
        <f t="shared" si="53"/>
        <v>1</v>
      </c>
      <c r="U257" s="29"/>
      <c r="V257" s="30"/>
      <c r="W257" s="30"/>
      <c r="X257" s="30"/>
      <c r="Y257" s="30"/>
      <c r="Z257" s="30"/>
      <c r="AA257" s="30"/>
      <c r="AB257" s="29"/>
      <c r="AC257" s="29"/>
      <c r="AD257" s="37" t="str">
        <f t="shared" si="48"/>
        <v/>
      </c>
      <c r="AE257" s="3" t="str">
        <f t="shared" ca="1" si="46"/>
        <v/>
      </c>
      <c r="AF257" s="38" t="str">
        <f t="shared" si="49"/>
        <v/>
      </c>
    </row>
    <row r="258" spans="1:32" s="7" customFormat="1" ht="39" customHeight="1" x14ac:dyDescent="0.35">
      <c r="A258" s="26">
        <f t="shared" si="51"/>
        <v>241</v>
      </c>
      <c r="B258" s="4" t="s">
        <v>756</v>
      </c>
      <c r="C258" s="26"/>
      <c r="D258" s="50" t="s">
        <v>795</v>
      </c>
      <c r="E258" s="24" t="s">
        <v>108</v>
      </c>
      <c r="F258" s="24"/>
      <c r="G258" s="3"/>
      <c r="H258" s="4"/>
      <c r="I258" s="33"/>
      <c r="J258" s="49"/>
      <c r="K258" s="3" t="str">
        <f t="shared" ca="1" si="43"/>
        <v/>
      </c>
      <c r="L258" s="30" t="s">
        <v>88</v>
      </c>
      <c r="M258" s="49"/>
      <c r="N258" s="3" t="str">
        <f t="shared" ca="1" si="44"/>
        <v/>
      </c>
      <c r="O258" s="4"/>
      <c r="P258" s="4"/>
      <c r="Q258" s="4" t="str">
        <f t="shared" si="45"/>
        <v/>
      </c>
      <c r="R258" s="4">
        <f t="shared" si="52"/>
        <v>1</v>
      </c>
      <c r="S258" s="4" t="str">
        <f t="shared" si="55"/>
        <v>0</v>
      </c>
      <c r="T258" s="4">
        <f t="shared" si="53"/>
        <v>1</v>
      </c>
      <c r="U258" s="29"/>
      <c r="V258" s="30"/>
      <c r="W258" s="30"/>
      <c r="X258" s="30"/>
      <c r="Y258" s="30"/>
      <c r="Z258" s="30"/>
      <c r="AA258" s="30"/>
      <c r="AB258" s="29"/>
      <c r="AC258" s="29"/>
      <c r="AD258" s="37" t="str">
        <f t="shared" si="48"/>
        <v/>
      </c>
      <c r="AE258" s="3" t="str">
        <f t="shared" ca="1" si="46"/>
        <v/>
      </c>
      <c r="AF258" s="38" t="str">
        <f t="shared" si="49"/>
        <v/>
      </c>
    </row>
    <row r="259" spans="1:32" s="7" customFormat="1" ht="37.5" customHeight="1" x14ac:dyDescent="0.35">
      <c r="A259" s="26">
        <f t="shared" si="51"/>
        <v>242</v>
      </c>
      <c r="B259" s="4" t="s">
        <v>756</v>
      </c>
      <c r="C259" s="26"/>
      <c r="D259" s="50" t="s">
        <v>795</v>
      </c>
      <c r="E259" s="24" t="s">
        <v>805</v>
      </c>
      <c r="F259" s="24" t="s">
        <v>43</v>
      </c>
      <c r="G259" s="3" t="s">
        <v>806</v>
      </c>
      <c r="H259" s="4" t="s">
        <v>345</v>
      </c>
      <c r="I259" s="36" t="s">
        <v>86</v>
      </c>
      <c r="J259" s="81" t="s">
        <v>87</v>
      </c>
      <c r="K259" s="3" t="str">
        <f t="shared" ca="1" si="43"/>
        <v xml:space="preserve">4 Tahun 8 bulan </v>
      </c>
      <c r="L259" s="30" t="s">
        <v>88</v>
      </c>
      <c r="M259" s="81" t="s">
        <v>87</v>
      </c>
      <c r="N259" s="3" t="str">
        <f t="shared" ca="1" si="44"/>
        <v xml:space="preserve">4 Tahun 8 bulan </v>
      </c>
      <c r="O259" s="4"/>
      <c r="P259" s="4" t="s">
        <v>35</v>
      </c>
      <c r="Q259" s="4" t="str">
        <f t="shared" si="45"/>
        <v>Perempuan</v>
      </c>
      <c r="R259" s="4">
        <f t="shared" si="52"/>
        <v>1</v>
      </c>
      <c r="S259" s="4" t="str">
        <f t="shared" si="55"/>
        <v>1</v>
      </c>
      <c r="T259" s="4">
        <f t="shared" si="53"/>
        <v>0</v>
      </c>
      <c r="U259" s="29"/>
      <c r="V259" s="30"/>
      <c r="W259" s="30"/>
      <c r="X259" s="30"/>
      <c r="Y259" s="30"/>
      <c r="Z259" s="30"/>
      <c r="AA259" s="30"/>
      <c r="AB259" s="29"/>
      <c r="AC259" s="29"/>
      <c r="AD259" s="37">
        <f t="shared" si="48"/>
        <v>28838</v>
      </c>
      <c r="AE259" s="3" t="str">
        <f t="shared" ca="1" si="46"/>
        <v>47 Tahun 8 bulan 18 Hari</v>
      </c>
      <c r="AF259" s="38">
        <f t="shared" si="49"/>
        <v>50771</v>
      </c>
    </row>
    <row r="260" spans="1:32" s="7" customFormat="1" ht="32.15" customHeight="1" x14ac:dyDescent="0.35">
      <c r="A260" s="26"/>
      <c r="B260" s="27" t="s">
        <v>807</v>
      </c>
      <c r="C260" s="280" t="s">
        <v>808</v>
      </c>
      <c r="D260" s="281"/>
      <c r="E260" s="24"/>
      <c r="F260" s="24"/>
      <c r="G260" s="4"/>
      <c r="H260" s="4"/>
      <c r="I260" s="33"/>
      <c r="J260" s="5"/>
      <c r="K260" s="3" t="str">
        <f t="shared" ca="1" si="43"/>
        <v/>
      </c>
      <c r="L260" s="30"/>
      <c r="M260" s="5"/>
      <c r="N260" s="3" t="str">
        <f t="shared" ca="1" si="44"/>
        <v/>
      </c>
      <c r="O260" s="4"/>
      <c r="P260" s="4"/>
      <c r="Q260" s="4"/>
      <c r="R260" s="4"/>
      <c r="S260" s="4"/>
      <c r="T260" s="4"/>
      <c r="U260" s="29"/>
      <c r="V260" s="30"/>
      <c r="W260" s="30"/>
      <c r="X260" s="30"/>
      <c r="Y260" s="30"/>
      <c r="Z260" s="30"/>
      <c r="AA260" s="30"/>
      <c r="AB260" s="29"/>
      <c r="AC260" s="29"/>
      <c r="AD260" s="37" t="str">
        <f t="shared" si="48"/>
        <v/>
      </c>
      <c r="AE260" s="3" t="str">
        <f t="shared" ca="1" si="46"/>
        <v/>
      </c>
      <c r="AF260" s="38" t="str">
        <f t="shared" si="49"/>
        <v/>
      </c>
    </row>
    <row r="261" spans="1:32" s="7" customFormat="1" ht="32.15" customHeight="1" x14ac:dyDescent="0.35">
      <c r="A261" s="26">
        <f>A259+1</f>
        <v>243</v>
      </c>
      <c r="B261" s="27" t="s">
        <v>807</v>
      </c>
      <c r="C261" s="278" t="s">
        <v>809</v>
      </c>
      <c r="D261" s="279"/>
      <c r="E261" s="24" t="s">
        <v>810</v>
      </c>
      <c r="F261" s="24" t="s">
        <v>43</v>
      </c>
      <c r="G261" s="3" t="s">
        <v>811</v>
      </c>
      <c r="H261" s="56" t="s">
        <v>812</v>
      </c>
      <c r="I261" s="33" t="s">
        <v>813</v>
      </c>
      <c r="J261" s="81" t="s">
        <v>680</v>
      </c>
      <c r="K261" s="3" t="str">
        <f t="shared" ca="1" si="43"/>
        <v xml:space="preserve">4 Tahun 9 bulan </v>
      </c>
      <c r="L261" s="30" t="s">
        <v>56</v>
      </c>
      <c r="M261" s="81" t="s">
        <v>680</v>
      </c>
      <c r="N261" s="3" t="str">
        <f t="shared" ca="1" si="44"/>
        <v xml:space="preserve">4 Tahun 9 bulan </v>
      </c>
      <c r="O261" s="4"/>
      <c r="P261" s="4" t="s">
        <v>35</v>
      </c>
      <c r="Q261" s="4" t="str">
        <f t="shared" si="45"/>
        <v>Laki-Laki</v>
      </c>
      <c r="R261" s="4">
        <f>R259</f>
        <v>1</v>
      </c>
      <c r="S261" s="4" t="str">
        <f t="shared" ref="S261:S281" si="56">IF(E261="LOWONG","0","1")</f>
        <v>1</v>
      </c>
      <c r="T261" s="4">
        <f t="shared" si="53"/>
        <v>0</v>
      </c>
      <c r="U261" s="29"/>
      <c r="V261" s="30" t="s">
        <v>50</v>
      </c>
      <c r="W261" s="30"/>
      <c r="X261" s="30"/>
      <c r="Y261" s="30"/>
      <c r="Z261" s="30"/>
      <c r="AA261" s="30"/>
      <c r="AB261" s="29"/>
      <c r="AC261" s="29"/>
      <c r="AD261" s="37">
        <f t="shared" si="48"/>
        <v>27585</v>
      </c>
      <c r="AE261" s="3" t="str">
        <f t="shared" ca="1" si="46"/>
        <v>51 Tahun 1 bulan 22 Hari</v>
      </c>
      <c r="AF261" s="38">
        <f t="shared" si="49"/>
        <v>49522</v>
      </c>
    </row>
    <row r="262" spans="1:32" s="7" customFormat="1" ht="32.15" customHeight="1" x14ac:dyDescent="0.35">
      <c r="A262" s="26">
        <f t="shared" si="51"/>
        <v>244</v>
      </c>
      <c r="B262" s="27" t="s">
        <v>807</v>
      </c>
      <c r="C262" s="256" t="s">
        <v>814</v>
      </c>
      <c r="D262" s="257"/>
      <c r="E262" s="24" t="s">
        <v>815</v>
      </c>
      <c r="F262" s="24" t="s">
        <v>43</v>
      </c>
      <c r="G262" s="3" t="s">
        <v>816</v>
      </c>
      <c r="H262" s="4" t="s">
        <v>66</v>
      </c>
      <c r="I262" s="4" t="s">
        <v>86</v>
      </c>
      <c r="J262" s="81" t="s">
        <v>237</v>
      </c>
      <c r="K262" s="3" t="str">
        <f t="shared" ca="1" si="43"/>
        <v xml:space="preserve">4 Tahun 7 bulan </v>
      </c>
      <c r="L262" s="30" t="s">
        <v>79</v>
      </c>
      <c r="M262" s="81" t="s">
        <v>237</v>
      </c>
      <c r="N262" s="3" t="str">
        <f t="shared" ca="1" si="44"/>
        <v xml:space="preserve">4 Tahun 7 bulan </v>
      </c>
      <c r="O262" s="4"/>
      <c r="P262" s="4" t="s">
        <v>35</v>
      </c>
      <c r="Q262" s="4" t="str">
        <f t="shared" si="45"/>
        <v>Laki-Laki</v>
      </c>
      <c r="R262" s="4">
        <f t="shared" si="52"/>
        <v>1</v>
      </c>
      <c r="S262" s="4" t="str">
        <f t="shared" si="56"/>
        <v>1</v>
      </c>
      <c r="T262" s="4">
        <f t="shared" si="53"/>
        <v>0</v>
      </c>
      <c r="U262" s="29"/>
      <c r="V262" s="30" t="s">
        <v>50</v>
      </c>
      <c r="W262" s="30"/>
      <c r="X262" s="30"/>
      <c r="Y262" s="30"/>
      <c r="Z262" s="30"/>
      <c r="AA262" s="30"/>
      <c r="AB262" s="29"/>
      <c r="AC262" s="29"/>
      <c r="AD262" s="37">
        <f t="shared" si="48"/>
        <v>27288</v>
      </c>
      <c r="AE262" s="3" t="str">
        <f t="shared" ca="1" si="46"/>
        <v>51 Tahun 11 bulan 16 Hari</v>
      </c>
      <c r="AF262" s="38">
        <f t="shared" si="49"/>
        <v>49218</v>
      </c>
    </row>
    <row r="263" spans="1:32" s="7" customFormat="1" ht="32.15" customHeight="1" x14ac:dyDescent="0.35">
      <c r="A263" s="26">
        <f t="shared" si="51"/>
        <v>245</v>
      </c>
      <c r="B263" s="27" t="s">
        <v>807</v>
      </c>
      <c r="C263" s="26"/>
      <c r="D263" s="50" t="s">
        <v>817</v>
      </c>
      <c r="E263" s="39" t="s">
        <v>818</v>
      </c>
      <c r="F263" s="24" t="s">
        <v>43</v>
      </c>
      <c r="G263" s="40" t="s">
        <v>819</v>
      </c>
      <c r="H263" s="4" t="s">
        <v>788</v>
      </c>
      <c r="I263" s="25" t="s">
        <v>86</v>
      </c>
      <c r="J263" s="47" t="s">
        <v>354</v>
      </c>
      <c r="K263" s="3" t="str">
        <f t="shared" ref="K263:K326" ca="1" si="57">IF(J263="","",CONCATENATE(DATEDIF(J263,NOW(),"Y")," Tahun ",DATEDIF(J263,NOW(),"YM")," bulan "))</f>
        <v xml:space="preserve">6 Tahun 9 bulan </v>
      </c>
      <c r="L263" s="30" t="s">
        <v>200</v>
      </c>
      <c r="M263" s="47" t="s">
        <v>354</v>
      </c>
      <c r="N263" s="3" t="str">
        <f t="shared" ref="N263:N326" ca="1" si="58">IF(M263="","",CONCATENATE(DATEDIF(M263,NOW(),"Y")," Tahun ",DATEDIF(M263,NOW(),"YM")," bulan "))</f>
        <v xml:space="preserve">6 Tahun 9 bulan </v>
      </c>
      <c r="O263" s="4"/>
      <c r="P263" s="4" t="s">
        <v>35</v>
      </c>
      <c r="Q263" s="4" t="str">
        <f t="shared" ref="Q263:Q326" si="59">CONCATENATE(IF(MID(G263,17,1)="1","Laki-Laki",IF(MID(G263,17,1)="2","Perempuan",)))</f>
        <v>Laki-Laki</v>
      </c>
      <c r="R263" s="4">
        <f t="shared" si="52"/>
        <v>1</v>
      </c>
      <c r="S263" s="4" t="str">
        <f t="shared" si="56"/>
        <v>1</v>
      </c>
      <c r="T263" s="4">
        <f t="shared" si="53"/>
        <v>0</v>
      </c>
      <c r="U263" s="29"/>
      <c r="V263" s="30" t="s">
        <v>50</v>
      </c>
      <c r="W263" s="30"/>
      <c r="X263" s="30"/>
      <c r="Y263" s="30"/>
      <c r="Z263" s="30"/>
      <c r="AA263" s="30"/>
      <c r="AB263" s="29"/>
      <c r="AC263" s="29"/>
      <c r="AD263" s="37">
        <f t="shared" si="48"/>
        <v>26857</v>
      </c>
      <c r="AE263" s="3" t="str">
        <f t="shared" ref="AE263:AE326" ca="1" si="60">IF(TRIM(AD263)="", "", CONCATENATE(DATEDIF(AD263,NOW(),"Y")," Tahun ",DATEDIF(AD263,NOW(),"YM")," bulan ",DATEDIF(AD263,NOW(),"MD")," Hari"))</f>
        <v>53 Tahun 1 bulan 20 Hari</v>
      </c>
      <c r="AF263" s="38">
        <f t="shared" si="49"/>
        <v>48792</v>
      </c>
    </row>
    <row r="264" spans="1:32" s="7" customFormat="1" ht="32.15" customHeight="1" x14ac:dyDescent="0.35">
      <c r="A264" s="26">
        <f t="shared" si="51"/>
        <v>246</v>
      </c>
      <c r="B264" s="27" t="s">
        <v>807</v>
      </c>
      <c r="C264" s="26"/>
      <c r="D264" s="50" t="s">
        <v>820</v>
      </c>
      <c r="E264" s="24" t="s">
        <v>821</v>
      </c>
      <c r="F264" s="24" t="s">
        <v>43</v>
      </c>
      <c r="G264" s="3" t="s">
        <v>822</v>
      </c>
      <c r="H264" s="4" t="s">
        <v>135</v>
      </c>
      <c r="I264" s="33" t="s">
        <v>67</v>
      </c>
      <c r="J264" s="47" t="s">
        <v>292</v>
      </c>
      <c r="K264" s="3" t="str">
        <f t="shared" ca="1" si="57"/>
        <v xml:space="preserve">7 Tahun 7 bulan </v>
      </c>
      <c r="L264" s="30" t="s">
        <v>200</v>
      </c>
      <c r="M264" s="47" t="s">
        <v>292</v>
      </c>
      <c r="N264" s="3" t="str">
        <f t="shared" ca="1" si="58"/>
        <v xml:space="preserve">7 Tahun 7 bulan </v>
      </c>
      <c r="O264" s="4"/>
      <c r="P264" s="4" t="s">
        <v>35</v>
      </c>
      <c r="Q264" s="4" t="str">
        <f t="shared" si="59"/>
        <v>Laki-Laki</v>
      </c>
      <c r="R264" s="4">
        <f t="shared" si="52"/>
        <v>1</v>
      </c>
      <c r="S264" s="4" t="str">
        <f t="shared" si="56"/>
        <v>1</v>
      </c>
      <c r="T264" s="4">
        <f t="shared" si="53"/>
        <v>0</v>
      </c>
      <c r="U264" s="29"/>
      <c r="V264" s="30" t="s">
        <v>50</v>
      </c>
      <c r="W264" s="30"/>
      <c r="X264" s="30"/>
      <c r="Y264" s="30"/>
      <c r="Z264" s="30"/>
      <c r="AA264" s="30"/>
      <c r="AB264" s="29"/>
      <c r="AC264" s="29"/>
      <c r="AD264" s="37">
        <f t="shared" ref="AD264:AD327" si="61">IF(TRIM(G264)="", "", DATE(LEFT(G264,4),MID(G264,5,2),MID(G264,7,2)))</f>
        <v>30848</v>
      </c>
      <c r="AE264" s="3" t="str">
        <f t="shared" ca="1" si="60"/>
        <v>42 Tahun 2 bulan 17 Hari</v>
      </c>
      <c r="AF264" s="38">
        <f t="shared" ref="AF264:AF327" si="62">IF(TRIM(AD264)="","",DATE(YEAR(AD264)+60,MONTH(AD264)+1,1))</f>
        <v>52779</v>
      </c>
    </row>
    <row r="265" spans="1:32" s="7" customFormat="1" ht="32.15" customHeight="1" x14ac:dyDescent="0.35">
      <c r="A265" s="26">
        <f t="shared" si="51"/>
        <v>247</v>
      </c>
      <c r="B265" s="27" t="s">
        <v>807</v>
      </c>
      <c r="C265" s="26"/>
      <c r="D265" s="50" t="s">
        <v>823</v>
      </c>
      <c r="E265" s="24" t="s">
        <v>824</v>
      </c>
      <c r="F265" s="24" t="s">
        <v>43</v>
      </c>
      <c r="G265" s="4" t="s">
        <v>825</v>
      </c>
      <c r="H265" s="4" t="s">
        <v>106</v>
      </c>
      <c r="I265" s="33" t="s">
        <v>826</v>
      </c>
      <c r="J265" s="81" t="s">
        <v>87</v>
      </c>
      <c r="K265" s="3" t="str">
        <f t="shared" ca="1" si="57"/>
        <v xml:space="preserve">4 Tahun 8 bulan </v>
      </c>
      <c r="L265" s="30" t="s">
        <v>88</v>
      </c>
      <c r="M265" s="81" t="s">
        <v>87</v>
      </c>
      <c r="N265" s="3" t="str">
        <f t="shared" ca="1" si="58"/>
        <v xml:space="preserve">4 Tahun 8 bulan </v>
      </c>
      <c r="O265" s="4"/>
      <c r="P265" s="4" t="s">
        <v>35</v>
      </c>
      <c r="Q265" s="4" t="str">
        <f t="shared" si="59"/>
        <v>Perempuan</v>
      </c>
      <c r="R265" s="4">
        <f t="shared" si="52"/>
        <v>1</v>
      </c>
      <c r="S265" s="4" t="str">
        <f t="shared" si="56"/>
        <v>1</v>
      </c>
      <c r="T265" s="4">
        <f t="shared" si="53"/>
        <v>0</v>
      </c>
      <c r="U265" s="29"/>
      <c r="V265" s="30"/>
      <c r="W265" s="30"/>
      <c r="X265" s="30"/>
      <c r="Y265" s="30"/>
      <c r="Z265" s="30"/>
      <c r="AA265" s="30"/>
      <c r="AB265" s="29"/>
      <c r="AC265" s="29"/>
      <c r="AD265" s="37">
        <f t="shared" si="61"/>
        <v>29592</v>
      </c>
      <c r="AE265" s="3" t="str">
        <f t="shared" ca="1" si="60"/>
        <v>45 Tahun 7 bulan 26 Hari</v>
      </c>
      <c r="AF265" s="38">
        <f t="shared" si="62"/>
        <v>51533</v>
      </c>
    </row>
    <row r="266" spans="1:32" s="7" customFormat="1" ht="32.15" customHeight="1" x14ac:dyDescent="0.35">
      <c r="A266" s="26">
        <f t="shared" si="51"/>
        <v>248</v>
      </c>
      <c r="B266" s="27" t="s">
        <v>807</v>
      </c>
      <c r="C266" s="256" t="s">
        <v>827</v>
      </c>
      <c r="D266" s="257"/>
      <c r="E266" s="24" t="s">
        <v>828</v>
      </c>
      <c r="F266" s="24" t="s">
        <v>43</v>
      </c>
      <c r="G266" s="3" t="s">
        <v>829</v>
      </c>
      <c r="H266" s="4" t="s">
        <v>830</v>
      </c>
      <c r="I266" s="4" t="s">
        <v>630</v>
      </c>
      <c r="J266" s="47" t="s">
        <v>292</v>
      </c>
      <c r="K266" s="3" t="str">
        <f t="shared" ca="1" si="57"/>
        <v xml:space="preserve">7 Tahun 7 bulan </v>
      </c>
      <c r="L266" s="30" t="s">
        <v>346</v>
      </c>
      <c r="M266" s="47" t="s">
        <v>292</v>
      </c>
      <c r="N266" s="3" t="str">
        <f t="shared" ca="1" si="58"/>
        <v xml:space="preserve">7 Tahun 7 bulan </v>
      </c>
      <c r="O266" s="4"/>
      <c r="P266" s="4" t="s">
        <v>35</v>
      </c>
      <c r="Q266" s="4" t="str">
        <f t="shared" si="59"/>
        <v>Laki-Laki</v>
      </c>
      <c r="R266" s="4">
        <f t="shared" si="52"/>
        <v>1</v>
      </c>
      <c r="S266" s="4" t="str">
        <f t="shared" si="56"/>
        <v>1</v>
      </c>
      <c r="T266" s="4">
        <f t="shared" si="53"/>
        <v>0</v>
      </c>
      <c r="U266" s="29"/>
      <c r="V266" s="30" t="s">
        <v>50</v>
      </c>
      <c r="W266" s="30"/>
      <c r="X266" s="30"/>
      <c r="Y266" s="30"/>
      <c r="Z266" s="30"/>
      <c r="AA266" s="30"/>
      <c r="AB266" s="29"/>
      <c r="AC266" s="29"/>
      <c r="AD266" s="37">
        <f t="shared" si="61"/>
        <v>28075</v>
      </c>
      <c r="AE266" s="3" t="str">
        <f t="shared" ca="1" si="60"/>
        <v>49 Tahun 9 bulan 21 Hari</v>
      </c>
      <c r="AF266" s="38">
        <f t="shared" si="62"/>
        <v>50010</v>
      </c>
    </row>
    <row r="267" spans="1:32" s="7" customFormat="1" ht="32.15" customHeight="1" x14ac:dyDescent="0.35">
      <c r="A267" s="26">
        <f t="shared" si="51"/>
        <v>249</v>
      </c>
      <c r="B267" s="27" t="s">
        <v>807</v>
      </c>
      <c r="C267" s="26"/>
      <c r="D267" s="50" t="s">
        <v>831</v>
      </c>
      <c r="E267" s="39" t="s">
        <v>832</v>
      </c>
      <c r="F267" s="24" t="s">
        <v>43</v>
      </c>
      <c r="G267" s="25" t="s">
        <v>833</v>
      </c>
      <c r="H267" s="4" t="s">
        <v>85</v>
      </c>
      <c r="I267" s="33" t="s">
        <v>834</v>
      </c>
      <c r="J267" s="81" t="s">
        <v>87</v>
      </c>
      <c r="K267" s="3" t="str">
        <f t="shared" ca="1" si="57"/>
        <v xml:space="preserve">4 Tahun 8 bulan </v>
      </c>
      <c r="L267" s="30" t="s">
        <v>88</v>
      </c>
      <c r="M267" s="81" t="s">
        <v>87</v>
      </c>
      <c r="N267" s="3" t="str">
        <f t="shared" ca="1" si="58"/>
        <v xml:space="preserve">4 Tahun 8 bulan </v>
      </c>
      <c r="O267" s="4"/>
      <c r="P267" s="4"/>
      <c r="Q267" s="4" t="str">
        <f t="shared" si="59"/>
        <v>Perempuan</v>
      </c>
      <c r="R267" s="4">
        <f t="shared" si="52"/>
        <v>1</v>
      </c>
      <c r="S267" s="4" t="str">
        <f t="shared" si="56"/>
        <v>1</v>
      </c>
      <c r="T267" s="4">
        <f t="shared" si="53"/>
        <v>0</v>
      </c>
      <c r="U267" s="29"/>
      <c r="V267" s="30"/>
      <c r="W267" s="30"/>
      <c r="X267" s="30"/>
      <c r="Y267" s="30"/>
      <c r="Z267" s="30"/>
      <c r="AA267" s="30"/>
      <c r="AB267" s="29"/>
      <c r="AC267" s="29"/>
      <c r="AD267" s="37">
        <f t="shared" si="61"/>
        <v>31608</v>
      </c>
      <c r="AE267" s="3" t="str">
        <f t="shared" ca="1" si="60"/>
        <v>40 Tahun 1 bulan 17 Hari</v>
      </c>
      <c r="AF267" s="38">
        <f t="shared" si="62"/>
        <v>53540</v>
      </c>
    </row>
    <row r="268" spans="1:32" s="7" customFormat="1" ht="32.15" customHeight="1" x14ac:dyDescent="0.35">
      <c r="A268" s="26">
        <f t="shared" si="51"/>
        <v>250</v>
      </c>
      <c r="B268" s="27" t="s">
        <v>807</v>
      </c>
      <c r="C268" s="26"/>
      <c r="D268" s="50" t="s">
        <v>831</v>
      </c>
      <c r="E268" s="24" t="s">
        <v>835</v>
      </c>
      <c r="F268" s="24" t="s">
        <v>43</v>
      </c>
      <c r="G268" s="3" t="s">
        <v>836</v>
      </c>
      <c r="H268" s="4" t="s">
        <v>837</v>
      </c>
      <c r="I268" s="41" t="s">
        <v>838</v>
      </c>
      <c r="J268" s="81" t="s">
        <v>87</v>
      </c>
      <c r="K268" s="3" t="str">
        <f t="shared" ca="1" si="57"/>
        <v xml:space="preserve">4 Tahun 8 bulan </v>
      </c>
      <c r="L268" s="30" t="s">
        <v>88</v>
      </c>
      <c r="M268" s="81" t="s">
        <v>87</v>
      </c>
      <c r="N268" s="3" t="str">
        <f t="shared" ca="1" si="58"/>
        <v xml:space="preserve">4 Tahun 8 bulan </v>
      </c>
      <c r="O268" s="4"/>
      <c r="P268" s="4" t="s">
        <v>35</v>
      </c>
      <c r="Q268" s="4" t="str">
        <f t="shared" si="59"/>
        <v>Laki-Laki</v>
      </c>
      <c r="R268" s="4">
        <f t="shared" si="52"/>
        <v>1</v>
      </c>
      <c r="S268" s="4" t="str">
        <f t="shared" si="56"/>
        <v>1</v>
      </c>
      <c r="T268" s="4">
        <f t="shared" si="53"/>
        <v>0</v>
      </c>
      <c r="U268" s="29"/>
      <c r="V268" s="30" t="s">
        <v>50</v>
      </c>
      <c r="W268" s="30"/>
      <c r="X268" s="30"/>
      <c r="Y268" s="30"/>
      <c r="Z268" s="30"/>
      <c r="AA268" s="30"/>
      <c r="AB268" s="29"/>
      <c r="AC268" s="29"/>
      <c r="AD268" s="37">
        <f t="shared" si="61"/>
        <v>29441</v>
      </c>
      <c r="AE268" s="3" t="str">
        <f t="shared" ca="1" si="60"/>
        <v>46 Tahun 0 bulan 24 Hari</v>
      </c>
      <c r="AF268" s="38">
        <f t="shared" si="62"/>
        <v>51380</v>
      </c>
    </row>
    <row r="269" spans="1:32" s="7" customFormat="1" ht="32.15" customHeight="1" x14ac:dyDescent="0.35">
      <c r="A269" s="26">
        <f t="shared" si="51"/>
        <v>251</v>
      </c>
      <c r="B269" s="27" t="s">
        <v>807</v>
      </c>
      <c r="C269" s="26"/>
      <c r="D269" s="50" t="s">
        <v>831</v>
      </c>
      <c r="E269" s="24" t="s">
        <v>839</v>
      </c>
      <c r="F269" s="24" t="s">
        <v>43</v>
      </c>
      <c r="G269" s="3" t="s">
        <v>840</v>
      </c>
      <c r="H269" s="4" t="s">
        <v>841</v>
      </c>
      <c r="I269" s="33" t="s">
        <v>842</v>
      </c>
      <c r="J269" s="81" t="s">
        <v>87</v>
      </c>
      <c r="K269" s="3" t="str">
        <f t="shared" ca="1" si="57"/>
        <v xml:space="preserve">4 Tahun 8 bulan </v>
      </c>
      <c r="L269" s="30" t="s">
        <v>88</v>
      </c>
      <c r="M269" s="81" t="s">
        <v>87</v>
      </c>
      <c r="N269" s="3" t="str">
        <f t="shared" ca="1" si="58"/>
        <v xml:space="preserve">4 Tahun 8 bulan </v>
      </c>
      <c r="O269" s="4"/>
      <c r="P269" s="4" t="s">
        <v>35</v>
      </c>
      <c r="Q269" s="4" t="str">
        <f t="shared" si="59"/>
        <v>Laki-Laki</v>
      </c>
      <c r="R269" s="4">
        <f t="shared" si="52"/>
        <v>1</v>
      </c>
      <c r="S269" s="4" t="str">
        <f t="shared" si="56"/>
        <v>1</v>
      </c>
      <c r="T269" s="4">
        <f t="shared" si="53"/>
        <v>0</v>
      </c>
      <c r="U269" s="29"/>
      <c r="V269" s="30" t="s">
        <v>50</v>
      </c>
      <c r="W269" s="30"/>
      <c r="X269" s="30"/>
      <c r="Y269" s="30"/>
      <c r="Z269" s="30"/>
      <c r="AA269" s="30"/>
      <c r="AB269" s="29"/>
      <c r="AC269" s="29"/>
      <c r="AD269" s="37">
        <f t="shared" si="61"/>
        <v>27672</v>
      </c>
      <c r="AE269" s="3" t="str">
        <f t="shared" ca="1" si="60"/>
        <v>50 Tahun 10 bulan 27 Hari</v>
      </c>
      <c r="AF269" s="38">
        <f t="shared" si="62"/>
        <v>49614</v>
      </c>
    </row>
    <row r="270" spans="1:32" s="7" customFormat="1" ht="32.15" customHeight="1" x14ac:dyDescent="0.35">
      <c r="A270" s="26">
        <f t="shared" si="51"/>
        <v>252</v>
      </c>
      <c r="B270" s="27" t="s">
        <v>807</v>
      </c>
      <c r="C270" s="256" t="s">
        <v>843</v>
      </c>
      <c r="D270" s="257"/>
      <c r="E270" s="24" t="s">
        <v>844</v>
      </c>
      <c r="F270" s="24" t="s">
        <v>43</v>
      </c>
      <c r="G270" s="3" t="s">
        <v>845</v>
      </c>
      <c r="H270" s="4" t="s">
        <v>846</v>
      </c>
      <c r="I270" s="33" t="s">
        <v>847</v>
      </c>
      <c r="J270" s="81" t="s">
        <v>237</v>
      </c>
      <c r="K270" s="3" t="str">
        <f t="shared" ca="1" si="57"/>
        <v xml:space="preserve">4 Tahun 7 bulan </v>
      </c>
      <c r="L270" s="30" t="s">
        <v>346</v>
      </c>
      <c r="M270" s="81" t="s">
        <v>237</v>
      </c>
      <c r="N270" s="3" t="str">
        <f t="shared" ca="1" si="58"/>
        <v xml:space="preserve">4 Tahun 7 bulan </v>
      </c>
      <c r="O270" s="36"/>
      <c r="P270" s="4" t="s">
        <v>35</v>
      </c>
      <c r="Q270" s="4" t="str">
        <f t="shared" si="59"/>
        <v>Laki-Laki</v>
      </c>
      <c r="R270" s="4">
        <f t="shared" si="52"/>
        <v>1</v>
      </c>
      <c r="S270" s="4" t="str">
        <f t="shared" si="56"/>
        <v>1</v>
      </c>
      <c r="T270" s="4">
        <f t="shared" si="53"/>
        <v>0</v>
      </c>
      <c r="U270" s="29"/>
      <c r="V270" s="30" t="s">
        <v>50</v>
      </c>
      <c r="W270" s="30"/>
      <c r="X270" s="30"/>
      <c r="Y270" s="30"/>
      <c r="Z270" s="30"/>
      <c r="AA270" s="30"/>
      <c r="AB270" s="29"/>
      <c r="AC270" s="29"/>
      <c r="AD270" s="37">
        <f t="shared" si="61"/>
        <v>26142</v>
      </c>
      <c r="AE270" s="3" t="str">
        <f t="shared" ca="1" si="60"/>
        <v>55 Tahun 1 bulan 4 Hari</v>
      </c>
      <c r="AF270" s="38">
        <f t="shared" si="62"/>
        <v>48061</v>
      </c>
    </row>
    <row r="271" spans="1:32" s="7" customFormat="1" ht="32.15" customHeight="1" x14ac:dyDescent="0.35">
      <c r="A271" s="26">
        <f t="shared" si="51"/>
        <v>253</v>
      </c>
      <c r="B271" s="27" t="s">
        <v>807</v>
      </c>
      <c r="C271" s="26"/>
      <c r="D271" s="50" t="s">
        <v>831</v>
      </c>
      <c r="E271" s="45" t="s">
        <v>108</v>
      </c>
      <c r="F271" s="45"/>
      <c r="G271" s="44"/>
      <c r="H271" s="4"/>
      <c r="I271" s="36"/>
      <c r="J271" s="81"/>
      <c r="K271" s="3" t="str">
        <f t="shared" ca="1" si="57"/>
        <v/>
      </c>
      <c r="L271" s="30" t="s">
        <v>88</v>
      </c>
      <c r="M271" s="81"/>
      <c r="N271" s="3" t="str">
        <f t="shared" ca="1" si="58"/>
        <v/>
      </c>
      <c r="O271" s="36"/>
      <c r="P271" s="4"/>
      <c r="Q271" s="4" t="str">
        <f t="shared" si="59"/>
        <v/>
      </c>
      <c r="R271" s="4">
        <f t="shared" si="52"/>
        <v>1</v>
      </c>
      <c r="S271" s="4" t="str">
        <f t="shared" si="56"/>
        <v>0</v>
      </c>
      <c r="T271" s="4">
        <f t="shared" si="53"/>
        <v>1</v>
      </c>
      <c r="U271" s="29"/>
      <c r="V271" s="30" t="s">
        <v>50</v>
      </c>
      <c r="W271" s="30"/>
      <c r="X271" s="30"/>
      <c r="Y271" s="30"/>
      <c r="Z271" s="30"/>
      <c r="AA271" s="30"/>
      <c r="AB271" s="29"/>
      <c r="AC271" s="29"/>
      <c r="AD271" s="37" t="str">
        <f t="shared" si="61"/>
        <v/>
      </c>
      <c r="AE271" s="3" t="str">
        <f t="shared" ca="1" si="60"/>
        <v/>
      </c>
      <c r="AF271" s="38" t="str">
        <f t="shared" si="62"/>
        <v/>
      </c>
    </row>
    <row r="272" spans="1:32" s="7" customFormat="1" ht="32.15" customHeight="1" x14ac:dyDescent="0.35">
      <c r="A272" s="26">
        <f t="shared" si="51"/>
        <v>254</v>
      </c>
      <c r="B272" s="27" t="s">
        <v>807</v>
      </c>
      <c r="C272" s="26"/>
      <c r="D272" s="50" t="s">
        <v>831</v>
      </c>
      <c r="E272" s="24" t="s">
        <v>850</v>
      </c>
      <c r="F272" s="24" t="s">
        <v>43</v>
      </c>
      <c r="G272" s="3" t="s">
        <v>851</v>
      </c>
      <c r="H272" s="4" t="s">
        <v>727</v>
      </c>
      <c r="I272" s="33" t="s">
        <v>67</v>
      </c>
      <c r="J272" s="81" t="s">
        <v>87</v>
      </c>
      <c r="K272" s="3" t="str">
        <f t="shared" ca="1" si="57"/>
        <v xml:space="preserve">4 Tahun 8 bulan </v>
      </c>
      <c r="L272" s="30" t="s">
        <v>88</v>
      </c>
      <c r="M272" s="81" t="s">
        <v>87</v>
      </c>
      <c r="N272" s="3" t="str">
        <f t="shared" ca="1" si="58"/>
        <v xml:space="preserve">4 Tahun 8 bulan </v>
      </c>
      <c r="O272" s="4"/>
      <c r="P272" s="4" t="s">
        <v>35</v>
      </c>
      <c r="Q272" s="4" t="str">
        <f t="shared" si="59"/>
        <v>Perempuan</v>
      </c>
      <c r="R272" s="4">
        <f t="shared" si="52"/>
        <v>1</v>
      </c>
      <c r="S272" s="4" t="str">
        <f t="shared" si="56"/>
        <v>1</v>
      </c>
      <c r="T272" s="4">
        <f t="shared" si="53"/>
        <v>0</v>
      </c>
      <c r="U272" s="29"/>
      <c r="V272" s="30"/>
      <c r="W272" s="30"/>
      <c r="X272" s="30"/>
      <c r="Y272" s="30"/>
      <c r="Z272" s="30"/>
      <c r="AA272" s="30"/>
      <c r="AB272" s="29"/>
      <c r="AC272" s="29"/>
      <c r="AD272" s="37">
        <f t="shared" si="61"/>
        <v>26201</v>
      </c>
      <c r="AE272" s="3" t="str">
        <f t="shared" ca="1" si="60"/>
        <v>54 Tahun 11 bulan 7 Hari</v>
      </c>
      <c r="AF272" s="38">
        <f t="shared" si="62"/>
        <v>48122</v>
      </c>
    </row>
    <row r="273" spans="1:33" ht="32.15" customHeight="1" x14ac:dyDescent="0.35">
      <c r="A273" s="26">
        <f t="shared" si="51"/>
        <v>255</v>
      </c>
      <c r="B273" s="27" t="s">
        <v>807</v>
      </c>
      <c r="C273" s="26"/>
      <c r="D273" s="50" t="s">
        <v>831</v>
      </c>
      <c r="E273" s="51" t="s">
        <v>852</v>
      </c>
      <c r="F273" s="24" t="s">
        <v>43</v>
      </c>
      <c r="G273" s="59" t="s">
        <v>853</v>
      </c>
      <c r="H273" s="4" t="s">
        <v>337</v>
      </c>
      <c r="I273" s="33" t="s">
        <v>86</v>
      </c>
      <c r="J273" s="81" t="s">
        <v>87</v>
      </c>
      <c r="K273" s="3" t="str">
        <f t="shared" ca="1" si="57"/>
        <v xml:space="preserve">4 Tahun 8 bulan </v>
      </c>
      <c r="L273" s="30" t="s">
        <v>88</v>
      </c>
      <c r="M273" s="81" t="s">
        <v>87</v>
      </c>
      <c r="N273" s="3" t="str">
        <f t="shared" ca="1" si="58"/>
        <v xml:space="preserve">4 Tahun 8 bulan </v>
      </c>
      <c r="O273" s="4"/>
      <c r="P273" s="4" t="s">
        <v>35</v>
      </c>
      <c r="Q273" s="4" t="str">
        <f t="shared" si="59"/>
        <v>Laki-Laki</v>
      </c>
      <c r="R273" s="4">
        <f t="shared" si="52"/>
        <v>1</v>
      </c>
      <c r="S273" s="4" t="str">
        <f t="shared" si="56"/>
        <v>1</v>
      </c>
      <c r="T273" s="4">
        <f t="shared" si="53"/>
        <v>0</v>
      </c>
      <c r="U273" s="29"/>
      <c r="V273" s="30" t="s">
        <v>50</v>
      </c>
      <c r="W273" s="30"/>
      <c r="X273" s="30"/>
      <c r="Y273" s="30"/>
      <c r="Z273" s="30"/>
      <c r="AA273" s="30"/>
      <c r="AB273" s="29"/>
      <c r="AC273" s="29"/>
      <c r="AD273" s="37">
        <f t="shared" si="61"/>
        <v>25880</v>
      </c>
      <c r="AE273" s="3" t="str">
        <f t="shared" ca="1" si="60"/>
        <v>55 Tahun 9 bulan 24 Hari</v>
      </c>
      <c r="AF273" s="38">
        <f t="shared" si="62"/>
        <v>47818</v>
      </c>
      <c r="AG273" s="7"/>
    </row>
    <row r="274" spans="1:33" ht="32.15" customHeight="1" x14ac:dyDescent="0.35">
      <c r="A274" s="26">
        <f t="shared" ref="A274:A337" si="63">A273+1</f>
        <v>256</v>
      </c>
      <c r="B274" s="27" t="s">
        <v>807</v>
      </c>
      <c r="C274" s="256" t="s">
        <v>854</v>
      </c>
      <c r="D274" s="257"/>
      <c r="E274" s="24" t="s">
        <v>855</v>
      </c>
      <c r="F274" s="24" t="s">
        <v>43</v>
      </c>
      <c r="G274" s="3" t="s">
        <v>856</v>
      </c>
      <c r="H274" s="4" t="s">
        <v>135</v>
      </c>
      <c r="I274" s="4" t="s">
        <v>86</v>
      </c>
      <c r="J274" s="47" t="s">
        <v>354</v>
      </c>
      <c r="K274" s="3" t="str">
        <f t="shared" ca="1" si="57"/>
        <v xml:space="preserve">6 Tahun 9 bulan </v>
      </c>
      <c r="L274" s="30" t="s">
        <v>346</v>
      </c>
      <c r="M274" s="47" t="s">
        <v>354</v>
      </c>
      <c r="N274" s="3" t="str">
        <f t="shared" ca="1" si="58"/>
        <v xml:space="preserve">6 Tahun 9 bulan </v>
      </c>
      <c r="O274" s="4"/>
      <c r="P274" s="4" t="s">
        <v>35</v>
      </c>
      <c r="Q274" s="4" t="str">
        <f t="shared" si="59"/>
        <v>Laki-Laki</v>
      </c>
      <c r="R274" s="4">
        <f t="shared" si="52"/>
        <v>1</v>
      </c>
      <c r="S274" s="4" t="str">
        <f t="shared" si="56"/>
        <v>1</v>
      </c>
      <c r="T274" s="4">
        <f t="shared" si="53"/>
        <v>0</v>
      </c>
      <c r="U274" s="29"/>
      <c r="V274" s="30" t="s">
        <v>50</v>
      </c>
      <c r="W274" s="30"/>
      <c r="X274" s="30"/>
      <c r="Y274" s="30"/>
      <c r="Z274" s="30"/>
      <c r="AA274" s="30"/>
      <c r="AB274" s="29"/>
      <c r="AC274" s="29"/>
      <c r="AD274" s="37">
        <f t="shared" si="61"/>
        <v>30064</v>
      </c>
      <c r="AE274" s="3" t="str">
        <f t="shared" ca="1" si="60"/>
        <v>44 Tahun 4 bulan 9 Hari</v>
      </c>
      <c r="AF274" s="38">
        <f t="shared" si="62"/>
        <v>51987</v>
      </c>
      <c r="AG274" s="7"/>
    </row>
    <row r="275" spans="1:33" ht="32.15" customHeight="1" x14ac:dyDescent="0.35">
      <c r="A275" s="26">
        <f t="shared" si="63"/>
        <v>257</v>
      </c>
      <c r="B275" s="27" t="s">
        <v>807</v>
      </c>
      <c r="C275" s="26"/>
      <c r="D275" s="50" t="s">
        <v>831</v>
      </c>
      <c r="E275" s="24" t="s">
        <v>857</v>
      </c>
      <c r="F275" s="24" t="s">
        <v>43</v>
      </c>
      <c r="G275" s="4" t="s">
        <v>858</v>
      </c>
      <c r="H275" s="4" t="s">
        <v>181</v>
      </c>
      <c r="I275" s="33" t="s">
        <v>859</v>
      </c>
      <c r="J275" s="81" t="s">
        <v>87</v>
      </c>
      <c r="K275" s="3" t="str">
        <f t="shared" ca="1" si="57"/>
        <v xml:space="preserve">4 Tahun 8 bulan </v>
      </c>
      <c r="L275" s="30" t="s">
        <v>88</v>
      </c>
      <c r="M275" s="81" t="s">
        <v>87</v>
      </c>
      <c r="N275" s="3" t="str">
        <f t="shared" ca="1" si="58"/>
        <v xml:space="preserve">4 Tahun 8 bulan </v>
      </c>
      <c r="O275" s="4"/>
      <c r="P275" s="4" t="s">
        <v>35</v>
      </c>
      <c r="Q275" s="4" t="str">
        <f t="shared" si="59"/>
        <v>Laki-Laki</v>
      </c>
      <c r="R275" s="4">
        <f t="shared" si="52"/>
        <v>1</v>
      </c>
      <c r="S275" s="4" t="str">
        <f t="shared" si="56"/>
        <v>1</v>
      </c>
      <c r="T275" s="4">
        <f t="shared" si="53"/>
        <v>0</v>
      </c>
      <c r="U275" s="29"/>
      <c r="V275" s="30" t="s">
        <v>50</v>
      </c>
      <c r="W275" s="30"/>
      <c r="X275" s="30"/>
      <c r="Y275" s="30"/>
      <c r="Z275" s="30"/>
      <c r="AA275" s="30"/>
      <c r="AB275" s="29"/>
      <c r="AC275" s="29"/>
      <c r="AD275" s="37">
        <f t="shared" si="61"/>
        <v>30154</v>
      </c>
      <c r="AE275" s="3" t="str">
        <f t="shared" ca="1" si="60"/>
        <v>44 Tahun 1 bulan 10 Hari</v>
      </c>
      <c r="AF275" s="38">
        <f t="shared" si="62"/>
        <v>52079</v>
      </c>
      <c r="AG275" s="7"/>
    </row>
    <row r="276" spans="1:33" ht="32.15" customHeight="1" x14ac:dyDescent="0.35">
      <c r="A276" s="26">
        <f t="shared" si="63"/>
        <v>258</v>
      </c>
      <c r="B276" s="27" t="s">
        <v>807</v>
      </c>
      <c r="C276" s="26"/>
      <c r="D276" s="50" t="s">
        <v>831</v>
      </c>
      <c r="E276" s="51" t="s">
        <v>860</v>
      </c>
      <c r="F276" s="24" t="s">
        <v>43</v>
      </c>
      <c r="G276" s="59" t="s">
        <v>861</v>
      </c>
      <c r="H276" s="4" t="s">
        <v>862</v>
      </c>
      <c r="I276" s="33" t="s">
        <v>67</v>
      </c>
      <c r="J276" s="81" t="s">
        <v>87</v>
      </c>
      <c r="K276" s="3" t="str">
        <f t="shared" ca="1" si="57"/>
        <v xml:space="preserve">4 Tahun 8 bulan </v>
      </c>
      <c r="L276" s="30" t="s">
        <v>88</v>
      </c>
      <c r="M276" s="81" t="s">
        <v>87</v>
      </c>
      <c r="N276" s="3" t="str">
        <f t="shared" ca="1" si="58"/>
        <v xml:space="preserve">4 Tahun 8 bulan </v>
      </c>
      <c r="O276" s="4" t="s">
        <v>863</v>
      </c>
      <c r="P276" s="4" t="s">
        <v>139</v>
      </c>
      <c r="Q276" s="4" t="s">
        <v>864</v>
      </c>
      <c r="R276" s="4">
        <f t="shared" si="52"/>
        <v>1</v>
      </c>
      <c r="S276" s="4" t="str">
        <f t="shared" si="56"/>
        <v>1</v>
      </c>
      <c r="T276" s="4">
        <f t="shared" si="53"/>
        <v>0</v>
      </c>
      <c r="U276" s="29"/>
      <c r="V276" s="30"/>
      <c r="W276" s="30"/>
      <c r="X276" s="30"/>
      <c r="Y276" s="30"/>
      <c r="Z276" s="30"/>
      <c r="AA276" s="30"/>
      <c r="AB276" s="29"/>
      <c r="AC276" s="29"/>
      <c r="AD276" s="37">
        <f t="shared" si="61"/>
        <v>26700</v>
      </c>
      <c r="AE276" s="3" t="str">
        <f t="shared" ca="1" si="60"/>
        <v>53 Tahun 6 bulan 27 Hari</v>
      </c>
      <c r="AF276" s="38">
        <f t="shared" si="62"/>
        <v>48639</v>
      </c>
      <c r="AG276" s="7"/>
    </row>
    <row r="277" spans="1:33" ht="32.15" customHeight="1" x14ac:dyDescent="0.35">
      <c r="A277" s="26">
        <f t="shared" si="63"/>
        <v>259</v>
      </c>
      <c r="B277" s="27" t="s">
        <v>807</v>
      </c>
      <c r="C277" s="26"/>
      <c r="D277" s="50" t="s">
        <v>831</v>
      </c>
      <c r="E277" s="39" t="s">
        <v>108</v>
      </c>
      <c r="F277" s="24"/>
      <c r="G277" s="40"/>
      <c r="H277" s="4"/>
      <c r="I277" s="25"/>
      <c r="J277" s="81"/>
      <c r="K277" s="3" t="str">
        <f t="shared" ca="1" si="57"/>
        <v/>
      </c>
      <c r="L277" s="30" t="s">
        <v>88</v>
      </c>
      <c r="M277" s="81"/>
      <c r="N277" s="3" t="str">
        <f t="shared" ca="1" si="58"/>
        <v/>
      </c>
      <c r="O277" s="35"/>
      <c r="P277" s="4"/>
      <c r="Q277" s="4" t="str">
        <f t="shared" si="59"/>
        <v/>
      </c>
      <c r="R277" s="4">
        <f t="shared" si="52"/>
        <v>1</v>
      </c>
      <c r="S277" s="4" t="str">
        <f t="shared" si="56"/>
        <v>0</v>
      </c>
      <c r="T277" s="4">
        <f t="shared" si="53"/>
        <v>1</v>
      </c>
      <c r="U277" s="29"/>
      <c r="V277" s="30"/>
      <c r="W277" s="30"/>
      <c r="X277" s="30"/>
      <c r="Y277" s="30"/>
      <c r="Z277" s="30"/>
      <c r="AA277" s="30"/>
      <c r="AB277" s="29"/>
      <c r="AC277" s="29"/>
      <c r="AD277" s="37" t="str">
        <f t="shared" si="61"/>
        <v/>
      </c>
      <c r="AE277" s="3" t="str">
        <f t="shared" ca="1" si="60"/>
        <v/>
      </c>
      <c r="AF277" s="38" t="str">
        <f t="shared" si="62"/>
        <v/>
      </c>
      <c r="AG277" s="7"/>
    </row>
    <row r="278" spans="1:33" ht="32.15" customHeight="1" x14ac:dyDescent="0.35">
      <c r="A278" s="26">
        <f t="shared" si="63"/>
        <v>260</v>
      </c>
      <c r="B278" s="27" t="s">
        <v>807</v>
      </c>
      <c r="C278" s="256" t="s">
        <v>865</v>
      </c>
      <c r="D278" s="257"/>
      <c r="E278" s="39" t="s">
        <v>866</v>
      </c>
      <c r="F278" s="24" t="s">
        <v>43</v>
      </c>
      <c r="G278" s="44" t="s">
        <v>2824</v>
      </c>
      <c r="H278" s="36" t="s">
        <v>231</v>
      </c>
      <c r="I278" s="4" t="s">
        <v>759</v>
      </c>
      <c r="J278" s="81">
        <v>45993</v>
      </c>
      <c r="K278" s="3" t="str">
        <f t="shared" ca="1" si="57"/>
        <v xml:space="preserve">0 Tahun 8 bulan </v>
      </c>
      <c r="L278" s="30" t="s">
        <v>346</v>
      </c>
      <c r="M278" s="47"/>
      <c r="N278" s="3" t="str">
        <f t="shared" ca="1" si="58"/>
        <v/>
      </c>
      <c r="O278" s="4"/>
      <c r="P278" s="4"/>
      <c r="Q278" s="4" t="str">
        <f t="shared" si="59"/>
        <v>Laki-Laki</v>
      </c>
      <c r="R278" s="4">
        <f t="shared" si="52"/>
        <v>1</v>
      </c>
      <c r="S278" s="4" t="str">
        <f t="shared" si="56"/>
        <v>1</v>
      </c>
      <c r="T278" s="4">
        <f t="shared" si="53"/>
        <v>0</v>
      </c>
      <c r="U278" s="29"/>
      <c r="V278" s="30"/>
      <c r="W278" s="30"/>
      <c r="X278" s="30"/>
      <c r="Y278" s="30"/>
      <c r="Z278" s="30"/>
      <c r="AA278" s="30"/>
      <c r="AB278" s="29"/>
      <c r="AC278" s="29"/>
      <c r="AD278" s="37">
        <f t="shared" si="61"/>
        <v>28710</v>
      </c>
      <c r="AE278" s="3" t="str">
        <f t="shared" ca="1" si="60"/>
        <v>48 Tahun 0 bulan 24 Hari</v>
      </c>
      <c r="AF278" s="38">
        <f t="shared" si="62"/>
        <v>50649</v>
      </c>
      <c r="AG278" s="7"/>
    </row>
    <row r="279" spans="1:33" ht="32.15" customHeight="1" x14ac:dyDescent="0.35">
      <c r="A279" s="26">
        <f t="shared" si="63"/>
        <v>261</v>
      </c>
      <c r="B279" s="27" t="s">
        <v>807</v>
      </c>
      <c r="C279" s="26"/>
      <c r="D279" s="50" t="s">
        <v>867</v>
      </c>
      <c r="E279" s="39" t="s">
        <v>868</v>
      </c>
      <c r="F279" s="24" t="s">
        <v>43</v>
      </c>
      <c r="G279" s="40" t="s">
        <v>869</v>
      </c>
      <c r="H279" s="4" t="s">
        <v>870</v>
      </c>
      <c r="I279" s="41" t="s">
        <v>441</v>
      </c>
      <c r="J279" s="81" t="s">
        <v>87</v>
      </c>
      <c r="K279" s="3" t="str">
        <f t="shared" ca="1" si="57"/>
        <v xml:space="preserve">4 Tahun 8 bulan </v>
      </c>
      <c r="L279" s="30" t="s">
        <v>88</v>
      </c>
      <c r="M279" s="81" t="s">
        <v>87</v>
      </c>
      <c r="N279" s="3" t="str">
        <f t="shared" ca="1" si="58"/>
        <v xml:space="preserve">4 Tahun 8 bulan </v>
      </c>
      <c r="O279" s="35"/>
      <c r="P279" s="4" t="s">
        <v>35</v>
      </c>
      <c r="Q279" s="4" t="str">
        <f t="shared" si="59"/>
        <v>Laki-Laki</v>
      </c>
      <c r="R279" s="4">
        <f t="shared" si="52"/>
        <v>1</v>
      </c>
      <c r="S279" s="4" t="str">
        <f t="shared" si="56"/>
        <v>1</v>
      </c>
      <c r="T279" s="4">
        <f t="shared" si="53"/>
        <v>0</v>
      </c>
      <c r="U279" s="29"/>
      <c r="V279" s="30" t="s">
        <v>50</v>
      </c>
      <c r="W279" s="30"/>
      <c r="X279" s="30"/>
      <c r="Y279" s="30"/>
      <c r="Z279" s="30"/>
      <c r="AA279" s="30"/>
      <c r="AB279" s="29"/>
      <c r="AC279" s="29"/>
      <c r="AD279" s="37">
        <f t="shared" si="61"/>
        <v>25851</v>
      </c>
      <c r="AE279" s="3" t="str">
        <f t="shared" ca="1" si="60"/>
        <v>55 Tahun 10 bulan 22 Hari</v>
      </c>
      <c r="AF279" s="38">
        <f t="shared" si="62"/>
        <v>47788</v>
      </c>
      <c r="AG279" s="7"/>
    </row>
    <row r="280" spans="1:33" ht="32.15" customHeight="1" x14ac:dyDescent="0.35">
      <c r="A280" s="26">
        <f t="shared" si="63"/>
        <v>262</v>
      </c>
      <c r="B280" s="27" t="s">
        <v>807</v>
      </c>
      <c r="C280" s="26"/>
      <c r="D280" s="50" t="s">
        <v>867</v>
      </c>
      <c r="E280" s="24" t="s">
        <v>871</v>
      </c>
      <c r="F280" s="24" t="s">
        <v>43</v>
      </c>
      <c r="G280" s="3" t="s">
        <v>872</v>
      </c>
      <c r="H280" s="4" t="s">
        <v>873</v>
      </c>
      <c r="I280" s="41" t="s">
        <v>46</v>
      </c>
      <c r="J280" s="81" t="s">
        <v>87</v>
      </c>
      <c r="K280" s="3" t="str">
        <f t="shared" ca="1" si="57"/>
        <v xml:space="preserve">4 Tahun 8 bulan </v>
      </c>
      <c r="L280" s="30" t="s">
        <v>88</v>
      </c>
      <c r="M280" s="81" t="s">
        <v>87</v>
      </c>
      <c r="N280" s="3" t="str">
        <f t="shared" ca="1" si="58"/>
        <v xml:space="preserve">4 Tahun 8 bulan </v>
      </c>
      <c r="O280" s="4"/>
      <c r="P280" s="4" t="s">
        <v>35</v>
      </c>
      <c r="Q280" s="4" t="str">
        <f t="shared" si="59"/>
        <v>Laki-Laki</v>
      </c>
      <c r="R280" s="4">
        <f t="shared" ref="R280:R281" si="64">R279</f>
        <v>1</v>
      </c>
      <c r="S280" s="4" t="str">
        <f t="shared" si="56"/>
        <v>1</v>
      </c>
      <c r="T280" s="4">
        <f t="shared" si="53"/>
        <v>0</v>
      </c>
      <c r="U280" s="29"/>
      <c r="V280" s="30" t="s">
        <v>50</v>
      </c>
      <c r="W280" s="30"/>
      <c r="X280" s="30"/>
      <c r="Y280" s="30"/>
      <c r="Z280" s="30"/>
      <c r="AA280" s="30"/>
      <c r="AB280" s="29"/>
      <c r="AC280" s="29"/>
      <c r="AD280" s="37">
        <f t="shared" si="61"/>
        <v>26919</v>
      </c>
      <c r="AE280" s="3" t="str">
        <f t="shared" ca="1" si="60"/>
        <v>52 Tahun 11 bulan 20 Hari</v>
      </c>
      <c r="AF280" s="38">
        <f t="shared" si="62"/>
        <v>48853</v>
      </c>
      <c r="AG280" s="7"/>
    </row>
    <row r="281" spans="1:33" ht="32.15" customHeight="1" x14ac:dyDescent="0.35">
      <c r="A281" s="26">
        <f t="shared" si="63"/>
        <v>263</v>
      </c>
      <c r="B281" s="27" t="s">
        <v>807</v>
      </c>
      <c r="C281" s="26"/>
      <c r="D281" s="50" t="s">
        <v>831</v>
      </c>
      <c r="E281" s="24" t="s">
        <v>108</v>
      </c>
      <c r="F281" s="24"/>
      <c r="G281" s="3"/>
      <c r="H281" s="4"/>
      <c r="I281" s="4"/>
      <c r="J281" s="81"/>
      <c r="K281" s="3" t="str">
        <f t="shared" ca="1" si="57"/>
        <v/>
      </c>
      <c r="L281" s="30" t="s">
        <v>88</v>
      </c>
      <c r="M281" s="81"/>
      <c r="N281" s="3" t="str">
        <f t="shared" ca="1" si="58"/>
        <v/>
      </c>
      <c r="O281" s="24"/>
      <c r="P281" s="4" t="s">
        <v>35</v>
      </c>
      <c r="Q281" s="4" t="str">
        <f t="shared" si="59"/>
        <v/>
      </c>
      <c r="R281" s="4">
        <f t="shared" si="64"/>
        <v>1</v>
      </c>
      <c r="S281" s="4" t="str">
        <f t="shared" si="56"/>
        <v>0</v>
      </c>
      <c r="T281" s="4">
        <f t="shared" si="53"/>
        <v>1</v>
      </c>
      <c r="U281" s="29"/>
      <c r="V281" s="30" t="s">
        <v>50</v>
      </c>
      <c r="W281" s="30"/>
      <c r="X281" s="30"/>
      <c r="Y281" s="30"/>
      <c r="Z281" s="30"/>
      <c r="AA281" s="30"/>
      <c r="AB281" s="29"/>
      <c r="AC281" s="29"/>
      <c r="AD281" s="37" t="str">
        <f t="shared" si="61"/>
        <v/>
      </c>
      <c r="AE281" s="3" t="str">
        <f t="shared" ca="1" si="60"/>
        <v/>
      </c>
      <c r="AF281" s="38" t="str">
        <f t="shared" si="62"/>
        <v/>
      </c>
    </row>
    <row r="282" spans="1:33" ht="32.15" customHeight="1" x14ac:dyDescent="0.35">
      <c r="A282" s="26"/>
      <c r="B282" s="27" t="s">
        <v>875</v>
      </c>
      <c r="C282" s="280" t="s">
        <v>876</v>
      </c>
      <c r="D282" s="281"/>
      <c r="E282" s="24"/>
      <c r="F282" s="24"/>
      <c r="G282" s="4"/>
      <c r="H282" s="4"/>
      <c r="I282" s="33"/>
      <c r="J282" s="5"/>
      <c r="K282" s="3" t="str">
        <f t="shared" ca="1" si="57"/>
        <v/>
      </c>
      <c r="L282" s="30"/>
      <c r="M282" s="5"/>
      <c r="N282" s="3" t="str">
        <f t="shared" ca="1" si="58"/>
        <v/>
      </c>
      <c r="O282" s="4"/>
      <c r="P282" s="4"/>
      <c r="Q282" s="4"/>
      <c r="R282" s="4"/>
      <c r="S282" s="4"/>
      <c r="T282" s="4"/>
      <c r="U282" s="29"/>
      <c r="V282" s="30"/>
      <c r="W282" s="30"/>
      <c r="X282" s="30"/>
      <c r="Y282" s="30"/>
      <c r="Z282" s="30"/>
      <c r="AA282" s="30"/>
      <c r="AB282" s="29"/>
      <c r="AC282" s="29"/>
      <c r="AD282" s="37" t="str">
        <f t="shared" si="61"/>
        <v/>
      </c>
      <c r="AE282" s="3" t="str">
        <f t="shared" ca="1" si="60"/>
        <v/>
      </c>
      <c r="AF282" s="38" t="str">
        <f t="shared" si="62"/>
        <v/>
      </c>
      <c r="AG282" s="7"/>
    </row>
    <row r="283" spans="1:33" ht="32.15" customHeight="1" x14ac:dyDescent="0.35">
      <c r="A283" s="26">
        <f>A281+1</f>
        <v>264</v>
      </c>
      <c r="B283" s="27" t="s">
        <v>875</v>
      </c>
      <c r="C283" s="278" t="s">
        <v>877</v>
      </c>
      <c r="D283" s="279"/>
      <c r="E283" s="39" t="s">
        <v>74</v>
      </c>
      <c r="F283" s="24" t="s">
        <v>71</v>
      </c>
      <c r="G283" s="40" t="s">
        <v>75</v>
      </c>
      <c r="H283" s="4" t="s">
        <v>76</v>
      </c>
      <c r="I283" s="25" t="s">
        <v>77</v>
      </c>
      <c r="J283" s="53">
        <v>46260</v>
      </c>
      <c r="K283" s="3" t="str">
        <f t="shared" ca="1" si="57"/>
        <v xml:space="preserve">0 Tahun 0 bulan </v>
      </c>
      <c r="L283" s="30" t="s">
        <v>56</v>
      </c>
      <c r="M283" s="212">
        <v>46260</v>
      </c>
      <c r="N283" s="3" t="str">
        <f t="shared" ca="1" si="58"/>
        <v xml:space="preserve">0 Tahun 0 bulan </v>
      </c>
      <c r="O283" s="89"/>
      <c r="P283" s="4" t="s">
        <v>35</v>
      </c>
      <c r="Q283" s="4" t="str">
        <f t="shared" si="59"/>
        <v>Laki-Laki</v>
      </c>
      <c r="R283" s="4">
        <f>R281</f>
        <v>1</v>
      </c>
      <c r="S283" s="4" t="str">
        <f t="shared" ref="S283:S296" si="65">IF(E283="LOWONG","0","1")</f>
        <v>1</v>
      </c>
      <c r="T283" s="4">
        <f t="shared" si="53"/>
        <v>0</v>
      </c>
      <c r="U283" s="29"/>
      <c r="V283" s="30" t="s">
        <v>50</v>
      </c>
      <c r="W283" s="30"/>
      <c r="X283" s="30"/>
      <c r="Y283" s="30"/>
      <c r="Z283" s="30"/>
      <c r="AA283" s="30"/>
      <c r="AB283" s="29"/>
      <c r="AC283" s="29"/>
      <c r="AD283" s="37">
        <f t="shared" si="61"/>
        <v>29829</v>
      </c>
      <c r="AE283" s="3" t="str">
        <f t="shared" ca="1" si="60"/>
        <v>45 Tahun 0 bulan 1 Hari</v>
      </c>
      <c r="AF283" s="38">
        <f t="shared" si="62"/>
        <v>51745</v>
      </c>
      <c r="AG283" s="7"/>
    </row>
    <row r="284" spans="1:33" ht="32.15" customHeight="1" x14ac:dyDescent="0.35">
      <c r="A284" s="26">
        <f t="shared" si="63"/>
        <v>265</v>
      </c>
      <c r="B284" s="27" t="s">
        <v>875</v>
      </c>
      <c r="C284" s="256" t="s">
        <v>881</v>
      </c>
      <c r="D284" s="257"/>
      <c r="E284" s="24" t="s">
        <v>882</v>
      </c>
      <c r="F284" s="24" t="s">
        <v>43</v>
      </c>
      <c r="G284" s="3" t="s">
        <v>883</v>
      </c>
      <c r="H284" s="4" t="s">
        <v>66</v>
      </c>
      <c r="I284" s="25" t="s">
        <v>46</v>
      </c>
      <c r="J284" s="47" t="s">
        <v>711</v>
      </c>
      <c r="K284" s="3" t="str">
        <f t="shared" ca="1" si="57"/>
        <v xml:space="preserve">4 Tahun 11 bulan </v>
      </c>
      <c r="L284" s="30" t="s">
        <v>79</v>
      </c>
      <c r="M284" s="47" t="s">
        <v>711</v>
      </c>
      <c r="N284" s="3" t="str">
        <f t="shared" ca="1" si="58"/>
        <v xml:space="preserve">4 Tahun 11 bulan </v>
      </c>
      <c r="O284" s="24"/>
      <c r="P284" s="4" t="s">
        <v>35</v>
      </c>
      <c r="Q284" s="4" t="str">
        <f t="shared" si="59"/>
        <v>Laki-Laki</v>
      </c>
      <c r="R284" s="4">
        <f t="shared" ref="R284:R347" si="66">R283</f>
        <v>1</v>
      </c>
      <c r="S284" s="4" t="str">
        <f t="shared" si="65"/>
        <v>1</v>
      </c>
      <c r="T284" s="4">
        <f t="shared" si="53"/>
        <v>0</v>
      </c>
      <c r="U284" s="29"/>
      <c r="V284" s="30" t="s">
        <v>50</v>
      </c>
      <c r="W284" s="30"/>
      <c r="X284" s="30"/>
      <c r="Y284" s="30"/>
      <c r="Z284" s="30"/>
      <c r="AA284" s="30"/>
      <c r="AB284" s="29"/>
      <c r="AC284" s="29"/>
      <c r="AD284" s="37">
        <f t="shared" si="61"/>
        <v>26025</v>
      </c>
      <c r="AE284" s="3" t="str">
        <f t="shared" ca="1" si="60"/>
        <v>55 Tahun 4 bulan 30 Hari</v>
      </c>
      <c r="AF284" s="38">
        <f t="shared" si="62"/>
        <v>47969</v>
      </c>
      <c r="AG284" s="7"/>
    </row>
    <row r="285" spans="1:33" ht="32.15" customHeight="1" x14ac:dyDescent="0.35">
      <c r="A285" s="26">
        <f t="shared" si="63"/>
        <v>266</v>
      </c>
      <c r="B285" s="27" t="s">
        <v>875</v>
      </c>
      <c r="C285" s="26"/>
      <c r="D285" s="50" t="s">
        <v>884</v>
      </c>
      <c r="E285" s="51" t="s">
        <v>885</v>
      </c>
      <c r="F285" s="24" t="s">
        <v>43</v>
      </c>
      <c r="G285" s="59" t="s">
        <v>886</v>
      </c>
      <c r="H285" s="4" t="s">
        <v>887</v>
      </c>
      <c r="I285" s="33" t="s">
        <v>86</v>
      </c>
      <c r="J285" s="47" t="s">
        <v>98</v>
      </c>
      <c r="K285" s="3" t="str">
        <f t="shared" ca="1" si="57"/>
        <v xml:space="preserve">3 Tahun 0 bulan </v>
      </c>
      <c r="L285" s="30" t="s">
        <v>200</v>
      </c>
      <c r="M285" s="47" t="s">
        <v>98</v>
      </c>
      <c r="N285" s="3" t="str">
        <f t="shared" ca="1" si="58"/>
        <v xml:space="preserve">3 Tahun 0 bulan </v>
      </c>
      <c r="O285" s="4"/>
      <c r="P285" s="4"/>
      <c r="Q285" s="4" t="str">
        <f t="shared" si="59"/>
        <v>Perempuan</v>
      </c>
      <c r="R285" s="4">
        <f t="shared" si="66"/>
        <v>1</v>
      </c>
      <c r="S285" s="4" t="str">
        <f t="shared" si="65"/>
        <v>1</v>
      </c>
      <c r="T285" s="4">
        <f t="shared" si="53"/>
        <v>0</v>
      </c>
      <c r="U285" s="29"/>
      <c r="V285" s="30"/>
      <c r="W285" s="30"/>
      <c r="X285" s="30"/>
      <c r="Y285" s="30"/>
      <c r="Z285" s="30"/>
      <c r="AA285" s="30"/>
      <c r="AB285" s="29"/>
      <c r="AC285" s="29"/>
      <c r="AD285" s="37">
        <f t="shared" si="61"/>
        <v>27397</v>
      </c>
      <c r="AE285" s="3" t="str">
        <f t="shared" ca="1" si="60"/>
        <v>51 Tahun 7 bulan 29 Hari</v>
      </c>
      <c r="AF285" s="38">
        <f t="shared" si="62"/>
        <v>49341</v>
      </c>
      <c r="AG285" s="7"/>
    </row>
    <row r="286" spans="1:33" ht="32.15" customHeight="1" x14ac:dyDescent="0.35">
      <c r="A286" s="26">
        <f t="shared" si="63"/>
        <v>267</v>
      </c>
      <c r="B286" s="27" t="s">
        <v>875</v>
      </c>
      <c r="C286" s="26"/>
      <c r="D286" s="50" t="s">
        <v>888</v>
      </c>
      <c r="E286" s="51" t="s">
        <v>889</v>
      </c>
      <c r="F286" s="24" t="s">
        <v>43</v>
      </c>
      <c r="G286" s="59" t="s">
        <v>890</v>
      </c>
      <c r="H286" s="4" t="s">
        <v>891</v>
      </c>
      <c r="I286" s="33" t="s">
        <v>86</v>
      </c>
      <c r="J286" s="47" t="s">
        <v>711</v>
      </c>
      <c r="K286" s="3" t="str">
        <f t="shared" ca="1" si="57"/>
        <v xml:space="preserve">4 Tahun 11 bulan </v>
      </c>
      <c r="L286" s="30" t="s">
        <v>200</v>
      </c>
      <c r="M286" s="47" t="s">
        <v>711</v>
      </c>
      <c r="N286" s="3" t="str">
        <f t="shared" ca="1" si="58"/>
        <v xml:space="preserve">4 Tahun 11 bulan </v>
      </c>
      <c r="O286" s="4"/>
      <c r="P286" s="4" t="s">
        <v>35</v>
      </c>
      <c r="Q286" s="4" t="str">
        <f t="shared" si="59"/>
        <v>Perempuan</v>
      </c>
      <c r="R286" s="4">
        <f t="shared" si="66"/>
        <v>1</v>
      </c>
      <c r="S286" s="4" t="str">
        <f t="shared" si="65"/>
        <v>1</v>
      </c>
      <c r="T286" s="4">
        <f t="shared" ref="T286:T352" si="67">R286-S286</f>
        <v>0</v>
      </c>
      <c r="U286" s="29"/>
      <c r="V286" s="30"/>
      <c r="W286" s="30"/>
      <c r="X286" s="30"/>
      <c r="Y286" s="30"/>
      <c r="Z286" s="30"/>
      <c r="AA286" s="30"/>
      <c r="AB286" s="29"/>
      <c r="AC286" s="29"/>
      <c r="AD286" s="37">
        <f t="shared" si="61"/>
        <v>29372</v>
      </c>
      <c r="AE286" s="3" t="str">
        <f t="shared" ca="1" si="60"/>
        <v>46 Tahun 3 bulan 1 Hari</v>
      </c>
      <c r="AF286" s="38">
        <f t="shared" si="62"/>
        <v>51288</v>
      </c>
      <c r="AG286" s="7"/>
    </row>
    <row r="287" spans="1:33" ht="32.15" customHeight="1" x14ac:dyDescent="0.35">
      <c r="A287" s="26">
        <f t="shared" si="63"/>
        <v>268</v>
      </c>
      <c r="B287" s="27" t="s">
        <v>875</v>
      </c>
      <c r="C287" s="26"/>
      <c r="D287" s="50" t="s">
        <v>892</v>
      </c>
      <c r="E287" s="24" t="s">
        <v>893</v>
      </c>
      <c r="F287" s="24" t="s">
        <v>43</v>
      </c>
      <c r="G287" s="3" t="s">
        <v>894</v>
      </c>
      <c r="H287" s="4" t="s">
        <v>241</v>
      </c>
      <c r="I287" s="4" t="s">
        <v>362</v>
      </c>
      <c r="J287" s="47" t="s">
        <v>895</v>
      </c>
      <c r="K287" s="3" t="str">
        <f t="shared" ca="1" si="57"/>
        <v xml:space="preserve">4 Tahun 2 bulan </v>
      </c>
      <c r="L287" s="30" t="s">
        <v>88</v>
      </c>
      <c r="M287" s="47" t="s">
        <v>895</v>
      </c>
      <c r="N287" s="3" t="str">
        <f t="shared" ca="1" si="58"/>
        <v xml:space="preserve">4 Tahun 2 bulan </v>
      </c>
      <c r="O287" s="4"/>
      <c r="P287" s="4" t="s">
        <v>35</v>
      </c>
      <c r="Q287" s="4" t="str">
        <f t="shared" si="59"/>
        <v>Perempuan</v>
      </c>
      <c r="R287" s="4">
        <f t="shared" si="66"/>
        <v>1</v>
      </c>
      <c r="S287" s="4" t="str">
        <f t="shared" si="65"/>
        <v>1</v>
      </c>
      <c r="T287" s="4">
        <f t="shared" si="67"/>
        <v>0</v>
      </c>
      <c r="U287" s="29"/>
      <c r="V287" s="30"/>
      <c r="W287" s="30"/>
      <c r="X287" s="30"/>
      <c r="Y287" s="30"/>
      <c r="Z287" s="30"/>
      <c r="AA287" s="30"/>
      <c r="AB287" s="29"/>
      <c r="AC287" s="29"/>
      <c r="AD287" s="37">
        <f t="shared" si="61"/>
        <v>30417</v>
      </c>
      <c r="AE287" s="3" t="str">
        <f t="shared" ca="1" si="60"/>
        <v>43 Tahun 4 bulan 21 Hari</v>
      </c>
      <c r="AF287" s="38">
        <f t="shared" si="62"/>
        <v>52352</v>
      </c>
      <c r="AG287" s="7"/>
    </row>
    <row r="288" spans="1:33" ht="32.15" customHeight="1" x14ac:dyDescent="0.35">
      <c r="A288" s="26">
        <f t="shared" si="63"/>
        <v>269</v>
      </c>
      <c r="B288" s="27" t="s">
        <v>875</v>
      </c>
      <c r="C288" s="256" t="s">
        <v>896</v>
      </c>
      <c r="D288" s="257"/>
      <c r="E288" s="24" t="s">
        <v>897</v>
      </c>
      <c r="F288" s="24" t="s">
        <v>43</v>
      </c>
      <c r="G288" s="3" t="s">
        <v>2825</v>
      </c>
      <c r="H288" s="3" t="s">
        <v>874</v>
      </c>
      <c r="I288" s="3" t="s">
        <v>2826</v>
      </c>
      <c r="J288" s="90" t="s">
        <v>898</v>
      </c>
      <c r="K288" s="3" t="str">
        <f t="shared" ca="1" si="57"/>
        <v xml:space="preserve">0 Tahun 8 bulan </v>
      </c>
      <c r="L288" s="30" t="s">
        <v>346</v>
      </c>
      <c r="M288" s="81"/>
      <c r="N288" s="3" t="str">
        <f t="shared" ca="1" si="58"/>
        <v/>
      </c>
      <c r="O288" s="4"/>
      <c r="P288" s="4" t="s">
        <v>35</v>
      </c>
      <c r="Q288" s="4" t="str">
        <f t="shared" si="59"/>
        <v>Perempuan</v>
      </c>
      <c r="R288" s="4">
        <f t="shared" si="66"/>
        <v>1</v>
      </c>
      <c r="S288" s="4" t="str">
        <f t="shared" si="65"/>
        <v>1</v>
      </c>
      <c r="T288" s="4">
        <f t="shared" si="67"/>
        <v>0</v>
      </c>
      <c r="U288" s="29"/>
      <c r="V288" s="30" t="str">
        <f>V292</f>
        <v>Baik</v>
      </c>
      <c r="W288" s="30"/>
      <c r="X288" s="30"/>
      <c r="Y288" s="30"/>
      <c r="Z288" s="30"/>
      <c r="AA288" s="30"/>
      <c r="AB288" s="29"/>
      <c r="AC288" s="29"/>
      <c r="AD288" s="37">
        <f t="shared" si="61"/>
        <v>26063</v>
      </c>
      <c r="AE288" s="3" t="str">
        <f t="shared" ca="1" si="60"/>
        <v>55 Tahun 3 bulan 22 Hari</v>
      </c>
      <c r="AF288" s="38">
        <f t="shared" si="62"/>
        <v>48000</v>
      </c>
      <c r="AG288" s="7"/>
    </row>
    <row r="289" spans="1:33" ht="29.25" customHeight="1" x14ac:dyDescent="0.35">
      <c r="A289" s="26">
        <f t="shared" si="63"/>
        <v>270</v>
      </c>
      <c r="B289" s="27" t="s">
        <v>875</v>
      </c>
      <c r="C289" s="26"/>
      <c r="D289" s="50" t="s">
        <v>899</v>
      </c>
      <c r="E289" s="24" t="s">
        <v>108</v>
      </c>
      <c r="F289" s="24"/>
      <c r="G289" s="4"/>
      <c r="H289" s="4"/>
      <c r="I289" s="33"/>
      <c r="J289" s="91"/>
      <c r="K289" s="3" t="str">
        <f t="shared" ca="1" si="57"/>
        <v/>
      </c>
      <c r="L289" s="30" t="s">
        <v>88</v>
      </c>
      <c r="M289" s="91"/>
      <c r="N289" s="3" t="str">
        <f t="shared" ca="1" si="58"/>
        <v/>
      </c>
      <c r="O289" s="4"/>
      <c r="P289" s="4"/>
      <c r="Q289" s="4" t="str">
        <f t="shared" si="59"/>
        <v/>
      </c>
      <c r="R289" s="4">
        <f t="shared" si="66"/>
        <v>1</v>
      </c>
      <c r="S289" s="4" t="str">
        <f t="shared" si="65"/>
        <v>0</v>
      </c>
      <c r="T289" s="4">
        <f t="shared" si="67"/>
        <v>1</v>
      </c>
      <c r="U289" s="29"/>
      <c r="V289" s="30"/>
      <c r="W289" s="30"/>
      <c r="X289" s="30"/>
      <c r="Y289" s="30"/>
      <c r="Z289" s="30"/>
      <c r="AA289" s="30"/>
      <c r="AB289" s="29"/>
      <c r="AC289" s="29"/>
      <c r="AD289" s="37" t="str">
        <f t="shared" si="61"/>
        <v/>
      </c>
      <c r="AE289" s="3" t="str">
        <f t="shared" ca="1" si="60"/>
        <v/>
      </c>
      <c r="AF289" s="38" t="str">
        <f t="shared" si="62"/>
        <v/>
      </c>
      <c r="AG289" s="7"/>
    </row>
    <row r="290" spans="1:33" ht="27.75" customHeight="1" x14ac:dyDescent="0.35">
      <c r="A290" s="26">
        <f t="shared" si="63"/>
        <v>271</v>
      </c>
      <c r="B290" s="27" t="s">
        <v>875</v>
      </c>
      <c r="C290" s="26"/>
      <c r="D290" s="50" t="s">
        <v>899</v>
      </c>
      <c r="E290" s="39" t="s">
        <v>900</v>
      </c>
      <c r="F290" s="24" t="s">
        <v>43</v>
      </c>
      <c r="G290" s="40" t="s">
        <v>901</v>
      </c>
      <c r="H290" s="4" t="s">
        <v>385</v>
      </c>
      <c r="I290" s="25" t="s">
        <v>46</v>
      </c>
      <c r="J290" s="47" t="s">
        <v>895</v>
      </c>
      <c r="K290" s="3" t="str">
        <f t="shared" ca="1" si="57"/>
        <v xml:space="preserve">4 Tahun 2 bulan </v>
      </c>
      <c r="L290" s="30" t="s">
        <v>88</v>
      </c>
      <c r="M290" s="47" t="s">
        <v>895</v>
      </c>
      <c r="N290" s="3" t="str">
        <f t="shared" ca="1" si="58"/>
        <v xml:space="preserve">4 Tahun 2 bulan </v>
      </c>
      <c r="O290" s="25" t="s">
        <v>863</v>
      </c>
      <c r="P290" s="4" t="s">
        <v>35</v>
      </c>
      <c r="Q290" s="4" t="str">
        <f t="shared" si="59"/>
        <v>Perempuan</v>
      </c>
      <c r="R290" s="4">
        <f t="shared" si="66"/>
        <v>1</v>
      </c>
      <c r="S290" s="4" t="str">
        <f t="shared" si="65"/>
        <v>1</v>
      </c>
      <c r="T290" s="4">
        <f t="shared" si="67"/>
        <v>0</v>
      </c>
      <c r="U290" s="29"/>
      <c r="V290" s="30"/>
      <c r="W290" s="30"/>
      <c r="X290" s="30"/>
      <c r="Y290" s="30"/>
      <c r="Z290" s="30"/>
      <c r="AA290" s="30"/>
      <c r="AB290" s="29"/>
      <c r="AC290" s="29"/>
      <c r="AD290" s="37">
        <f t="shared" si="61"/>
        <v>28937</v>
      </c>
      <c r="AE290" s="3" t="str">
        <f t="shared" ca="1" si="60"/>
        <v>47 Tahun 5 bulan 9 Hari</v>
      </c>
      <c r="AF290" s="38">
        <f t="shared" si="62"/>
        <v>50861</v>
      </c>
      <c r="AG290" s="7"/>
    </row>
    <row r="291" spans="1:33" ht="32.15" customHeight="1" x14ac:dyDescent="0.35">
      <c r="A291" s="26">
        <f t="shared" si="63"/>
        <v>272</v>
      </c>
      <c r="B291" s="27" t="s">
        <v>875</v>
      </c>
      <c r="C291" s="256" t="s">
        <v>902</v>
      </c>
      <c r="D291" s="257"/>
      <c r="E291" s="51" t="s">
        <v>903</v>
      </c>
      <c r="F291" s="24" t="s">
        <v>43</v>
      </c>
      <c r="G291" s="52" t="s">
        <v>2827</v>
      </c>
      <c r="H291" s="4" t="s">
        <v>781</v>
      </c>
      <c r="I291" s="36" t="s">
        <v>2828</v>
      </c>
      <c r="J291" s="81">
        <v>45993</v>
      </c>
      <c r="K291" s="3" t="str">
        <f t="shared" ca="1" si="57"/>
        <v xml:space="preserve">0 Tahun 8 bulan </v>
      </c>
      <c r="L291" s="30" t="s">
        <v>346</v>
      </c>
      <c r="M291" s="81"/>
      <c r="N291" s="3" t="str">
        <f t="shared" ca="1" si="58"/>
        <v/>
      </c>
      <c r="O291" s="36"/>
      <c r="P291" s="4" t="s">
        <v>35</v>
      </c>
      <c r="Q291" s="4" t="str">
        <f t="shared" si="59"/>
        <v>Laki-Laki</v>
      </c>
      <c r="R291" s="4">
        <f t="shared" si="66"/>
        <v>1</v>
      </c>
      <c r="S291" s="4" t="str">
        <f t="shared" si="65"/>
        <v>1</v>
      </c>
      <c r="T291" s="4">
        <f t="shared" si="67"/>
        <v>0</v>
      </c>
      <c r="U291" s="29"/>
      <c r="V291" s="30" t="s">
        <v>50</v>
      </c>
      <c r="W291" s="30"/>
      <c r="X291" s="30"/>
      <c r="Y291" s="30"/>
      <c r="Z291" s="30"/>
      <c r="AA291" s="30"/>
      <c r="AB291" s="29"/>
      <c r="AC291" s="29"/>
      <c r="AD291" s="37">
        <f t="shared" si="61"/>
        <v>28867</v>
      </c>
      <c r="AE291" s="3" t="str">
        <f t="shared" ca="1" si="60"/>
        <v>47 Tahun 7 bulan 20 Hari</v>
      </c>
      <c r="AF291" s="38">
        <f t="shared" si="62"/>
        <v>50802</v>
      </c>
      <c r="AG291" s="7"/>
    </row>
    <row r="292" spans="1:33" ht="32.15" customHeight="1" x14ac:dyDescent="0.35">
      <c r="A292" s="26">
        <f t="shared" si="63"/>
        <v>273</v>
      </c>
      <c r="B292" s="27" t="s">
        <v>875</v>
      </c>
      <c r="C292" s="26"/>
      <c r="D292" s="50" t="s">
        <v>904</v>
      </c>
      <c r="E292" s="24" t="s">
        <v>108</v>
      </c>
      <c r="F292" s="24"/>
      <c r="G292" s="4"/>
      <c r="H292" s="4"/>
      <c r="I292" s="33"/>
      <c r="J292" s="47"/>
      <c r="K292" s="3" t="str">
        <f t="shared" ca="1" si="57"/>
        <v/>
      </c>
      <c r="L292" s="30" t="s">
        <v>88</v>
      </c>
      <c r="M292" s="47"/>
      <c r="N292" s="3" t="str">
        <f t="shared" ca="1" si="58"/>
        <v/>
      </c>
      <c r="O292" s="4"/>
      <c r="P292" s="4" t="s">
        <v>35</v>
      </c>
      <c r="Q292" s="4" t="str">
        <f t="shared" si="59"/>
        <v/>
      </c>
      <c r="R292" s="4">
        <f t="shared" si="66"/>
        <v>1</v>
      </c>
      <c r="S292" s="4" t="str">
        <f t="shared" si="65"/>
        <v>0</v>
      </c>
      <c r="T292" s="4">
        <f t="shared" si="67"/>
        <v>1</v>
      </c>
      <c r="U292" s="29"/>
      <c r="V292" s="30" t="s">
        <v>50</v>
      </c>
      <c r="W292" s="30"/>
      <c r="X292" s="30"/>
      <c r="Y292" s="30"/>
      <c r="Z292" s="30"/>
      <c r="AA292" s="30"/>
      <c r="AB292" s="29"/>
      <c r="AC292" s="29"/>
      <c r="AD292" s="37" t="str">
        <f t="shared" si="61"/>
        <v/>
      </c>
      <c r="AE292" s="3" t="str">
        <f t="shared" ca="1" si="60"/>
        <v/>
      </c>
      <c r="AF292" s="38" t="str">
        <f t="shared" si="62"/>
        <v/>
      </c>
      <c r="AG292" s="7"/>
    </row>
    <row r="293" spans="1:33" ht="30" customHeight="1" x14ac:dyDescent="0.35">
      <c r="A293" s="26">
        <f t="shared" si="63"/>
        <v>274</v>
      </c>
      <c r="B293" s="27" t="s">
        <v>875</v>
      </c>
      <c r="C293" s="26"/>
      <c r="D293" s="50" t="s">
        <v>904</v>
      </c>
      <c r="E293" s="24" t="s">
        <v>108</v>
      </c>
      <c r="F293" s="24"/>
      <c r="G293" s="3"/>
      <c r="H293" s="4"/>
      <c r="I293" s="33"/>
      <c r="J293" s="47"/>
      <c r="K293" s="3" t="str">
        <f t="shared" ca="1" si="57"/>
        <v/>
      </c>
      <c r="L293" s="30" t="s">
        <v>88</v>
      </c>
      <c r="M293" s="47"/>
      <c r="N293" s="3" t="str">
        <f t="shared" ca="1" si="58"/>
        <v/>
      </c>
      <c r="O293" s="4"/>
      <c r="P293" s="4" t="s">
        <v>35</v>
      </c>
      <c r="Q293" s="4" t="str">
        <f t="shared" si="59"/>
        <v/>
      </c>
      <c r="R293" s="4">
        <f t="shared" si="66"/>
        <v>1</v>
      </c>
      <c r="S293" s="4" t="str">
        <f t="shared" si="65"/>
        <v>0</v>
      </c>
      <c r="T293" s="4">
        <f t="shared" si="67"/>
        <v>1</v>
      </c>
      <c r="U293" s="29"/>
      <c r="V293" s="30" t="s">
        <v>50</v>
      </c>
      <c r="W293" s="30"/>
      <c r="X293" s="30"/>
      <c r="Y293" s="30"/>
      <c r="Z293" s="30"/>
      <c r="AA293" s="30"/>
      <c r="AB293" s="29"/>
      <c r="AC293" s="29"/>
      <c r="AD293" s="37" t="str">
        <f t="shared" si="61"/>
        <v/>
      </c>
      <c r="AE293" s="3" t="str">
        <f t="shared" ca="1" si="60"/>
        <v/>
      </c>
      <c r="AF293" s="38" t="str">
        <f t="shared" si="62"/>
        <v/>
      </c>
      <c r="AG293" s="7"/>
    </row>
    <row r="294" spans="1:33" ht="32.15" customHeight="1" x14ac:dyDescent="0.35">
      <c r="A294" s="26">
        <f t="shared" si="63"/>
        <v>275</v>
      </c>
      <c r="B294" s="27" t="s">
        <v>875</v>
      </c>
      <c r="C294" s="256" t="s">
        <v>909</v>
      </c>
      <c r="D294" s="257"/>
      <c r="E294" s="24" t="s">
        <v>910</v>
      </c>
      <c r="F294" s="24" t="s">
        <v>43</v>
      </c>
      <c r="G294" s="3" t="s">
        <v>911</v>
      </c>
      <c r="H294" s="4" t="s">
        <v>912</v>
      </c>
      <c r="I294" s="33" t="s">
        <v>913</v>
      </c>
      <c r="J294" s="81" t="s">
        <v>87</v>
      </c>
      <c r="K294" s="3" t="str">
        <f t="shared" ca="1" si="57"/>
        <v xml:space="preserve">4 Tahun 8 bulan </v>
      </c>
      <c r="L294" s="30" t="s">
        <v>346</v>
      </c>
      <c r="M294" s="81" t="s">
        <v>87</v>
      </c>
      <c r="N294" s="3" t="str">
        <f t="shared" ca="1" si="58"/>
        <v xml:space="preserve">4 Tahun 8 bulan </v>
      </c>
      <c r="O294" s="4"/>
      <c r="P294" s="4" t="s">
        <v>35</v>
      </c>
      <c r="Q294" s="4" t="str">
        <f t="shared" si="59"/>
        <v>Perempuan</v>
      </c>
      <c r="R294" s="4">
        <f t="shared" si="66"/>
        <v>1</v>
      </c>
      <c r="S294" s="4" t="str">
        <f t="shared" si="65"/>
        <v>1</v>
      </c>
      <c r="T294" s="4">
        <f t="shared" si="67"/>
        <v>0</v>
      </c>
      <c r="U294" s="29"/>
      <c r="V294" s="30"/>
      <c r="W294" s="30"/>
      <c r="X294" s="30"/>
      <c r="Y294" s="30"/>
      <c r="Z294" s="30"/>
      <c r="AA294" s="30"/>
      <c r="AB294" s="29"/>
      <c r="AC294" s="29"/>
      <c r="AD294" s="37">
        <f t="shared" si="61"/>
        <v>25455</v>
      </c>
      <c r="AE294" s="3" t="str">
        <f t="shared" ca="1" si="60"/>
        <v>56 Tahun 11 bulan 23 Hari</v>
      </c>
      <c r="AF294" s="38">
        <f t="shared" si="62"/>
        <v>47392</v>
      </c>
      <c r="AG294" s="7"/>
    </row>
    <row r="295" spans="1:33" ht="32.15" customHeight="1" x14ac:dyDescent="0.35">
      <c r="A295" s="26">
        <f t="shared" si="63"/>
        <v>276</v>
      </c>
      <c r="B295" s="27" t="s">
        <v>875</v>
      </c>
      <c r="C295" s="26"/>
      <c r="D295" s="50" t="s">
        <v>899</v>
      </c>
      <c r="E295" s="45" t="s">
        <v>914</v>
      </c>
      <c r="F295" s="24" t="s">
        <v>43</v>
      </c>
      <c r="G295" s="44" t="s">
        <v>915</v>
      </c>
      <c r="H295" s="4" t="s">
        <v>781</v>
      </c>
      <c r="I295" s="4" t="s">
        <v>107</v>
      </c>
      <c r="J295" s="47" t="s">
        <v>895</v>
      </c>
      <c r="K295" s="3" t="str">
        <f t="shared" ca="1" si="57"/>
        <v xml:space="preserve">4 Tahun 2 bulan </v>
      </c>
      <c r="L295" s="30" t="s">
        <v>88</v>
      </c>
      <c r="M295" s="47" t="s">
        <v>895</v>
      </c>
      <c r="N295" s="3" t="str">
        <f t="shared" ca="1" si="58"/>
        <v xml:space="preserve">4 Tahun 2 bulan </v>
      </c>
      <c r="O295" s="35"/>
      <c r="P295" s="4" t="s">
        <v>35</v>
      </c>
      <c r="Q295" s="4" t="str">
        <f t="shared" si="59"/>
        <v>Perempuan</v>
      </c>
      <c r="R295" s="4">
        <f t="shared" si="66"/>
        <v>1</v>
      </c>
      <c r="S295" s="4" t="str">
        <f t="shared" si="65"/>
        <v>1</v>
      </c>
      <c r="T295" s="4">
        <f t="shared" si="67"/>
        <v>0</v>
      </c>
      <c r="U295" s="29"/>
      <c r="V295" s="30"/>
      <c r="W295" s="30"/>
      <c r="X295" s="30"/>
      <c r="Y295" s="30"/>
      <c r="Z295" s="30"/>
      <c r="AA295" s="30"/>
      <c r="AB295" s="29"/>
      <c r="AC295" s="29"/>
      <c r="AD295" s="37">
        <f t="shared" si="61"/>
        <v>28500</v>
      </c>
      <c r="AE295" s="3" t="str">
        <f t="shared" ca="1" si="60"/>
        <v>48 Tahun 7 bulan 22 Hari</v>
      </c>
      <c r="AF295" s="38">
        <f t="shared" si="62"/>
        <v>50437</v>
      </c>
      <c r="AG295" s="7"/>
    </row>
    <row r="296" spans="1:33" ht="32.15" customHeight="1" x14ac:dyDescent="0.35">
      <c r="A296" s="26">
        <f t="shared" si="63"/>
        <v>277</v>
      </c>
      <c r="B296" s="27" t="s">
        <v>875</v>
      </c>
      <c r="C296" s="26"/>
      <c r="D296" s="50" t="s">
        <v>899</v>
      </c>
      <c r="E296" s="24" t="s">
        <v>916</v>
      </c>
      <c r="F296" s="24" t="s">
        <v>43</v>
      </c>
      <c r="G296" s="3" t="s">
        <v>917</v>
      </c>
      <c r="H296" s="4" t="s">
        <v>159</v>
      </c>
      <c r="I296" s="33" t="s">
        <v>184</v>
      </c>
      <c r="J296" s="47" t="s">
        <v>895</v>
      </c>
      <c r="K296" s="3" t="str">
        <f t="shared" ca="1" si="57"/>
        <v xml:space="preserve">4 Tahun 2 bulan </v>
      </c>
      <c r="L296" s="30" t="s">
        <v>88</v>
      </c>
      <c r="M296" s="47" t="s">
        <v>895</v>
      </c>
      <c r="N296" s="3" t="str">
        <f t="shared" ca="1" si="58"/>
        <v xml:space="preserve">4 Tahun 2 bulan </v>
      </c>
      <c r="O296" s="4"/>
      <c r="P296" s="4" t="s">
        <v>35</v>
      </c>
      <c r="Q296" s="4" t="str">
        <f t="shared" si="59"/>
        <v>Laki-Laki</v>
      </c>
      <c r="R296" s="4">
        <f t="shared" si="66"/>
        <v>1</v>
      </c>
      <c r="S296" s="4" t="str">
        <f t="shared" si="65"/>
        <v>1</v>
      </c>
      <c r="T296" s="4">
        <f t="shared" si="67"/>
        <v>0</v>
      </c>
      <c r="U296" s="29"/>
      <c r="V296" s="30" t="s">
        <v>50</v>
      </c>
      <c r="W296" s="30"/>
      <c r="X296" s="30"/>
      <c r="Y296" s="30"/>
      <c r="Z296" s="30"/>
      <c r="AA296" s="30"/>
      <c r="AB296" s="29"/>
      <c r="AC296" s="29"/>
      <c r="AD296" s="37">
        <f t="shared" si="61"/>
        <v>26408</v>
      </c>
      <c r="AE296" s="3" t="str">
        <f t="shared" ca="1" si="60"/>
        <v>54 Tahun 4 bulan 13 Hari</v>
      </c>
      <c r="AF296" s="38">
        <f t="shared" si="62"/>
        <v>48335</v>
      </c>
      <c r="AG296" s="7"/>
    </row>
    <row r="297" spans="1:33" ht="32.15" customHeight="1" x14ac:dyDescent="0.35">
      <c r="A297" s="26">
        <f t="shared" si="63"/>
        <v>278</v>
      </c>
      <c r="B297" s="27" t="s">
        <v>875</v>
      </c>
      <c r="C297" s="256" t="s">
        <v>918</v>
      </c>
      <c r="D297" s="257"/>
      <c r="E297" s="64" t="s">
        <v>905</v>
      </c>
      <c r="F297" s="24" t="s">
        <v>43</v>
      </c>
      <c r="G297" s="25" t="s">
        <v>906</v>
      </c>
      <c r="H297" s="25" t="s">
        <v>337</v>
      </c>
      <c r="I297" s="25" t="s">
        <v>184</v>
      </c>
      <c r="J297" s="92" t="s">
        <v>895</v>
      </c>
      <c r="K297" s="3" t="str">
        <f t="shared" ca="1" si="57"/>
        <v xml:space="preserve">4 Tahun 2 bulan </v>
      </c>
      <c r="L297" s="30" t="s">
        <v>346</v>
      </c>
      <c r="M297" s="47" t="s">
        <v>895</v>
      </c>
      <c r="N297" s="3" t="str">
        <f t="shared" ca="1" si="58"/>
        <v xml:space="preserve">4 Tahun 2 bulan </v>
      </c>
      <c r="O297" s="29"/>
      <c r="P297" s="4" t="s">
        <v>35</v>
      </c>
      <c r="Q297" s="4" t="str">
        <f t="shared" si="59"/>
        <v>Laki-Laki</v>
      </c>
      <c r="R297" s="4">
        <f t="shared" si="66"/>
        <v>1</v>
      </c>
      <c r="S297" s="4" t="str">
        <f>IF(E42="LOWONG","0","1")</f>
        <v>1</v>
      </c>
      <c r="T297" s="4">
        <f t="shared" si="67"/>
        <v>0</v>
      </c>
      <c r="U297" s="29"/>
      <c r="V297" s="30" t="s">
        <v>50</v>
      </c>
      <c r="W297" s="30"/>
      <c r="X297" s="30"/>
      <c r="Y297" s="30"/>
      <c r="Z297" s="30"/>
      <c r="AA297" s="30"/>
      <c r="AB297" s="29"/>
      <c r="AC297" s="29"/>
      <c r="AD297" s="37">
        <f t="shared" si="61"/>
        <v>30544</v>
      </c>
      <c r="AE297" s="3" t="str">
        <f t="shared" ca="1" si="60"/>
        <v>43 Tahun 0 bulan 16 Hari</v>
      </c>
      <c r="AF297" s="38">
        <f t="shared" si="62"/>
        <v>52475</v>
      </c>
      <c r="AG297" s="7"/>
    </row>
    <row r="298" spans="1:33" ht="27" customHeight="1" x14ac:dyDescent="0.35">
      <c r="A298" s="26">
        <f t="shared" si="63"/>
        <v>279</v>
      </c>
      <c r="B298" s="27" t="s">
        <v>875</v>
      </c>
      <c r="C298" s="26"/>
      <c r="D298" s="50" t="s">
        <v>904</v>
      </c>
      <c r="E298" s="45" t="s">
        <v>919</v>
      </c>
      <c r="F298" s="24" t="s">
        <v>43</v>
      </c>
      <c r="G298" s="73" t="s">
        <v>920</v>
      </c>
      <c r="H298" s="76" t="s">
        <v>345</v>
      </c>
      <c r="I298" s="36" t="s">
        <v>46</v>
      </c>
      <c r="J298" s="47" t="s">
        <v>895</v>
      </c>
      <c r="K298" s="3" t="str">
        <f t="shared" ca="1" si="57"/>
        <v xml:space="preserve">4 Tahun 2 bulan </v>
      </c>
      <c r="L298" s="30" t="s">
        <v>88</v>
      </c>
      <c r="M298" s="47" t="s">
        <v>895</v>
      </c>
      <c r="N298" s="3" t="str">
        <f t="shared" ca="1" si="58"/>
        <v xml:space="preserve">4 Tahun 2 bulan </v>
      </c>
      <c r="O298" s="35"/>
      <c r="P298" s="4" t="s">
        <v>35</v>
      </c>
      <c r="Q298" s="4" t="str">
        <f t="shared" si="59"/>
        <v>Laki-Laki</v>
      </c>
      <c r="R298" s="4">
        <f t="shared" si="66"/>
        <v>1</v>
      </c>
      <c r="S298" s="4" t="str">
        <f>IF(E298="LOWONG","0","1")</f>
        <v>1</v>
      </c>
      <c r="T298" s="4">
        <f t="shared" si="67"/>
        <v>0</v>
      </c>
      <c r="U298" s="29"/>
      <c r="V298" s="30" t="s">
        <v>50</v>
      </c>
      <c r="W298" s="30"/>
      <c r="X298" s="30"/>
      <c r="Y298" s="30"/>
      <c r="Z298" s="30"/>
      <c r="AA298" s="30"/>
      <c r="AB298" s="29"/>
      <c r="AC298" s="29"/>
      <c r="AD298" s="37">
        <f t="shared" si="61"/>
        <v>30107</v>
      </c>
      <c r="AE298" s="3" t="str">
        <f t="shared" ca="1" si="60"/>
        <v>44 Tahun 2 bulan 27 Hari</v>
      </c>
      <c r="AF298" s="38">
        <f t="shared" si="62"/>
        <v>52048</v>
      </c>
      <c r="AG298" s="7"/>
    </row>
    <row r="299" spans="1:33" ht="28.5" customHeight="1" x14ac:dyDescent="0.35">
      <c r="A299" s="26">
        <f t="shared" si="63"/>
        <v>280</v>
      </c>
      <c r="B299" s="27" t="s">
        <v>875</v>
      </c>
      <c r="C299" s="26"/>
      <c r="D299" s="50" t="s">
        <v>892</v>
      </c>
      <c r="E299" s="39" t="s">
        <v>921</v>
      </c>
      <c r="F299" s="24" t="s">
        <v>43</v>
      </c>
      <c r="G299" s="40" t="s">
        <v>922</v>
      </c>
      <c r="H299" s="4" t="s">
        <v>85</v>
      </c>
      <c r="I299" s="30" t="s">
        <v>184</v>
      </c>
      <c r="J299" s="47" t="s">
        <v>895</v>
      </c>
      <c r="K299" s="3" t="str">
        <f t="shared" ca="1" si="57"/>
        <v xml:space="preserve">4 Tahun 2 bulan </v>
      </c>
      <c r="L299" s="30" t="s">
        <v>88</v>
      </c>
      <c r="M299" s="47" t="s">
        <v>895</v>
      </c>
      <c r="N299" s="3" t="str">
        <f t="shared" ca="1" si="58"/>
        <v xml:space="preserve">4 Tahun 2 bulan </v>
      </c>
      <c r="O299" s="29"/>
      <c r="P299" s="4" t="s">
        <v>35</v>
      </c>
      <c r="Q299" s="4" t="str">
        <f t="shared" si="59"/>
        <v>Laki-Laki</v>
      </c>
      <c r="R299" s="4">
        <f t="shared" si="66"/>
        <v>1</v>
      </c>
      <c r="S299" s="4" t="str">
        <f>IF(E299="LOWONG","0","1")</f>
        <v>1</v>
      </c>
      <c r="T299" s="4">
        <f t="shared" si="67"/>
        <v>0</v>
      </c>
      <c r="U299" s="29"/>
      <c r="V299" s="30" t="s">
        <v>50</v>
      </c>
      <c r="W299" s="30"/>
      <c r="X299" s="30"/>
      <c r="Y299" s="30"/>
      <c r="Z299" s="30"/>
      <c r="AA299" s="30"/>
      <c r="AB299" s="29"/>
      <c r="AC299" s="29"/>
      <c r="AD299" s="37">
        <f t="shared" si="61"/>
        <v>30896</v>
      </c>
      <c r="AE299" s="3" t="str">
        <f t="shared" ca="1" si="60"/>
        <v>42 Tahun 0 bulan 30 Hari</v>
      </c>
      <c r="AF299" s="38">
        <f t="shared" si="62"/>
        <v>52841</v>
      </c>
      <c r="AG299" s="7"/>
    </row>
    <row r="300" spans="1:33" ht="28.5" customHeight="1" x14ac:dyDescent="0.35">
      <c r="A300" s="26"/>
      <c r="B300" s="27" t="s">
        <v>923</v>
      </c>
      <c r="C300" s="280" t="s">
        <v>924</v>
      </c>
      <c r="D300" s="281"/>
      <c r="E300" s="24"/>
      <c r="F300" s="24"/>
      <c r="G300" s="4"/>
      <c r="H300" s="4"/>
      <c r="I300" s="33"/>
      <c r="J300" s="5"/>
      <c r="K300" s="3" t="str">
        <f t="shared" ca="1" si="57"/>
        <v/>
      </c>
      <c r="L300" s="30"/>
      <c r="M300" s="5"/>
      <c r="N300" s="3" t="str">
        <f t="shared" ca="1" si="58"/>
        <v/>
      </c>
      <c r="O300" s="4"/>
      <c r="P300" s="4"/>
      <c r="Q300" s="4"/>
      <c r="R300" s="4"/>
      <c r="S300" s="4"/>
      <c r="T300" s="4"/>
      <c r="U300" s="29"/>
      <c r="V300" s="30"/>
      <c r="W300" s="30"/>
      <c r="X300" s="30"/>
      <c r="Y300" s="30"/>
      <c r="Z300" s="30"/>
      <c r="AA300" s="30"/>
      <c r="AB300" s="29"/>
      <c r="AC300" s="29"/>
      <c r="AD300" s="37" t="str">
        <f t="shared" si="61"/>
        <v/>
      </c>
      <c r="AE300" s="3" t="str">
        <f t="shared" ca="1" si="60"/>
        <v/>
      </c>
      <c r="AF300" s="38" t="str">
        <f t="shared" si="62"/>
        <v/>
      </c>
      <c r="AG300" s="7"/>
    </row>
    <row r="301" spans="1:33" ht="32.15" customHeight="1" x14ac:dyDescent="0.35">
      <c r="A301" s="26">
        <f>A299+1</f>
        <v>281</v>
      </c>
      <c r="B301" s="27" t="s">
        <v>923</v>
      </c>
      <c r="C301" s="278" t="s">
        <v>925</v>
      </c>
      <c r="D301" s="279"/>
      <c r="E301" s="24" t="s">
        <v>929</v>
      </c>
      <c r="F301" s="24" t="s">
        <v>43</v>
      </c>
      <c r="G301" s="3" t="s">
        <v>926</v>
      </c>
      <c r="H301" s="4" t="s">
        <v>2813</v>
      </c>
      <c r="I301" s="4" t="s">
        <v>927</v>
      </c>
      <c r="J301" s="5">
        <v>46087</v>
      </c>
      <c r="K301" s="3" t="str">
        <f t="shared" ca="1" si="57"/>
        <v xml:space="preserve">0 Tahun 5 bulan </v>
      </c>
      <c r="L301" s="30" t="s">
        <v>56</v>
      </c>
      <c r="M301" s="53">
        <v>46087</v>
      </c>
      <c r="N301" s="3" t="str">
        <f t="shared" ca="1" si="58"/>
        <v xml:space="preserve">0 Tahun 5 bulan </v>
      </c>
      <c r="O301" s="4"/>
      <c r="P301" s="4"/>
      <c r="Q301" s="4" t="str">
        <f t="shared" si="59"/>
        <v>Laki-Laki</v>
      </c>
      <c r="R301" s="4">
        <f>R299</f>
        <v>1</v>
      </c>
      <c r="S301" s="4" t="str">
        <f t="shared" ref="S301:S313" si="68">IF(E301="LOWONG","0","1")</f>
        <v>1</v>
      </c>
      <c r="T301" s="4">
        <f t="shared" si="67"/>
        <v>0</v>
      </c>
      <c r="U301" s="29"/>
      <c r="V301" s="30" t="s">
        <v>50</v>
      </c>
      <c r="W301" s="30"/>
      <c r="X301" s="30"/>
      <c r="Y301" s="30"/>
      <c r="Z301" s="30"/>
      <c r="AA301" s="30"/>
      <c r="AB301" s="29"/>
      <c r="AC301" s="29"/>
      <c r="AD301" s="37">
        <f t="shared" si="61"/>
        <v>27049</v>
      </c>
      <c r="AE301" s="3" t="str">
        <f t="shared" ca="1" si="60"/>
        <v>52 Tahun 7 bulan 12 Hari</v>
      </c>
      <c r="AF301" s="38">
        <f t="shared" si="62"/>
        <v>48976</v>
      </c>
      <c r="AG301" s="7"/>
    </row>
    <row r="302" spans="1:33" ht="32.15" customHeight="1" x14ac:dyDescent="0.35">
      <c r="A302" s="26">
        <f t="shared" si="63"/>
        <v>282</v>
      </c>
      <c r="B302" s="27" t="s">
        <v>923</v>
      </c>
      <c r="C302" s="256" t="s">
        <v>928</v>
      </c>
      <c r="D302" s="257"/>
      <c r="E302" s="220" t="s">
        <v>938</v>
      </c>
      <c r="F302" s="24" t="s">
        <v>43</v>
      </c>
      <c r="G302" s="44" t="s">
        <v>939</v>
      </c>
      <c r="H302" s="36" t="s">
        <v>188</v>
      </c>
      <c r="I302" s="36" t="s">
        <v>86</v>
      </c>
      <c r="J302" s="5">
        <v>46132</v>
      </c>
      <c r="K302" s="3" t="str">
        <f ca="1">IF(J302="","",CONCATENATE(DATEDIF(J302,NOW(),"Y")," Tahun ",DATEDIF(J302,NOW(),"YM")," bulan "))</f>
        <v xml:space="preserve">0 Tahun 4 bulan </v>
      </c>
      <c r="L302" s="30" t="s">
        <v>79</v>
      </c>
      <c r="M302" s="82">
        <v>46132</v>
      </c>
      <c r="N302" s="3" t="str">
        <f t="shared" ca="1" si="58"/>
        <v xml:space="preserve">0 Tahun 4 bulan </v>
      </c>
      <c r="O302" s="4"/>
      <c r="P302" s="4"/>
      <c r="Q302" s="4" t="str">
        <f t="shared" si="59"/>
        <v>Laki-Laki</v>
      </c>
      <c r="R302" s="4">
        <f t="shared" si="66"/>
        <v>1</v>
      </c>
      <c r="S302" s="4" t="str">
        <f t="shared" si="68"/>
        <v>1</v>
      </c>
      <c r="T302" s="4">
        <f t="shared" si="67"/>
        <v>0</v>
      </c>
      <c r="U302" s="29"/>
      <c r="V302" s="30"/>
      <c r="W302" s="30"/>
      <c r="X302" s="30"/>
      <c r="Y302" s="30"/>
      <c r="Z302" s="30"/>
      <c r="AA302" s="30"/>
      <c r="AB302" s="29"/>
      <c r="AC302" s="29"/>
      <c r="AD302" s="37">
        <f t="shared" si="61"/>
        <v>25082</v>
      </c>
      <c r="AE302" s="3" t="str">
        <f t="shared" ca="1" si="60"/>
        <v>58 Tahun 0 bulan 0 Hari</v>
      </c>
      <c r="AF302" s="38">
        <f t="shared" si="62"/>
        <v>47027</v>
      </c>
      <c r="AG302" s="11" t="s">
        <v>3145</v>
      </c>
    </row>
    <row r="303" spans="1:33" ht="34.5" customHeight="1" x14ac:dyDescent="0.35">
      <c r="A303" s="26">
        <f t="shared" si="63"/>
        <v>283</v>
      </c>
      <c r="B303" s="27" t="s">
        <v>923</v>
      </c>
      <c r="C303" s="26"/>
      <c r="D303" s="50" t="s">
        <v>930</v>
      </c>
      <c r="E303" s="24" t="s">
        <v>931</v>
      </c>
      <c r="F303" s="24" t="s">
        <v>43</v>
      </c>
      <c r="G303" s="3" t="s">
        <v>932</v>
      </c>
      <c r="H303" s="4" t="s">
        <v>891</v>
      </c>
      <c r="I303" s="33" t="s">
        <v>86</v>
      </c>
      <c r="J303" s="47" t="s">
        <v>338</v>
      </c>
      <c r="K303" s="3" t="str">
        <f t="shared" ca="1" si="57"/>
        <v xml:space="preserve">2 Tahun 11 bulan </v>
      </c>
      <c r="L303" s="30" t="s">
        <v>200</v>
      </c>
      <c r="M303" s="47" t="s">
        <v>338</v>
      </c>
      <c r="N303" s="3" t="str">
        <f t="shared" ca="1" si="58"/>
        <v xml:space="preserve">2 Tahun 11 bulan </v>
      </c>
      <c r="O303" s="30"/>
      <c r="P303" s="4" t="s">
        <v>35</v>
      </c>
      <c r="Q303" s="4" t="str">
        <f t="shared" si="59"/>
        <v>Perempuan</v>
      </c>
      <c r="R303" s="4">
        <f t="shared" si="66"/>
        <v>1</v>
      </c>
      <c r="S303" s="4" t="str">
        <f t="shared" si="68"/>
        <v>1</v>
      </c>
      <c r="T303" s="4">
        <f t="shared" si="67"/>
        <v>0</v>
      </c>
      <c r="U303" s="29"/>
      <c r="V303" s="30"/>
      <c r="W303" s="30"/>
      <c r="X303" s="30"/>
      <c r="Y303" s="30"/>
      <c r="Z303" s="30"/>
      <c r="AA303" s="30"/>
      <c r="AB303" s="29"/>
      <c r="AC303" s="29"/>
      <c r="AD303" s="37">
        <f t="shared" si="61"/>
        <v>27592</v>
      </c>
      <c r="AE303" s="3" t="str">
        <f t="shared" ca="1" si="60"/>
        <v>51 Tahun 1 bulan 15 Hari</v>
      </c>
      <c r="AF303" s="38">
        <f t="shared" si="62"/>
        <v>49522</v>
      </c>
      <c r="AG303" s="7"/>
    </row>
    <row r="304" spans="1:33" ht="32.15" customHeight="1" x14ac:dyDescent="0.35">
      <c r="A304" s="26">
        <f t="shared" si="63"/>
        <v>284</v>
      </c>
      <c r="B304" s="27" t="s">
        <v>923</v>
      </c>
      <c r="C304" s="26"/>
      <c r="D304" s="50" t="s">
        <v>933</v>
      </c>
      <c r="E304" s="24" t="s">
        <v>934</v>
      </c>
      <c r="F304" s="24" t="s">
        <v>71</v>
      </c>
      <c r="G304" s="3" t="s">
        <v>935</v>
      </c>
      <c r="H304" s="4" t="s">
        <v>94</v>
      </c>
      <c r="I304" s="33" t="s">
        <v>936</v>
      </c>
      <c r="J304" s="81">
        <f>'[2]Plt. Kab. Tanggamus'!$J$92</f>
        <v>45799</v>
      </c>
      <c r="K304" s="3" t="str">
        <f t="shared" ca="1" si="57"/>
        <v xml:space="preserve">1 Tahun 3 bulan </v>
      </c>
      <c r="L304" s="30" t="s">
        <v>200</v>
      </c>
      <c r="M304" s="47" t="s">
        <v>501</v>
      </c>
      <c r="N304" s="3" t="str">
        <f t="shared" ca="1" si="58"/>
        <v xml:space="preserve">5 Tahun 2 bulan </v>
      </c>
      <c r="O304" s="4"/>
      <c r="P304" s="4" t="s">
        <v>35</v>
      </c>
      <c r="Q304" s="4" t="str">
        <f t="shared" si="59"/>
        <v>Perempuan</v>
      </c>
      <c r="R304" s="4">
        <f t="shared" si="66"/>
        <v>1</v>
      </c>
      <c r="S304" s="4" t="str">
        <f t="shared" si="68"/>
        <v>1</v>
      </c>
      <c r="T304" s="4">
        <f t="shared" si="67"/>
        <v>0</v>
      </c>
      <c r="U304" s="29"/>
      <c r="V304" s="30" t="s">
        <v>50</v>
      </c>
      <c r="W304" s="30"/>
      <c r="X304" s="30"/>
      <c r="Y304" s="30"/>
      <c r="Z304" s="30"/>
      <c r="AA304" s="30"/>
      <c r="AB304" s="29"/>
      <c r="AC304" s="29"/>
      <c r="AD304" s="37">
        <f t="shared" si="61"/>
        <v>31133</v>
      </c>
      <c r="AE304" s="3" t="str">
        <f t="shared" ca="1" si="60"/>
        <v>41 Tahun 5 bulan 5 Hari</v>
      </c>
      <c r="AF304" s="38">
        <f t="shared" si="62"/>
        <v>53053</v>
      </c>
      <c r="AG304" s="7"/>
    </row>
    <row r="305" spans="1:32" s="7" customFormat="1" ht="32.15" customHeight="1" x14ac:dyDescent="0.35">
      <c r="A305" s="26">
        <f t="shared" si="63"/>
        <v>285</v>
      </c>
      <c r="B305" s="27" t="s">
        <v>923</v>
      </c>
      <c r="C305" s="256" t="s">
        <v>937</v>
      </c>
      <c r="D305" s="257"/>
      <c r="E305" s="45" t="s">
        <v>235</v>
      </c>
      <c r="F305" s="24" t="s">
        <v>43</v>
      </c>
      <c r="G305" s="44" t="s">
        <v>236</v>
      </c>
      <c r="H305" s="36" t="s">
        <v>2935</v>
      </c>
      <c r="I305" s="36"/>
      <c r="J305" s="82">
        <v>46132</v>
      </c>
      <c r="K305" s="3" t="str">
        <f t="shared" ca="1" si="57"/>
        <v xml:space="preserve">0 Tahun 4 bulan </v>
      </c>
      <c r="L305" s="30" t="s">
        <v>346</v>
      </c>
      <c r="M305" s="82">
        <v>46132</v>
      </c>
      <c r="N305" s="3" t="str">
        <f t="shared" ca="1" si="58"/>
        <v xml:space="preserve">0 Tahun 4 bulan </v>
      </c>
      <c r="O305" s="4"/>
      <c r="P305" s="4" t="s">
        <v>35</v>
      </c>
      <c r="Q305" s="4" t="str">
        <f t="shared" si="59"/>
        <v>Laki-Laki</v>
      </c>
      <c r="R305" s="4">
        <f t="shared" si="66"/>
        <v>1</v>
      </c>
      <c r="S305" s="4" t="str">
        <f t="shared" si="68"/>
        <v>1</v>
      </c>
      <c r="T305" s="4">
        <f t="shared" si="67"/>
        <v>0</v>
      </c>
      <c r="U305" s="29"/>
      <c r="V305" s="30" t="s">
        <v>50</v>
      </c>
      <c r="W305" s="30"/>
      <c r="X305" s="30"/>
      <c r="Y305" s="30"/>
      <c r="Z305" s="30"/>
      <c r="AA305" s="30"/>
      <c r="AB305" s="29"/>
      <c r="AC305" s="29"/>
      <c r="AD305" s="37">
        <f t="shared" si="61"/>
        <v>28738</v>
      </c>
      <c r="AE305" s="3" t="str">
        <f t="shared" ca="1" si="60"/>
        <v>47 Tahun 11 bulan 27 Hari</v>
      </c>
      <c r="AF305" s="38">
        <f t="shared" si="62"/>
        <v>50679</v>
      </c>
    </row>
    <row r="306" spans="1:32" s="7" customFormat="1" ht="32.15" customHeight="1" x14ac:dyDescent="0.35">
      <c r="A306" s="26">
        <f t="shared" si="63"/>
        <v>286</v>
      </c>
      <c r="B306" s="27" t="s">
        <v>923</v>
      </c>
      <c r="C306" s="26"/>
      <c r="D306" s="50" t="s">
        <v>941</v>
      </c>
      <c r="E306" s="45" t="s">
        <v>942</v>
      </c>
      <c r="F306" s="24" t="s">
        <v>43</v>
      </c>
      <c r="G306" s="44" t="s">
        <v>943</v>
      </c>
      <c r="H306" s="4" t="s">
        <v>891</v>
      </c>
      <c r="I306" s="36" t="s">
        <v>107</v>
      </c>
      <c r="J306" s="47" t="s">
        <v>626</v>
      </c>
      <c r="K306" s="3" t="str">
        <f t="shared" ca="1" si="57"/>
        <v xml:space="preserve">7 Tahun 7 bulan </v>
      </c>
      <c r="L306" s="30" t="s">
        <v>200</v>
      </c>
      <c r="M306" s="47" t="s">
        <v>626</v>
      </c>
      <c r="N306" s="3" t="str">
        <f t="shared" ca="1" si="58"/>
        <v xml:space="preserve">7 Tahun 7 bulan </v>
      </c>
      <c r="O306" s="36"/>
      <c r="P306" s="4"/>
      <c r="Q306" s="4" t="str">
        <f t="shared" si="59"/>
        <v>Laki-Laki</v>
      </c>
      <c r="R306" s="4">
        <f t="shared" si="66"/>
        <v>1</v>
      </c>
      <c r="S306" s="4" t="str">
        <f t="shared" si="68"/>
        <v>1</v>
      </c>
      <c r="T306" s="4">
        <f t="shared" si="67"/>
        <v>0</v>
      </c>
      <c r="U306" s="29"/>
      <c r="V306" s="30" t="s">
        <v>50</v>
      </c>
      <c r="W306" s="30"/>
      <c r="X306" s="30"/>
      <c r="Y306" s="30"/>
      <c r="Z306" s="30"/>
      <c r="AA306" s="30"/>
      <c r="AB306" s="29"/>
      <c r="AC306" s="29"/>
      <c r="AD306" s="37">
        <f t="shared" si="61"/>
        <v>29587</v>
      </c>
      <c r="AE306" s="3" t="str">
        <f t="shared" ca="1" si="60"/>
        <v>45 Tahun 8 bulan 0 Hari</v>
      </c>
      <c r="AF306" s="38">
        <f t="shared" si="62"/>
        <v>51533</v>
      </c>
    </row>
    <row r="307" spans="1:32" s="7" customFormat="1" ht="32.15" customHeight="1" x14ac:dyDescent="0.35">
      <c r="A307" s="26">
        <f t="shared" si="63"/>
        <v>287</v>
      </c>
      <c r="B307" s="27" t="s">
        <v>923</v>
      </c>
      <c r="C307" s="26"/>
      <c r="D307" s="50" t="s">
        <v>944</v>
      </c>
      <c r="E307" s="39" t="s">
        <v>945</v>
      </c>
      <c r="F307" s="24" t="s">
        <v>43</v>
      </c>
      <c r="G307" s="40" t="s">
        <v>946</v>
      </c>
      <c r="H307" s="4" t="s">
        <v>947</v>
      </c>
      <c r="I307" s="33" t="s">
        <v>86</v>
      </c>
      <c r="J307" s="47" t="s">
        <v>386</v>
      </c>
      <c r="K307" s="3" t="str">
        <f t="shared" ca="1" si="57"/>
        <v xml:space="preserve">5 Tahun 5 bulan </v>
      </c>
      <c r="L307" s="30" t="s">
        <v>200</v>
      </c>
      <c r="M307" s="47" t="s">
        <v>386</v>
      </c>
      <c r="N307" s="3" t="str">
        <f t="shared" ca="1" si="58"/>
        <v xml:space="preserve">5 Tahun 5 bulan </v>
      </c>
      <c r="O307" s="35"/>
      <c r="P307" s="4" t="s">
        <v>35</v>
      </c>
      <c r="Q307" s="4" t="str">
        <f t="shared" si="59"/>
        <v>Laki-Laki</v>
      </c>
      <c r="R307" s="4">
        <f t="shared" si="66"/>
        <v>1</v>
      </c>
      <c r="S307" s="4" t="str">
        <f t="shared" si="68"/>
        <v>1</v>
      </c>
      <c r="T307" s="4">
        <f t="shared" si="67"/>
        <v>0</v>
      </c>
      <c r="U307" s="29"/>
      <c r="V307" s="30" t="s">
        <v>50</v>
      </c>
      <c r="W307" s="30"/>
      <c r="X307" s="30"/>
      <c r="Y307" s="30"/>
      <c r="Z307" s="30"/>
      <c r="AA307" s="30"/>
      <c r="AB307" s="29"/>
      <c r="AC307" s="29"/>
      <c r="AD307" s="37">
        <f t="shared" si="61"/>
        <v>29161</v>
      </c>
      <c r="AE307" s="3" t="str">
        <f t="shared" ca="1" si="60"/>
        <v>46 Tahun 9 bulan 30 Hari</v>
      </c>
      <c r="AF307" s="38">
        <f t="shared" si="62"/>
        <v>51105</v>
      </c>
    </row>
    <row r="308" spans="1:32" s="7" customFormat="1" ht="32.15" customHeight="1" x14ac:dyDescent="0.35">
      <c r="A308" s="26">
        <f t="shared" si="63"/>
        <v>288</v>
      </c>
      <c r="B308" s="27" t="s">
        <v>923</v>
      </c>
      <c r="C308" s="256" t="s">
        <v>948</v>
      </c>
      <c r="D308" s="257"/>
      <c r="E308" s="24" t="s">
        <v>949</v>
      </c>
      <c r="F308" s="24" t="s">
        <v>43</v>
      </c>
      <c r="G308" s="3" t="s">
        <v>2829</v>
      </c>
      <c r="H308" s="4" t="s">
        <v>2830</v>
      </c>
      <c r="I308" s="4" t="s">
        <v>2831</v>
      </c>
      <c r="J308" s="53" t="s">
        <v>898</v>
      </c>
      <c r="K308" s="3" t="str">
        <f t="shared" ca="1" si="57"/>
        <v xml:space="preserve">0 Tahun 8 bulan </v>
      </c>
      <c r="L308" s="30" t="s">
        <v>346</v>
      </c>
      <c r="M308" s="47"/>
      <c r="N308" s="3" t="str">
        <f t="shared" ca="1" si="58"/>
        <v/>
      </c>
      <c r="O308" s="24"/>
      <c r="P308" s="4" t="s">
        <v>35</v>
      </c>
      <c r="Q308" s="4" t="str">
        <f t="shared" si="59"/>
        <v>Laki-Laki</v>
      </c>
      <c r="R308" s="4">
        <f t="shared" si="66"/>
        <v>1</v>
      </c>
      <c r="S308" s="4" t="str">
        <f t="shared" si="68"/>
        <v>1</v>
      </c>
      <c r="T308" s="4">
        <f t="shared" si="67"/>
        <v>0</v>
      </c>
      <c r="U308" s="29"/>
      <c r="V308" s="30" t="s">
        <v>50</v>
      </c>
      <c r="W308" s="30"/>
      <c r="X308" s="30"/>
      <c r="Y308" s="30"/>
      <c r="Z308" s="30"/>
      <c r="AA308" s="30"/>
      <c r="AB308" s="29"/>
      <c r="AC308" s="29"/>
      <c r="AD308" s="37">
        <f t="shared" si="61"/>
        <v>25813</v>
      </c>
      <c r="AE308" s="3" t="str">
        <f t="shared" ca="1" si="60"/>
        <v>55 Tahun 11 bulan 30 Hari</v>
      </c>
      <c r="AF308" s="38">
        <f t="shared" si="62"/>
        <v>47757</v>
      </c>
    </row>
    <row r="309" spans="1:32" s="7" customFormat="1" ht="32.15" customHeight="1" x14ac:dyDescent="0.35">
      <c r="A309" s="26">
        <f t="shared" si="63"/>
        <v>289</v>
      </c>
      <c r="B309" s="27" t="s">
        <v>923</v>
      </c>
      <c r="C309" s="26"/>
      <c r="D309" s="50" t="s">
        <v>950</v>
      </c>
      <c r="E309" s="58" t="s">
        <v>951</v>
      </c>
      <c r="F309" s="24" t="s">
        <v>43</v>
      </c>
      <c r="G309" s="25" t="s">
        <v>952</v>
      </c>
      <c r="H309" s="4" t="s">
        <v>410</v>
      </c>
      <c r="I309" s="33" t="s">
        <v>251</v>
      </c>
      <c r="J309" s="47" t="s">
        <v>953</v>
      </c>
      <c r="K309" s="3" t="str">
        <f t="shared" ca="1" si="57"/>
        <v xml:space="preserve">3 Tahun 9 bulan </v>
      </c>
      <c r="L309" s="30" t="s">
        <v>200</v>
      </c>
      <c r="M309" s="47" t="s">
        <v>953</v>
      </c>
      <c r="N309" s="3" t="str">
        <f t="shared" ca="1" si="58"/>
        <v xml:space="preserve">3 Tahun 9 bulan </v>
      </c>
      <c r="O309" s="29"/>
      <c r="P309" s="30" t="s">
        <v>35</v>
      </c>
      <c r="Q309" s="4" t="str">
        <f t="shared" si="59"/>
        <v>Laki-Laki</v>
      </c>
      <c r="R309" s="4">
        <f t="shared" si="66"/>
        <v>1</v>
      </c>
      <c r="S309" s="4" t="str">
        <f t="shared" si="68"/>
        <v>1</v>
      </c>
      <c r="T309" s="4">
        <f t="shared" si="67"/>
        <v>0</v>
      </c>
      <c r="U309" s="29"/>
      <c r="V309" s="30" t="s">
        <v>50</v>
      </c>
      <c r="W309" s="30"/>
      <c r="X309" s="30"/>
      <c r="Y309" s="30"/>
      <c r="Z309" s="30"/>
      <c r="AA309" s="30"/>
      <c r="AB309" s="29"/>
      <c r="AC309" s="29"/>
      <c r="AD309" s="37">
        <f t="shared" si="61"/>
        <v>29717</v>
      </c>
      <c r="AE309" s="3" t="str">
        <f t="shared" ca="1" si="60"/>
        <v>45 Tahun 3 bulan 21 Hari</v>
      </c>
      <c r="AF309" s="38">
        <f t="shared" si="62"/>
        <v>51653</v>
      </c>
    </row>
    <row r="310" spans="1:32" s="7" customFormat="1" ht="32.15" customHeight="1" x14ac:dyDescent="0.35">
      <c r="A310" s="26">
        <f t="shared" si="63"/>
        <v>290</v>
      </c>
      <c r="B310" s="27" t="s">
        <v>923</v>
      </c>
      <c r="C310" s="26"/>
      <c r="D310" s="50" t="s">
        <v>954</v>
      </c>
      <c r="E310" s="24" t="s">
        <v>955</v>
      </c>
      <c r="F310" s="24" t="s">
        <v>43</v>
      </c>
      <c r="G310" s="3" t="s">
        <v>956</v>
      </c>
      <c r="H310" s="4" t="s">
        <v>957</v>
      </c>
      <c r="I310" s="33" t="s">
        <v>86</v>
      </c>
      <c r="J310" s="47" t="s">
        <v>533</v>
      </c>
      <c r="K310" s="3" t="str">
        <f t="shared" ca="1" si="57"/>
        <v xml:space="preserve">9 Tahun 7 bulan </v>
      </c>
      <c r="L310" s="30" t="s">
        <v>200</v>
      </c>
      <c r="M310" s="47" t="s">
        <v>533</v>
      </c>
      <c r="N310" s="3" t="str">
        <f t="shared" ca="1" si="58"/>
        <v xml:space="preserve">9 Tahun 7 bulan </v>
      </c>
      <c r="O310" s="4"/>
      <c r="P310" s="30" t="s">
        <v>35</v>
      </c>
      <c r="Q310" s="4" t="str">
        <f t="shared" si="59"/>
        <v>Laki-Laki</v>
      </c>
      <c r="R310" s="4">
        <f t="shared" si="66"/>
        <v>1</v>
      </c>
      <c r="S310" s="4" t="str">
        <f t="shared" si="68"/>
        <v>1</v>
      </c>
      <c r="T310" s="4">
        <f t="shared" si="67"/>
        <v>0</v>
      </c>
      <c r="U310" s="29"/>
      <c r="V310" s="30" t="s">
        <v>50</v>
      </c>
      <c r="W310" s="30"/>
      <c r="X310" s="30"/>
      <c r="Y310" s="30"/>
      <c r="Z310" s="30"/>
      <c r="AA310" s="30"/>
      <c r="AB310" s="29"/>
      <c r="AC310" s="29"/>
      <c r="AD310" s="37">
        <f t="shared" si="61"/>
        <v>27395</v>
      </c>
      <c r="AE310" s="3" t="str">
        <f t="shared" ca="1" si="60"/>
        <v>51 Tahun 8 bulan 0 Hari</v>
      </c>
      <c r="AF310" s="38">
        <f t="shared" si="62"/>
        <v>49341</v>
      </c>
    </row>
    <row r="311" spans="1:32" s="7" customFormat="1" ht="32.15" customHeight="1" x14ac:dyDescent="0.35">
      <c r="A311" s="26">
        <f t="shared" si="63"/>
        <v>291</v>
      </c>
      <c r="B311" s="27" t="s">
        <v>923</v>
      </c>
      <c r="C311" s="256" t="s">
        <v>958</v>
      </c>
      <c r="D311" s="257"/>
      <c r="E311" s="24" t="s">
        <v>959</v>
      </c>
      <c r="F311" s="24" t="s">
        <v>43</v>
      </c>
      <c r="G311" s="3" t="s">
        <v>960</v>
      </c>
      <c r="H311" s="56" t="s">
        <v>159</v>
      </c>
      <c r="I311" s="33" t="s">
        <v>86</v>
      </c>
      <c r="J311" s="47" t="s">
        <v>275</v>
      </c>
      <c r="K311" s="3" t="str">
        <f t="shared" ca="1" si="57"/>
        <v xml:space="preserve">5 Tahun 10 bulan </v>
      </c>
      <c r="L311" s="30" t="s">
        <v>346</v>
      </c>
      <c r="M311" s="47" t="s">
        <v>275</v>
      </c>
      <c r="N311" s="3" t="str">
        <f t="shared" ca="1" si="58"/>
        <v xml:space="preserve">5 Tahun 10 bulan </v>
      </c>
      <c r="O311" s="4"/>
      <c r="P311" s="30" t="s">
        <v>35</v>
      </c>
      <c r="Q311" s="4" t="str">
        <f t="shared" si="59"/>
        <v>Laki-Laki</v>
      </c>
      <c r="R311" s="4">
        <f t="shared" si="66"/>
        <v>1</v>
      </c>
      <c r="S311" s="4" t="str">
        <f t="shared" si="68"/>
        <v>1</v>
      </c>
      <c r="T311" s="4">
        <f t="shared" si="67"/>
        <v>0</v>
      </c>
      <c r="U311" s="29"/>
      <c r="V311" s="30" t="s">
        <v>50</v>
      </c>
      <c r="W311" s="30"/>
      <c r="X311" s="30"/>
      <c r="Y311" s="30"/>
      <c r="Z311" s="30"/>
      <c r="AA311" s="30"/>
      <c r="AB311" s="29"/>
      <c r="AC311" s="29"/>
      <c r="AD311" s="37">
        <f t="shared" si="61"/>
        <v>29104</v>
      </c>
      <c r="AE311" s="3" t="str">
        <f t="shared" ca="1" si="60"/>
        <v>46 Tahun 11 bulan 26 Hari</v>
      </c>
      <c r="AF311" s="38">
        <f t="shared" si="62"/>
        <v>51044</v>
      </c>
    </row>
    <row r="312" spans="1:32" s="7" customFormat="1" ht="32.15" customHeight="1" x14ac:dyDescent="0.35">
      <c r="A312" s="26">
        <f t="shared" si="63"/>
        <v>292</v>
      </c>
      <c r="B312" s="27" t="s">
        <v>923</v>
      </c>
      <c r="C312" s="26"/>
      <c r="D312" s="50" t="s">
        <v>961</v>
      </c>
      <c r="E312" s="24" t="s">
        <v>962</v>
      </c>
      <c r="F312" s="24" t="s">
        <v>43</v>
      </c>
      <c r="G312" s="3" t="s">
        <v>963</v>
      </c>
      <c r="H312" s="4" t="s">
        <v>891</v>
      </c>
      <c r="I312" s="33" t="s">
        <v>964</v>
      </c>
      <c r="J312" s="81" t="s">
        <v>237</v>
      </c>
      <c r="K312" s="3" t="str">
        <f t="shared" ca="1" si="57"/>
        <v xml:space="preserve">4 Tahun 7 bulan </v>
      </c>
      <c r="L312" s="30" t="s">
        <v>200</v>
      </c>
      <c r="M312" s="81" t="s">
        <v>237</v>
      </c>
      <c r="N312" s="3" t="str">
        <f t="shared" ca="1" si="58"/>
        <v xml:space="preserve">4 Tahun 7 bulan </v>
      </c>
      <c r="O312" s="4"/>
      <c r="P312" s="30" t="s">
        <v>35</v>
      </c>
      <c r="Q312" s="4" t="str">
        <f t="shared" si="59"/>
        <v>Laki-Laki</v>
      </c>
      <c r="R312" s="4">
        <f t="shared" si="66"/>
        <v>1</v>
      </c>
      <c r="S312" s="4" t="str">
        <f t="shared" si="68"/>
        <v>1</v>
      </c>
      <c r="T312" s="4">
        <f t="shared" si="67"/>
        <v>0</v>
      </c>
      <c r="U312" s="29"/>
      <c r="V312" s="30" t="s">
        <v>50</v>
      </c>
      <c r="W312" s="30"/>
      <c r="X312" s="30"/>
      <c r="Y312" s="30"/>
      <c r="Z312" s="30"/>
      <c r="AA312" s="30"/>
      <c r="AB312" s="29"/>
      <c r="AC312" s="29"/>
      <c r="AD312" s="37">
        <f t="shared" si="61"/>
        <v>26513</v>
      </c>
      <c r="AE312" s="3" t="str">
        <f t="shared" ca="1" si="60"/>
        <v>54 Tahun 0 bulan 30 Hari</v>
      </c>
      <c r="AF312" s="38">
        <f t="shared" si="62"/>
        <v>48458</v>
      </c>
    </row>
    <row r="313" spans="1:32" s="7" customFormat="1" ht="35.25" customHeight="1" x14ac:dyDescent="0.35">
      <c r="A313" s="26">
        <f t="shared" si="63"/>
        <v>293</v>
      </c>
      <c r="B313" s="27" t="s">
        <v>923</v>
      </c>
      <c r="C313" s="26"/>
      <c r="D313" s="50" t="s">
        <v>965</v>
      </c>
      <c r="E313" s="51" t="s">
        <v>966</v>
      </c>
      <c r="F313" s="24" t="s">
        <v>43</v>
      </c>
      <c r="G313" s="52" t="s">
        <v>967</v>
      </c>
      <c r="H313" s="4" t="s">
        <v>410</v>
      </c>
      <c r="I313" s="33" t="s">
        <v>67</v>
      </c>
      <c r="J313" s="47" t="s">
        <v>533</v>
      </c>
      <c r="K313" s="3" t="str">
        <f t="shared" ca="1" si="57"/>
        <v xml:space="preserve">9 Tahun 7 bulan </v>
      </c>
      <c r="L313" s="30" t="s">
        <v>200</v>
      </c>
      <c r="M313" s="47" t="s">
        <v>533</v>
      </c>
      <c r="N313" s="3" t="str">
        <f t="shared" ca="1" si="58"/>
        <v xml:space="preserve">9 Tahun 7 bulan </v>
      </c>
      <c r="O313" s="4"/>
      <c r="P313" s="4" t="s">
        <v>968</v>
      </c>
      <c r="Q313" s="4" t="str">
        <f t="shared" si="59"/>
        <v>Laki-Laki</v>
      </c>
      <c r="R313" s="4">
        <f t="shared" si="66"/>
        <v>1</v>
      </c>
      <c r="S313" s="4" t="str">
        <f t="shared" si="68"/>
        <v>1</v>
      </c>
      <c r="T313" s="4">
        <f t="shared" si="67"/>
        <v>0</v>
      </c>
      <c r="U313" s="29"/>
      <c r="V313" s="30" t="s">
        <v>50</v>
      </c>
      <c r="W313" s="30"/>
      <c r="X313" s="30"/>
      <c r="Y313" s="30"/>
      <c r="Z313" s="30"/>
      <c r="AA313" s="30"/>
      <c r="AB313" s="29"/>
      <c r="AC313" s="29"/>
      <c r="AD313" s="37">
        <f t="shared" si="61"/>
        <v>28267</v>
      </c>
      <c r="AE313" s="3" t="str">
        <f t="shared" ca="1" si="60"/>
        <v>49 Tahun 3 bulan 10 Hari</v>
      </c>
      <c r="AF313" s="38">
        <f t="shared" si="62"/>
        <v>50192</v>
      </c>
    </row>
    <row r="314" spans="1:32" s="7" customFormat="1" ht="32.15" customHeight="1" x14ac:dyDescent="0.35">
      <c r="A314" s="26"/>
      <c r="B314" s="32" t="s">
        <v>969</v>
      </c>
      <c r="C314" s="280" t="s">
        <v>970</v>
      </c>
      <c r="D314" s="281"/>
      <c r="E314" s="24"/>
      <c r="F314" s="24"/>
      <c r="G314" s="4"/>
      <c r="H314" s="4"/>
      <c r="I314" s="33"/>
      <c r="J314" s="5"/>
      <c r="K314" s="3" t="str">
        <f t="shared" ca="1" si="57"/>
        <v/>
      </c>
      <c r="L314" s="30"/>
      <c r="M314" s="5"/>
      <c r="N314" s="3" t="str">
        <f t="shared" ca="1" si="58"/>
        <v/>
      </c>
      <c r="O314" s="4"/>
      <c r="P314" s="4"/>
      <c r="Q314" s="4"/>
      <c r="R314" s="4"/>
      <c r="S314" s="4"/>
      <c r="T314" s="4"/>
      <c r="U314" s="29"/>
      <c r="V314" s="30"/>
      <c r="W314" s="30"/>
      <c r="X314" s="30"/>
      <c r="Y314" s="30"/>
      <c r="Z314" s="30"/>
      <c r="AA314" s="30"/>
      <c r="AB314" s="29"/>
      <c r="AC314" s="29"/>
      <c r="AD314" s="37" t="str">
        <f t="shared" si="61"/>
        <v/>
      </c>
      <c r="AE314" s="3" t="str">
        <f t="shared" ca="1" si="60"/>
        <v/>
      </c>
      <c r="AF314" s="38" t="str">
        <f t="shared" si="62"/>
        <v/>
      </c>
    </row>
    <row r="315" spans="1:32" s="7" customFormat="1" ht="32.15" customHeight="1" x14ac:dyDescent="0.35">
      <c r="A315" s="26">
        <f>A313+1</f>
        <v>294</v>
      </c>
      <c r="B315" s="32" t="s">
        <v>969</v>
      </c>
      <c r="C315" s="278" t="s">
        <v>971</v>
      </c>
      <c r="D315" s="279"/>
      <c r="E315" s="24" t="s">
        <v>972</v>
      </c>
      <c r="F315" s="24" t="s">
        <v>43</v>
      </c>
      <c r="G315" s="3" t="s">
        <v>973</v>
      </c>
      <c r="H315" s="4" t="s">
        <v>974</v>
      </c>
      <c r="I315" s="33" t="s">
        <v>975</v>
      </c>
      <c r="J315" s="47" t="s">
        <v>652</v>
      </c>
      <c r="K315" s="3" t="str">
        <f t="shared" ca="1" si="57"/>
        <v xml:space="preserve">2 Tahun 11 bulan </v>
      </c>
      <c r="L315" s="30" t="s">
        <v>56</v>
      </c>
      <c r="M315" s="47" t="s">
        <v>652</v>
      </c>
      <c r="N315" s="3" t="str">
        <f t="shared" ca="1" si="58"/>
        <v xml:space="preserve">2 Tahun 11 bulan </v>
      </c>
      <c r="O315" s="36"/>
      <c r="P315" s="4" t="s">
        <v>35</v>
      </c>
      <c r="Q315" s="4" t="str">
        <f t="shared" si="59"/>
        <v>Laki-Laki</v>
      </c>
      <c r="R315" s="4">
        <f>R313</f>
        <v>1</v>
      </c>
      <c r="S315" s="4" t="str">
        <f t="shared" ref="S315:S332" si="69">IF(E315="LOWONG","0","1")</f>
        <v>1</v>
      </c>
      <c r="T315" s="4">
        <f t="shared" si="67"/>
        <v>0</v>
      </c>
      <c r="U315" s="29"/>
      <c r="V315" s="30" t="s">
        <v>50</v>
      </c>
      <c r="W315" s="30"/>
      <c r="X315" s="30"/>
      <c r="Y315" s="30"/>
      <c r="Z315" s="30"/>
      <c r="AA315" s="30"/>
      <c r="AB315" s="29"/>
      <c r="AC315" s="29"/>
      <c r="AD315" s="37">
        <f t="shared" si="61"/>
        <v>24834</v>
      </c>
      <c r="AE315" s="3" t="str">
        <f t="shared" ca="1" si="60"/>
        <v>58 Tahun 8 bulan 4 Hari</v>
      </c>
      <c r="AF315" s="38">
        <f t="shared" si="62"/>
        <v>46753</v>
      </c>
    </row>
    <row r="316" spans="1:32" s="7" customFormat="1" ht="32.15" customHeight="1" x14ac:dyDescent="0.35">
      <c r="A316" s="26">
        <f t="shared" si="63"/>
        <v>295</v>
      </c>
      <c r="B316" s="32" t="s">
        <v>969</v>
      </c>
      <c r="C316" s="256" t="s">
        <v>976</v>
      </c>
      <c r="D316" s="257"/>
      <c r="E316" s="24" t="s">
        <v>977</v>
      </c>
      <c r="F316" s="24" t="s">
        <v>43</v>
      </c>
      <c r="G316" s="3" t="s">
        <v>2832</v>
      </c>
      <c r="H316" s="4" t="s">
        <v>385</v>
      </c>
      <c r="I316" s="4" t="s">
        <v>759</v>
      </c>
      <c r="J316" s="5">
        <v>45993</v>
      </c>
      <c r="K316" s="3" t="str">
        <f t="shared" ca="1" si="57"/>
        <v xml:space="preserve">0 Tahun 8 bulan </v>
      </c>
      <c r="L316" s="30" t="s">
        <v>79</v>
      </c>
      <c r="M316" s="5">
        <v>45993</v>
      </c>
      <c r="N316" s="3" t="str">
        <f t="shared" ca="1" si="58"/>
        <v xml:space="preserve">0 Tahun 8 bulan </v>
      </c>
      <c r="O316" s="36"/>
      <c r="P316" s="4" t="s">
        <v>35</v>
      </c>
      <c r="Q316" s="4" t="str">
        <f t="shared" si="59"/>
        <v/>
      </c>
      <c r="R316" s="4">
        <f t="shared" si="66"/>
        <v>1</v>
      </c>
      <c r="S316" s="4" t="str">
        <f t="shared" si="69"/>
        <v>1</v>
      </c>
      <c r="T316" s="4">
        <f t="shared" si="67"/>
        <v>0</v>
      </c>
      <c r="U316" s="29"/>
      <c r="V316" s="30" t="s">
        <v>50</v>
      </c>
      <c r="W316" s="30"/>
      <c r="X316" s="30"/>
      <c r="Y316" s="30"/>
      <c r="Z316" s="30"/>
      <c r="AA316" s="30"/>
      <c r="AB316" s="29"/>
      <c r="AC316" s="29"/>
      <c r="AD316" s="37">
        <f t="shared" si="61"/>
        <v>25357</v>
      </c>
      <c r="AE316" s="3" t="str">
        <f t="shared" ca="1" si="60"/>
        <v>57 Tahun 2 bulan 29 Hari</v>
      </c>
      <c r="AF316" s="38">
        <f t="shared" si="62"/>
        <v>47300</v>
      </c>
    </row>
    <row r="317" spans="1:32" s="7" customFormat="1" ht="32.15" customHeight="1" x14ac:dyDescent="0.35">
      <c r="A317" s="26">
        <f t="shared" si="63"/>
        <v>296</v>
      </c>
      <c r="B317" s="32" t="s">
        <v>969</v>
      </c>
      <c r="C317" s="26"/>
      <c r="D317" s="50" t="s">
        <v>978</v>
      </c>
      <c r="E317" s="51" t="s">
        <v>2899</v>
      </c>
      <c r="F317" s="24" t="s">
        <v>43</v>
      </c>
      <c r="G317" s="52" t="s">
        <v>2900</v>
      </c>
      <c r="H317" s="4" t="s">
        <v>2901</v>
      </c>
      <c r="I317" s="33" t="s">
        <v>2902</v>
      </c>
      <c r="J317" s="82">
        <v>46087</v>
      </c>
      <c r="K317" s="3" t="str">
        <f t="shared" ca="1" si="57"/>
        <v xml:space="preserve">0 Tahun 5 bulan </v>
      </c>
      <c r="L317" s="30" t="s">
        <v>200</v>
      </c>
      <c r="M317" s="82">
        <v>46087</v>
      </c>
      <c r="N317" s="3" t="str">
        <f t="shared" ca="1" si="58"/>
        <v xml:space="preserve">0 Tahun 5 bulan </v>
      </c>
      <c r="O317" s="4"/>
      <c r="P317" s="4" t="s">
        <v>35</v>
      </c>
      <c r="Q317" s="4" t="str">
        <f t="shared" si="59"/>
        <v>Laki-Laki</v>
      </c>
      <c r="R317" s="4">
        <f t="shared" si="66"/>
        <v>1</v>
      </c>
      <c r="S317" s="4" t="str">
        <f t="shared" si="69"/>
        <v>1</v>
      </c>
      <c r="T317" s="4">
        <f t="shared" si="67"/>
        <v>0</v>
      </c>
      <c r="U317" s="29"/>
      <c r="V317" s="30"/>
      <c r="W317" s="30"/>
      <c r="X317" s="30"/>
      <c r="Y317" s="30"/>
      <c r="Z317" s="30"/>
      <c r="AA317" s="30"/>
      <c r="AB317" s="29"/>
      <c r="AC317" s="29"/>
      <c r="AD317" s="37">
        <f t="shared" si="61"/>
        <v>27704</v>
      </c>
      <c r="AE317" s="3" t="str">
        <f t="shared" ca="1" si="60"/>
        <v>50 Tahun 9 bulan 26 Hari</v>
      </c>
      <c r="AF317" s="38">
        <f t="shared" si="62"/>
        <v>49644</v>
      </c>
    </row>
    <row r="318" spans="1:32" s="7" customFormat="1" ht="32.15" customHeight="1" x14ac:dyDescent="0.35">
      <c r="A318" s="26">
        <f t="shared" si="63"/>
        <v>297</v>
      </c>
      <c r="B318" s="32" t="s">
        <v>969</v>
      </c>
      <c r="C318" s="26"/>
      <c r="D318" s="50" t="s">
        <v>979</v>
      </c>
      <c r="E318" s="24" t="s">
        <v>980</v>
      </c>
      <c r="F318" s="24" t="s">
        <v>43</v>
      </c>
      <c r="G318" s="4" t="s">
        <v>981</v>
      </c>
      <c r="H318" s="4" t="s">
        <v>699</v>
      </c>
      <c r="I318" s="33" t="s">
        <v>46</v>
      </c>
      <c r="J318" s="5">
        <v>44561</v>
      </c>
      <c r="K318" s="3" t="str">
        <f t="shared" ca="1" si="57"/>
        <v xml:space="preserve">4 Tahun 8 bulan </v>
      </c>
      <c r="L318" s="30" t="s">
        <v>88</v>
      </c>
      <c r="M318" s="5">
        <v>44561</v>
      </c>
      <c r="N318" s="3" t="str">
        <f t="shared" ca="1" si="58"/>
        <v xml:space="preserve">4 Tahun 8 bulan </v>
      </c>
      <c r="O318" s="4"/>
      <c r="P318" s="4" t="s">
        <v>35</v>
      </c>
      <c r="Q318" s="4" t="str">
        <f t="shared" si="59"/>
        <v>Laki-Laki</v>
      </c>
      <c r="R318" s="4">
        <f t="shared" si="66"/>
        <v>1</v>
      </c>
      <c r="S318" s="4" t="str">
        <f t="shared" si="69"/>
        <v>1</v>
      </c>
      <c r="T318" s="4">
        <f t="shared" si="67"/>
        <v>0</v>
      </c>
      <c r="U318" s="29"/>
      <c r="V318" s="30" t="s">
        <v>50</v>
      </c>
      <c r="W318" s="30"/>
      <c r="X318" s="30"/>
      <c r="Y318" s="30"/>
      <c r="Z318" s="30"/>
      <c r="AA318" s="30"/>
      <c r="AB318" s="29"/>
      <c r="AC318" s="29"/>
      <c r="AD318" s="37">
        <f t="shared" si="61"/>
        <v>26120</v>
      </c>
      <c r="AE318" s="3" t="str">
        <f t="shared" ca="1" si="60"/>
        <v>55 Tahun 1 bulan 26 Hari</v>
      </c>
      <c r="AF318" s="38">
        <f t="shared" si="62"/>
        <v>48061</v>
      </c>
    </row>
    <row r="319" spans="1:32" s="7" customFormat="1" ht="32.15" customHeight="1" x14ac:dyDescent="0.35">
      <c r="A319" s="26">
        <f t="shared" si="63"/>
        <v>298</v>
      </c>
      <c r="B319" s="32" t="s">
        <v>969</v>
      </c>
      <c r="C319" s="26"/>
      <c r="D319" s="50" t="s">
        <v>982</v>
      </c>
      <c r="E319" s="51" t="s">
        <v>983</v>
      </c>
      <c r="F319" s="24" t="s">
        <v>43</v>
      </c>
      <c r="G319" s="52" t="s">
        <v>984</v>
      </c>
      <c r="H319" s="4" t="s">
        <v>410</v>
      </c>
      <c r="I319" s="33" t="s">
        <v>46</v>
      </c>
      <c r="J319" s="5">
        <v>44561</v>
      </c>
      <c r="K319" s="3" t="str">
        <f t="shared" ca="1" si="57"/>
        <v xml:space="preserve">4 Tahun 8 bulan </v>
      </c>
      <c r="L319" s="30" t="s">
        <v>88</v>
      </c>
      <c r="M319" s="5">
        <v>44561</v>
      </c>
      <c r="N319" s="3" t="str">
        <f t="shared" ca="1" si="58"/>
        <v xml:space="preserve">4 Tahun 8 bulan </v>
      </c>
      <c r="O319" s="4"/>
      <c r="P319" s="4" t="s">
        <v>35</v>
      </c>
      <c r="Q319" s="4" t="str">
        <f t="shared" si="59"/>
        <v/>
      </c>
      <c r="R319" s="4">
        <f t="shared" si="66"/>
        <v>1</v>
      </c>
      <c r="S319" s="4" t="str">
        <f t="shared" si="69"/>
        <v>1</v>
      </c>
      <c r="T319" s="4">
        <f t="shared" si="67"/>
        <v>0</v>
      </c>
      <c r="U319" s="29"/>
      <c r="V319" s="30"/>
      <c r="W319" s="30"/>
      <c r="X319" s="30"/>
      <c r="Y319" s="30"/>
      <c r="Z319" s="30"/>
      <c r="AA319" s="30"/>
      <c r="AB319" s="29"/>
      <c r="AC319" s="29"/>
      <c r="AD319" s="37">
        <f t="shared" si="61"/>
        <v>29021</v>
      </c>
      <c r="AE319" s="3" t="str">
        <f t="shared" ca="1" si="60"/>
        <v>47 Tahun 2 bulan 17 Hari</v>
      </c>
      <c r="AF319" s="38">
        <f t="shared" si="62"/>
        <v>50952</v>
      </c>
    </row>
    <row r="320" spans="1:32" s="7" customFormat="1" ht="32.15" customHeight="1" x14ac:dyDescent="0.35">
      <c r="A320" s="26">
        <f t="shared" si="63"/>
        <v>299</v>
      </c>
      <c r="B320" s="32" t="s">
        <v>969</v>
      </c>
      <c r="C320" s="256" t="s">
        <v>985</v>
      </c>
      <c r="D320" s="257"/>
      <c r="E320" s="24" t="s">
        <v>986</v>
      </c>
      <c r="F320" s="24" t="s">
        <v>43</v>
      </c>
      <c r="G320" s="4" t="s">
        <v>987</v>
      </c>
      <c r="H320" s="4" t="s">
        <v>988</v>
      </c>
      <c r="I320" s="4" t="s">
        <v>989</v>
      </c>
      <c r="J320" s="5" t="s">
        <v>127</v>
      </c>
      <c r="K320" s="3" t="str">
        <f t="shared" ca="1" si="57"/>
        <v xml:space="preserve">5 Tahun 6 bulan </v>
      </c>
      <c r="L320" s="30" t="s">
        <v>346</v>
      </c>
      <c r="M320" s="5" t="s">
        <v>127</v>
      </c>
      <c r="N320" s="3" t="str">
        <f t="shared" ca="1" si="58"/>
        <v xml:space="preserve">5 Tahun 6 bulan </v>
      </c>
      <c r="O320" s="44"/>
      <c r="P320" s="4" t="s">
        <v>35</v>
      </c>
      <c r="Q320" s="4" t="str">
        <f t="shared" si="59"/>
        <v>Laki-Laki</v>
      </c>
      <c r="R320" s="4">
        <f t="shared" si="66"/>
        <v>1</v>
      </c>
      <c r="S320" s="4" t="str">
        <f t="shared" si="69"/>
        <v>1</v>
      </c>
      <c r="T320" s="4">
        <f t="shared" si="67"/>
        <v>0</v>
      </c>
      <c r="U320" s="29"/>
      <c r="V320" s="30" t="s">
        <v>50</v>
      </c>
      <c r="W320" s="30"/>
      <c r="X320" s="30"/>
      <c r="Y320" s="30"/>
      <c r="Z320" s="30"/>
      <c r="AA320" s="30"/>
      <c r="AB320" s="29"/>
      <c r="AC320" s="29"/>
      <c r="AD320" s="37">
        <f t="shared" si="61"/>
        <v>28457</v>
      </c>
      <c r="AE320" s="3" t="str">
        <f t="shared" ca="1" si="60"/>
        <v>48 Tahun 9 bulan 4 Hari</v>
      </c>
      <c r="AF320" s="38">
        <f t="shared" si="62"/>
        <v>50375</v>
      </c>
    </row>
    <row r="321" spans="1:32" s="7" customFormat="1" ht="32.15" customHeight="1" x14ac:dyDescent="0.35">
      <c r="A321" s="26">
        <f t="shared" si="63"/>
        <v>300</v>
      </c>
      <c r="B321" s="32" t="s">
        <v>969</v>
      </c>
      <c r="C321" s="26"/>
      <c r="D321" s="50" t="s">
        <v>990</v>
      </c>
      <c r="E321" s="24" t="s">
        <v>991</v>
      </c>
      <c r="F321" s="24" t="s">
        <v>43</v>
      </c>
      <c r="G321" s="3" t="s">
        <v>992</v>
      </c>
      <c r="H321" s="4" t="s">
        <v>479</v>
      </c>
      <c r="I321" s="33" t="s">
        <v>46</v>
      </c>
      <c r="J321" s="5">
        <v>44561</v>
      </c>
      <c r="K321" s="3" t="str">
        <f t="shared" ca="1" si="57"/>
        <v xml:space="preserve">4 Tahun 8 bulan </v>
      </c>
      <c r="L321" s="30" t="s">
        <v>88</v>
      </c>
      <c r="M321" s="5">
        <v>44561</v>
      </c>
      <c r="N321" s="3" t="str">
        <f t="shared" ca="1" si="58"/>
        <v xml:space="preserve">4 Tahun 8 bulan </v>
      </c>
      <c r="O321" s="4"/>
      <c r="P321" s="4" t="s">
        <v>35</v>
      </c>
      <c r="Q321" s="4" t="str">
        <f t="shared" si="59"/>
        <v>Laki-Laki</v>
      </c>
      <c r="R321" s="4">
        <f t="shared" si="66"/>
        <v>1</v>
      </c>
      <c r="S321" s="4" t="str">
        <f t="shared" si="69"/>
        <v>1</v>
      </c>
      <c r="T321" s="4">
        <f t="shared" si="67"/>
        <v>0</v>
      </c>
      <c r="U321" s="29"/>
      <c r="V321" s="30" t="s">
        <v>50</v>
      </c>
      <c r="W321" s="30"/>
      <c r="X321" s="30"/>
      <c r="Y321" s="30"/>
      <c r="Z321" s="30"/>
      <c r="AA321" s="30"/>
      <c r="AB321" s="29"/>
      <c r="AC321" s="29"/>
      <c r="AD321" s="37">
        <f t="shared" si="61"/>
        <v>31450</v>
      </c>
      <c r="AE321" s="3" t="str">
        <f t="shared" ca="1" si="60"/>
        <v>40 Tahun 6 bulan 25 Hari</v>
      </c>
      <c r="AF321" s="38">
        <f t="shared" si="62"/>
        <v>53387</v>
      </c>
    </row>
    <row r="322" spans="1:32" s="7" customFormat="1" ht="32.15" customHeight="1" x14ac:dyDescent="0.35">
      <c r="A322" s="26">
        <f t="shared" si="63"/>
        <v>301</v>
      </c>
      <c r="B322" s="32" t="s">
        <v>969</v>
      </c>
      <c r="C322" s="26"/>
      <c r="D322" s="50" t="s">
        <v>993</v>
      </c>
      <c r="E322" s="24" t="s">
        <v>108</v>
      </c>
      <c r="F322" s="24"/>
      <c r="G322" s="3"/>
      <c r="H322" s="4"/>
      <c r="I322" s="41"/>
      <c r="J322" s="49"/>
      <c r="K322" s="3" t="str">
        <f t="shared" ca="1" si="57"/>
        <v/>
      </c>
      <c r="L322" s="30" t="s">
        <v>88</v>
      </c>
      <c r="M322" s="49"/>
      <c r="N322" s="3" t="str">
        <f t="shared" ca="1" si="58"/>
        <v/>
      </c>
      <c r="O322" s="36"/>
      <c r="P322" s="4"/>
      <c r="Q322" s="4" t="str">
        <f t="shared" si="59"/>
        <v/>
      </c>
      <c r="R322" s="4">
        <f t="shared" si="66"/>
        <v>1</v>
      </c>
      <c r="S322" s="4" t="str">
        <f t="shared" si="69"/>
        <v>0</v>
      </c>
      <c r="T322" s="4">
        <f t="shared" si="67"/>
        <v>1</v>
      </c>
      <c r="U322" s="29"/>
      <c r="V322" s="30" t="s">
        <v>50</v>
      </c>
      <c r="W322" s="30"/>
      <c r="X322" s="30"/>
      <c r="Y322" s="30"/>
      <c r="Z322" s="30"/>
      <c r="AA322" s="30"/>
      <c r="AB322" s="29"/>
      <c r="AC322" s="29"/>
      <c r="AD322" s="37" t="str">
        <f t="shared" si="61"/>
        <v/>
      </c>
      <c r="AE322" s="3" t="str">
        <f t="shared" ca="1" si="60"/>
        <v/>
      </c>
      <c r="AF322" s="38" t="str">
        <f t="shared" si="62"/>
        <v/>
      </c>
    </row>
    <row r="323" spans="1:32" s="7" customFormat="1" ht="32.15" customHeight="1" x14ac:dyDescent="0.35">
      <c r="A323" s="26">
        <f t="shared" si="63"/>
        <v>302</v>
      </c>
      <c r="B323" s="32" t="s">
        <v>969</v>
      </c>
      <c r="C323" s="26"/>
      <c r="D323" s="50" t="s">
        <v>993</v>
      </c>
      <c r="E323" s="93" t="s">
        <v>994</v>
      </c>
      <c r="F323" s="93" t="s">
        <v>43</v>
      </c>
      <c r="G323" s="94" t="s">
        <v>995</v>
      </c>
      <c r="H323" s="4" t="s">
        <v>102</v>
      </c>
      <c r="I323" s="33" t="s">
        <v>46</v>
      </c>
      <c r="J323" s="5">
        <v>44561</v>
      </c>
      <c r="K323" s="3" t="str">
        <f t="shared" ca="1" si="57"/>
        <v xml:space="preserve">4 Tahun 8 bulan </v>
      </c>
      <c r="L323" s="30" t="s">
        <v>88</v>
      </c>
      <c r="M323" s="5">
        <v>44561</v>
      </c>
      <c r="N323" s="3" t="str">
        <f t="shared" ca="1" si="58"/>
        <v xml:space="preserve">4 Tahun 8 bulan </v>
      </c>
      <c r="O323" s="56"/>
      <c r="P323" s="4" t="s">
        <v>35</v>
      </c>
      <c r="Q323" s="4" t="str">
        <f t="shared" si="59"/>
        <v>Laki-Laki</v>
      </c>
      <c r="R323" s="4">
        <f t="shared" si="66"/>
        <v>1</v>
      </c>
      <c r="S323" s="4" t="str">
        <f t="shared" si="69"/>
        <v>1</v>
      </c>
      <c r="T323" s="4">
        <f t="shared" si="67"/>
        <v>0</v>
      </c>
      <c r="U323" s="29"/>
      <c r="V323" s="30" t="s">
        <v>50</v>
      </c>
      <c r="W323" s="30"/>
      <c r="X323" s="30"/>
      <c r="Y323" s="30"/>
      <c r="Z323" s="30"/>
      <c r="AA323" s="30"/>
      <c r="AB323" s="29"/>
      <c r="AC323" s="29"/>
      <c r="AD323" s="37">
        <f t="shared" si="61"/>
        <v>30258</v>
      </c>
      <c r="AE323" s="3" t="str">
        <f t="shared" ca="1" si="60"/>
        <v>43 Tahun 9 bulan 29 Hari</v>
      </c>
      <c r="AF323" s="38">
        <f t="shared" si="62"/>
        <v>52201</v>
      </c>
    </row>
    <row r="324" spans="1:32" s="7" customFormat="1" ht="32.15" customHeight="1" x14ac:dyDescent="0.35">
      <c r="A324" s="26">
        <f t="shared" si="63"/>
        <v>303</v>
      </c>
      <c r="B324" s="32" t="s">
        <v>969</v>
      </c>
      <c r="C324" s="256" t="s">
        <v>996</v>
      </c>
      <c r="D324" s="257"/>
      <c r="E324" s="24" t="s">
        <v>997</v>
      </c>
      <c r="F324" s="24" t="s">
        <v>43</v>
      </c>
      <c r="G324" s="4" t="s">
        <v>998</v>
      </c>
      <c r="H324" s="4" t="s">
        <v>135</v>
      </c>
      <c r="I324" s="33" t="s">
        <v>118</v>
      </c>
      <c r="J324" s="5" t="s">
        <v>369</v>
      </c>
      <c r="K324" s="3" t="str">
        <f t="shared" ca="1" si="57"/>
        <v xml:space="preserve">3 Tahun 11 bulan </v>
      </c>
      <c r="L324" s="30" t="s">
        <v>346</v>
      </c>
      <c r="M324" s="5" t="s">
        <v>369</v>
      </c>
      <c r="N324" s="3" t="str">
        <f t="shared" ca="1" si="58"/>
        <v xml:space="preserve">3 Tahun 11 bulan </v>
      </c>
      <c r="O324" s="36"/>
      <c r="P324" s="4" t="s">
        <v>35</v>
      </c>
      <c r="Q324" s="4" t="str">
        <f t="shared" si="59"/>
        <v>Laki-Laki</v>
      </c>
      <c r="R324" s="4">
        <f t="shared" si="66"/>
        <v>1</v>
      </c>
      <c r="S324" s="4" t="str">
        <f t="shared" si="69"/>
        <v>1</v>
      </c>
      <c r="T324" s="4">
        <f t="shared" si="67"/>
        <v>0</v>
      </c>
      <c r="U324" s="29"/>
      <c r="V324" s="30" t="s">
        <v>50</v>
      </c>
      <c r="W324" s="30"/>
      <c r="X324" s="30"/>
      <c r="Y324" s="30"/>
      <c r="Z324" s="30"/>
      <c r="AA324" s="30"/>
      <c r="AB324" s="29"/>
      <c r="AC324" s="29"/>
      <c r="AD324" s="37">
        <f t="shared" si="61"/>
        <v>29677</v>
      </c>
      <c r="AE324" s="3" t="str">
        <f t="shared" ca="1" si="60"/>
        <v>45 Tahun 5 bulan 0 Hari</v>
      </c>
      <c r="AF324" s="38">
        <f t="shared" si="62"/>
        <v>51622</v>
      </c>
    </row>
    <row r="325" spans="1:32" s="7" customFormat="1" ht="32.15" customHeight="1" x14ac:dyDescent="0.35">
      <c r="A325" s="26">
        <f t="shared" si="63"/>
        <v>304</v>
      </c>
      <c r="B325" s="32" t="s">
        <v>969</v>
      </c>
      <c r="C325" s="26"/>
      <c r="D325" s="50" t="s">
        <v>999</v>
      </c>
      <c r="E325" s="24" t="s">
        <v>1000</v>
      </c>
      <c r="F325" s="93" t="s">
        <v>43</v>
      </c>
      <c r="G325" s="4" t="s">
        <v>1001</v>
      </c>
      <c r="H325" s="4" t="s">
        <v>135</v>
      </c>
      <c r="I325" s="33" t="s">
        <v>86</v>
      </c>
      <c r="J325" s="5">
        <v>44561</v>
      </c>
      <c r="K325" s="3" t="str">
        <f t="shared" ca="1" si="57"/>
        <v xml:space="preserve">4 Tahun 8 bulan </v>
      </c>
      <c r="L325" s="30" t="s">
        <v>88</v>
      </c>
      <c r="M325" s="5">
        <v>44561</v>
      </c>
      <c r="N325" s="3" t="str">
        <f t="shared" ca="1" si="58"/>
        <v xml:space="preserve">4 Tahun 8 bulan </v>
      </c>
      <c r="O325" s="4"/>
      <c r="P325" s="4" t="s">
        <v>35</v>
      </c>
      <c r="Q325" s="4" t="str">
        <f t="shared" si="59"/>
        <v>Laki-Laki</v>
      </c>
      <c r="R325" s="4">
        <f t="shared" si="66"/>
        <v>1</v>
      </c>
      <c r="S325" s="4" t="str">
        <f t="shared" si="69"/>
        <v>1</v>
      </c>
      <c r="T325" s="4">
        <f t="shared" si="67"/>
        <v>0</v>
      </c>
      <c r="U325" s="29"/>
      <c r="V325" s="30" t="s">
        <v>50</v>
      </c>
      <c r="W325" s="30"/>
      <c r="X325" s="30"/>
      <c r="Y325" s="30"/>
      <c r="Z325" s="30"/>
      <c r="AA325" s="30"/>
      <c r="AB325" s="29"/>
      <c r="AC325" s="29"/>
      <c r="AD325" s="37">
        <f t="shared" si="61"/>
        <v>27995</v>
      </c>
      <c r="AE325" s="3" t="str">
        <f t="shared" ca="1" si="60"/>
        <v>50 Tahun 0 bulan 9 Hari</v>
      </c>
      <c r="AF325" s="38">
        <f t="shared" si="62"/>
        <v>49919</v>
      </c>
    </row>
    <row r="326" spans="1:32" s="7" customFormat="1" ht="32.15" customHeight="1" x14ac:dyDescent="0.35">
      <c r="A326" s="26">
        <f t="shared" si="63"/>
        <v>305</v>
      </c>
      <c r="B326" s="32" t="s">
        <v>969</v>
      </c>
      <c r="C326" s="26"/>
      <c r="D326" s="50" t="s">
        <v>999</v>
      </c>
      <c r="E326" s="24" t="s">
        <v>1002</v>
      </c>
      <c r="F326" s="93" t="s">
        <v>43</v>
      </c>
      <c r="G326" s="4" t="s">
        <v>1003</v>
      </c>
      <c r="H326" s="4" t="s">
        <v>379</v>
      </c>
      <c r="I326" s="33" t="s">
        <v>86</v>
      </c>
      <c r="J326" s="5">
        <v>44561</v>
      </c>
      <c r="K326" s="3" t="str">
        <f t="shared" ca="1" si="57"/>
        <v xml:space="preserve">4 Tahun 8 bulan </v>
      </c>
      <c r="L326" s="30" t="s">
        <v>88</v>
      </c>
      <c r="M326" s="5">
        <v>44561</v>
      </c>
      <c r="N326" s="3" t="str">
        <f t="shared" ca="1" si="58"/>
        <v xml:space="preserve">4 Tahun 8 bulan </v>
      </c>
      <c r="O326" s="4"/>
      <c r="P326" s="4" t="s">
        <v>35</v>
      </c>
      <c r="Q326" s="4" t="str">
        <f t="shared" si="59"/>
        <v>Laki-Laki</v>
      </c>
      <c r="R326" s="4">
        <f t="shared" si="66"/>
        <v>1</v>
      </c>
      <c r="S326" s="4" t="str">
        <f t="shared" si="69"/>
        <v>1</v>
      </c>
      <c r="T326" s="4">
        <f t="shared" si="67"/>
        <v>0</v>
      </c>
      <c r="U326" s="29"/>
      <c r="V326" s="30" t="s">
        <v>50</v>
      </c>
      <c r="W326" s="30"/>
      <c r="X326" s="30"/>
      <c r="Y326" s="30"/>
      <c r="Z326" s="30"/>
      <c r="AA326" s="30"/>
      <c r="AB326" s="29"/>
      <c r="AC326" s="29"/>
      <c r="AD326" s="37">
        <f t="shared" si="61"/>
        <v>27310</v>
      </c>
      <c r="AE326" s="3" t="str">
        <f t="shared" ca="1" si="60"/>
        <v>51 Tahun 10 bulan 24 Hari</v>
      </c>
      <c r="AF326" s="38">
        <f t="shared" si="62"/>
        <v>49249</v>
      </c>
    </row>
    <row r="327" spans="1:32" s="7" customFormat="1" ht="32.15" customHeight="1" x14ac:dyDescent="0.35">
      <c r="A327" s="26">
        <f t="shared" si="63"/>
        <v>306</v>
      </c>
      <c r="B327" s="32" t="s">
        <v>969</v>
      </c>
      <c r="C327" s="256" t="s">
        <v>1004</v>
      </c>
      <c r="D327" s="257"/>
      <c r="E327" s="39" t="s">
        <v>58</v>
      </c>
      <c r="F327" s="24" t="s">
        <v>43</v>
      </c>
      <c r="G327" s="40" t="s">
        <v>59</v>
      </c>
      <c r="H327" s="4" t="s">
        <v>3035</v>
      </c>
      <c r="I327" s="33"/>
      <c r="J327" s="5">
        <v>46260</v>
      </c>
      <c r="K327" s="3" t="str">
        <f t="shared" ref="K327:K390" ca="1" si="70">IF(J327="","",CONCATENATE(DATEDIF(J327,NOW(),"Y")," Tahun ",DATEDIF(J327,NOW(),"YM")," bulan "))</f>
        <v xml:space="preserve">0 Tahun 0 bulan </v>
      </c>
      <c r="L327" s="30" t="s">
        <v>346</v>
      </c>
      <c r="M327" s="5"/>
      <c r="N327" s="3" t="str">
        <f t="shared" ref="N327:N390" ca="1" si="71">IF(M327="","",CONCATENATE(DATEDIF(M327,NOW(),"Y")," Tahun ",DATEDIF(M327,NOW(),"YM")," bulan "))</f>
        <v/>
      </c>
      <c r="O327" s="35"/>
      <c r="P327" s="4" t="s">
        <v>35</v>
      </c>
      <c r="Q327" s="4" t="str">
        <f t="shared" ref="Q327:Q390" si="72">CONCATENATE(IF(MID(G327,17,1)="1","Laki-Laki",IF(MID(G327,17,1)="2","Perempuan",)))</f>
        <v>Laki-Laki</v>
      </c>
      <c r="R327" s="4">
        <f t="shared" si="66"/>
        <v>1</v>
      </c>
      <c r="S327" s="4" t="str">
        <f t="shared" si="69"/>
        <v>1</v>
      </c>
      <c r="T327" s="4">
        <f t="shared" si="67"/>
        <v>0</v>
      </c>
      <c r="U327" s="29"/>
      <c r="V327" s="30" t="s">
        <v>50</v>
      </c>
      <c r="W327" s="30"/>
      <c r="X327" s="30"/>
      <c r="Y327" s="30"/>
      <c r="Z327" s="30"/>
      <c r="AA327" s="30"/>
      <c r="AB327" s="29"/>
      <c r="AC327" s="29"/>
      <c r="AD327" s="37">
        <f t="shared" si="61"/>
        <v>27174</v>
      </c>
      <c r="AE327" s="3" t="str">
        <f t="shared" ref="AE327:AE390" ca="1" si="73">IF(TRIM(AD327)="", "", CONCATENATE(DATEDIF(AD327,NOW(),"Y")," Tahun ",DATEDIF(AD327,NOW(),"YM")," bulan ",DATEDIF(AD327,NOW(),"MD")," Hari"))</f>
        <v>52 Tahun 3 bulan 7 Hari</v>
      </c>
      <c r="AF327" s="38">
        <f t="shared" si="62"/>
        <v>49096</v>
      </c>
    </row>
    <row r="328" spans="1:32" s="7" customFormat="1" ht="32.15" customHeight="1" x14ac:dyDescent="0.35">
      <c r="A328" s="26">
        <f t="shared" si="63"/>
        <v>307</v>
      </c>
      <c r="B328" s="32" t="s">
        <v>969</v>
      </c>
      <c r="C328" s="26"/>
      <c r="D328" s="50" t="s">
        <v>1005</v>
      </c>
      <c r="E328" s="24" t="s">
        <v>1006</v>
      </c>
      <c r="F328" s="93" t="s">
        <v>43</v>
      </c>
      <c r="G328" s="3" t="s">
        <v>1007</v>
      </c>
      <c r="H328" s="4" t="s">
        <v>410</v>
      </c>
      <c r="I328" s="33" t="s">
        <v>1008</v>
      </c>
      <c r="J328" s="5" t="s">
        <v>87</v>
      </c>
      <c r="K328" s="3" t="str">
        <f t="shared" ca="1" si="70"/>
        <v xml:space="preserve">4 Tahun 8 bulan </v>
      </c>
      <c r="L328" s="30" t="s">
        <v>88</v>
      </c>
      <c r="M328" s="5">
        <v>44561</v>
      </c>
      <c r="N328" s="3" t="str">
        <f t="shared" ca="1" si="71"/>
        <v xml:space="preserve">4 Tahun 8 bulan </v>
      </c>
      <c r="O328" s="4"/>
      <c r="P328" s="4" t="s">
        <v>35</v>
      </c>
      <c r="Q328" s="4" t="str">
        <f t="shared" si="72"/>
        <v>Laki-Laki</v>
      </c>
      <c r="R328" s="4">
        <f t="shared" si="66"/>
        <v>1</v>
      </c>
      <c r="S328" s="4" t="str">
        <f t="shared" si="69"/>
        <v>1</v>
      </c>
      <c r="T328" s="4">
        <f t="shared" si="67"/>
        <v>0</v>
      </c>
      <c r="U328" s="29"/>
      <c r="V328" s="30" t="s">
        <v>50</v>
      </c>
      <c r="W328" s="30"/>
      <c r="X328" s="30"/>
      <c r="Y328" s="30"/>
      <c r="Z328" s="30"/>
      <c r="AA328" s="30"/>
      <c r="AB328" s="29"/>
      <c r="AC328" s="29"/>
      <c r="AD328" s="37">
        <f t="shared" ref="AD328:AD391" si="74">IF(TRIM(G328)="", "", DATE(LEFT(G328,4),MID(G328,5,2),MID(G328,7,2)))</f>
        <v>28302</v>
      </c>
      <c r="AE328" s="3" t="str">
        <f t="shared" ca="1" si="73"/>
        <v>49 Tahun 2 bulan 6 Hari</v>
      </c>
      <c r="AF328" s="38">
        <f t="shared" ref="AF328:AF391" si="75">IF(TRIM(AD328)="","",DATE(YEAR(AD328)+60,MONTH(AD328)+1,1))</f>
        <v>50222</v>
      </c>
    </row>
    <row r="329" spans="1:32" s="7" customFormat="1" ht="32.15" customHeight="1" x14ac:dyDescent="0.35">
      <c r="A329" s="26">
        <f t="shared" si="63"/>
        <v>308</v>
      </c>
      <c r="B329" s="32" t="s">
        <v>969</v>
      </c>
      <c r="C329" s="26"/>
      <c r="D329" s="50" t="s">
        <v>1009</v>
      </c>
      <c r="E329" s="51" t="s">
        <v>1010</v>
      </c>
      <c r="F329" s="93" t="s">
        <v>43</v>
      </c>
      <c r="G329" s="52" t="s">
        <v>1011</v>
      </c>
      <c r="H329" s="4" t="s">
        <v>379</v>
      </c>
      <c r="I329" s="33" t="s">
        <v>118</v>
      </c>
      <c r="J329" s="5" t="s">
        <v>87</v>
      </c>
      <c r="K329" s="3" t="str">
        <f t="shared" ca="1" si="70"/>
        <v xml:space="preserve">4 Tahun 8 bulan </v>
      </c>
      <c r="L329" s="30" t="s">
        <v>88</v>
      </c>
      <c r="M329" s="5">
        <v>44561</v>
      </c>
      <c r="N329" s="3" t="str">
        <f t="shared" ca="1" si="71"/>
        <v xml:space="preserve">4 Tahun 8 bulan </v>
      </c>
      <c r="O329" s="4"/>
      <c r="P329" s="4" t="s">
        <v>35</v>
      </c>
      <c r="Q329" s="4" t="str">
        <f t="shared" si="72"/>
        <v>Perempuan</v>
      </c>
      <c r="R329" s="4">
        <f t="shared" si="66"/>
        <v>1</v>
      </c>
      <c r="S329" s="4" t="str">
        <f t="shared" si="69"/>
        <v>1</v>
      </c>
      <c r="T329" s="4">
        <f t="shared" si="67"/>
        <v>0</v>
      </c>
      <c r="U329" s="29"/>
      <c r="V329" s="30"/>
      <c r="W329" s="30"/>
      <c r="X329" s="30"/>
      <c r="Y329" s="30"/>
      <c r="Z329" s="30"/>
      <c r="AA329" s="30"/>
      <c r="AB329" s="29"/>
      <c r="AC329" s="29"/>
      <c r="AD329" s="37">
        <f t="shared" si="74"/>
        <v>28320</v>
      </c>
      <c r="AE329" s="3" t="str">
        <f t="shared" ca="1" si="73"/>
        <v>49 Tahun 1 bulan 18 Hari</v>
      </c>
      <c r="AF329" s="38">
        <f t="shared" si="75"/>
        <v>50253</v>
      </c>
    </row>
    <row r="330" spans="1:32" s="7" customFormat="1" ht="32.15" customHeight="1" x14ac:dyDescent="0.35">
      <c r="A330" s="26">
        <f t="shared" si="63"/>
        <v>309</v>
      </c>
      <c r="B330" s="32" t="s">
        <v>969</v>
      </c>
      <c r="C330" s="256" t="s">
        <v>1012</v>
      </c>
      <c r="D330" s="257"/>
      <c r="E330" s="24" t="s">
        <v>1013</v>
      </c>
      <c r="F330" s="24" t="s">
        <v>43</v>
      </c>
      <c r="G330" s="3" t="s">
        <v>1014</v>
      </c>
      <c r="H330" s="4" t="s">
        <v>1015</v>
      </c>
      <c r="I330" s="33" t="s">
        <v>46</v>
      </c>
      <c r="J330" s="5" t="s">
        <v>330</v>
      </c>
      <c r="K330" s="3" t="str">
        <f t="shared" ca="1" si="70"/>
        <v xml:space="preserve">3 Tahun 8 bulan </v>
      </c>
      <c r="L330" s="30" t="s">
        <v>346</v>
      </c>
      <c r="M330" s="5" t="s">
        <v>330</v>
      </c>
      <c r="N330" s="3" t="str">
        <f t="shared" ca="1" si="71"/>
        <v xml:space="preserve">3 Tahun 8 bulan </v>
      </c>
      <c r="O330" s="36" t="s">
        <v>81</v>
      </c>
      <c r="P330" s="4" t="s">
        <v>35</v>
      </c>
      <c r="Q330" s="4" t="str">
        <f t="shared" si="72"/>
        <v>Perempuan</v>
      </c>
      <c r="R330" s="4">
        <f t="shared" si="66"/>
        <v>1</v>
      </c>
      <c r="S330" s="4" t="str">
        <f t="shared" si="69"/>
        <v>1</v>
      </c>
      <c r="T330" s="4">
        <f t="shared" si="67"/>
        <v>0</v>
      </c>
      <c r="U330" s="29"/>
      <c r="V330" s="30"/>
      <c r="W330" s="30"/>
      <c r="X330" s="30"/>
      <c r="Y330" s="30"/>
      <c r="Z330" s="30"/>
      <c r="AA330" s="30"/>
      <c r="AB330" s="29"/>
      <c r="AC330" s="29"/>
      <c r="AD330" s="37">
        <f t="shared" si="74"/>
        <v>29385</v>
      </c>
      <c r="AE330" s="3" t="str">
        <f t="shared" ca="1" si="73"/>
        <v>46 Tahun 2 bulan 19 Hari</v>
      </c>
      <c r="AF330" s="38">
        <f t="shared" si="75"/>
        <v>51318</v>
      </c>
    </row>
    <row r="331" spans="1:32" s="7" customFormat="1" ht="32.15" customHeight="1" x14ac:dyDescent="0.35">
      <c r="A331" s="26">
        <f t="shared" si="63"/>
        <v>310</v>
      </c>
      <c r="B331" s="32" t="s">
        <v>969</v>
      </c>
      <c r="C331" s="26"/>
      <c r="D331" s="50" t="s">
        <v>990</v>
      </c>
      <c r="E331" s="45" t="s">
        <v>1016</v>
      </c>
      <c r="F331" s="93" t="s">
        <v>43</v>
      </c>
      <c r="G331" s="44" t="s">
        <v>1017</v>
      </c>
      <c r="H331" s="4" t="s">
        <v>241</v>
      </c>
      <c r="I331" s="36" t="s">
        <v>67</v>
      </c>
      <c r="J331" s="5">
        <v>44561</v>
      </c>
      <c r="K331" s="3" t="str">
        <f t="shared" ca="1" si="70"/>
        <v xml:space="preserve">4 Tahun 8 bulan </v>
      </c>
      <c r="L331" s="30" t="s">
        <v>88</v>
      </c>
      <c r="M331" s="5">
        <v>44561</v>
      </c>
      <c r="N331" s="3" t="str">
        <f t="shared" ca="1" si="71"/>
        <v xml:space="preserve">4 Tahun 8 bulan </v>
      </c>
      <c r="O331" s="56"/>
      <c r="P331" s="4" t="s">
        <v>35</v>
      </c>
      <c r="Q331" s="4" t="str">
        <f t="shared" si="72"/>
        <v>Laki-Laki</v>
      </c>
      <c r="R331" s="4">
        <f t="shared" si="66"/>
        <v>1</v>
      </c>
      <c r="S331" s="4" t="str">
        <f t="shared" si="69"/>
        <v>1</v>
      </c>
      <c r="T331" s="4">
        <f t="shared" si="67"/>
        <v>0</v>
      </c>
      <c r="U331" s="29"/>
      <c r="V331" s="30" t="s">
        <v>50</v>
      </c>
      <c r="W331" s="30"/>
      <c r="X331" s="30"/>
      <c r="Y331" s="30"/>
      <c r="Z331" s="30"/>
      <c r="AA331" s="30"/>
      <c r="AB331" s="29"/>
      <c r="AC331" s="29"/>
      <c r="AD331" s="37">
        <f t="shared" si="74"/>
        <v>31209</v>
      </c>
      <c r="AE331" s="3" t="str">
        <f t="shared" ca="1" si="73"/>
        <v>41 Tahun 2 bulan 21 Hari</v>
      </c>
      <c r="AF331" s="38">
        <f t="shared" si="75"/>
        <v>53144</v>
      </c>
    </row>
    <row r="332" spans="1:32" s="7" customFormat="1" ht="32.15" customHeight="1" x14ac:dyDescent="0.35">
      <c r="A332" s="26">
        <f t="shared" si="63"/>
        <v>311</v>
      </c>
      <c r="B332" s="32" t="s">
        <v>969</v>
      </c>
      <c r="C332" s="26"/>
      <c r="D332" s="50" t="s">
        <v>990</v>
      </c>
      <c r="E332" s="45" t="s">
        <v>1018</v>
      </c>
      <c r="F332" s="93" t="s">
        <v>43</v>
      </c>
      <c r="G332" s="44" t="s">
        <v>1019</v>
      </c>
      <c r="H332" s="4" t="s">
        <v>259</v>
      </c>
      <c r="I332" s="36" t="s">
        <v>1020</v>
      </c>
      <c r="J332" s="5">
        <v>44561</v>
      </c>
      <c r="K332" s="3" t="str">
        <f t="shared" ca="1" si="70"/>
        <v xml:space="preserve">4 Tahun 8 bulan </v>
      </c>
      <c r="L332" s="30" t="s">
        <v>88</v>
      </c>
      <c r="M332" s="5">
        <v>44561</v>
      </c>
      <c r="N332" s="3" t="str">
        <f t="shared" ca="1" si="71"/>
        <v xml:space="preserve">4 Tahun 8 bulan </v>
      </c>
      <c r="O332" s="4"/>
      <c r="P332" s="4"/>
      <c r="Q332" s="4" t="str">
        <f t="shared" si="72"/>
        <v>Laki-Laki</v>
      </c>
      <c r="R332" s="4">
        <f t="shared" si="66"/>
        <v>1</v>
      </c>
      <c r="S332" s="4" t="str">
        <f t="shared" si="69"/>
        <v>1</v>
      </c>
      <c r="T332" s="4">
        <f t="shared" si="67"/>
        <v>0</v>
      </c>
      <c r="U332" s="29"/>
      <c r="V332" s="30" t="s">
        <v>50</v>
      </c>
      <c r="W332" s="30"/>
      <c r="X332" s="30"/>
      <c r="Y332" s="30"/>
      <c r="Z332" s="30"/>
      <c r="AA332" s="30"/>
      <c r="AB332" s="29"/>
      <c r="AC332" s="29"/>
      <c r="AD332" s="37">
        <f t="shared" si="74"/>
        <v>30194</v>
      </c>
      <c r="AE332" s="3" t="str">
        <f t="shared" ca="1" si="73"/>
        <v>44 Tahun 0 bulan 1 Hari</v>
      </c>
      <c r="AF332" s="38">
        <f t="shared" si="75"/>
        <v>52110</v>
      </c>
    </row>
    <row r="333" spans="1:32" s="7" customFormat="1" ht="32.15" customHeight="1" x14ac:dyDescent="0.35">
      <c r="A333" s="26"/>
      <c r="B333" s="27" t="s">
        <v>1021</v>
      </c>
      <c r="C333" s="264" t="s">
        <v>1022</v>
      </c>
      <c r="D333" s="305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  <c r="AA333" s="305"/>
      <c r="AB333" s="305"/>
      <c r="AC333" s="305"/>
      <c r="AD333" s="305"/>
      <c r="AE333" s="305"/>
      <c r="AF333" s="265"/>
    </row>
    <row r="334" spans="1:32" s="7" customFormat="1" ht="30.75" customHeight="1" x14ac:dyDescent="0.35">
      <c r="A334" s="26">
        <f>A332+1</f>
        <v>312</v>
      </c>
      <c r="B334" s="27" t="s">
        <v>1021</v>
      </c>
      <c r="C334" s="278" t="s">
        <v>1023</v>
      </c>
      <c r="D334" s="279"/>
      <c r="E334" s="24" t="s">
        <v>2994</v>
      </c>
      <c r="F334" s="24" t="s">
        <v>43</v>
      </c>
      <c r="G334" s="208" t="s">
        <v>230</v>
      </c>
      <c r="H334" s="4" t="s">
        <v>2995</v>
      </c>
      <c r="I334" s="41" t="s">
        <v>232</v>
      </c>
      <c r="J334" s="5">
        <v>46198</v>
      </c>
      <c r="K334" s="3" t="str">
        <f t="shared" ca="1" si="70"/>
        <v xml:space="preserve">0 Tahun 2 bulan </v>
      </c>
      <c r="L334" s="30" t="s">
        <v>56</v>
      </c>
      <c r="M334" s="5" t="s">
        <v>233</v>
      </c>
      <c r="N334" s="3" t="str">
        <f t="shared" ca="1" si="71"/>
        <v xml:space="preserve">2 Tahun 8 bulan </v>
      </c>
      <c r="O334" s="4"/>
      <c r="P334" s="4" t="s">
        <v>35</v>
      </c>
      <c r="Q334" s="4" t="str">
        <f t="shared" si="72"/>
        <v>Laki-Laki</v>
      </c>
      <c r="R334" s="4">
        <f>R332</f>
        <v>1</v>
      </c>
      <c r="S334" s="4" t="str">
        <f t="shared" ref="S334:S358" si="76">IF(E334="LOWONG","0","1")</f>
        <v>1</v>
      </c>
      <c r="T334" s="4">
        <f t="shared" si="67"/>
        <v>0</v>
      </c>
      <c r="U334" s="29"/>
      <c r="V334" s="30"/>
      <c r="W334" s="30"/>
      <c r="X334" s="30"/>
      <c r="Y334" s="30"/>
      <c r="Z334" s="30"/>
      <c r="AA334" s="30"/>
      <c r="AB334" s="29"/>
      <c r="AC334" s="29"/>
      <c r="AD334" s="37">
        <f t="shared" si="74"/>
        <v>28208</v>
      </c>
      <c r="AE334" s="3" t="str">
        <f t="shared" ca="1" si="73"/>
        <v>49 Tahun 5 bulan 8 Hari</v>
      </c>
      <c r="AF334" s="38">
        <f t="shared" si="75"/>
        <v>50131</v>
      </c>
    </row>
    <row r="335" spans="1:32" s="7" customFormat="1" ht="31.5" customHeight="1" x14ac:dyDescent="0.35">
      <c r="A335" s="26">
        <f t="shared" si="63"/>
        <v>313</v>
      </c>
      <c r="B335" s="27" t="s">
        <v>1021</v>
      </c>
      <c r="C335" s="256" t="s">
        <v>1024</v>
      </c>
      <c r="D335" s="257"/>
      <c r="E335" s="45" t="s">
        <v>1025</v>
      </c>
      <c r="F335" s="24" t="s">
        <v>43</v>
      </c>
      <c r="G335" s="44" t="s">
        <v>1026</v>
      </c>
      <c r="H335" s="4" t="s">
        <v>231</v>
      </c>
      <c r="I335" s="33" t="s">
        <v>1027</v>
      </c>
      <c r="J335" s="95">
        <v>45916</v>
      </c>
      <c r="K335" s="3" t="str">
        <f t="shared" ca="1" si="70"/>
        <v xml:space="preserve">0 Tahun 11 bulan </v>
      </c>
      <c r="L335" s="30" t="s">
        <v>79</v>
      </c>
      <c r="M335" s="95">
        <v>45916</v>
      </c>
      <c r="N335" s="3" t="str">
        <f t="shared" ca="1" si="71"/>
        <v xml:space="preserve">0 Tahun 11 bulan </v>
      </c>
      <c r="O335" s="36"/>
      <c r="P335" s="4" t="s">
        <v>35</v>
      </c>
      <c r="Q335" s="4" t="str">
        <f t="shared" si="72"/>
        <v>Perempuan</v>
      </c>
      <c r="R335" s="4">
        <f t="shared" si="66"/>
        <v>1</v>
      </c>
      <c r="S335" s="4" t="str">
        <f t="shared" si="76"/>
        <v>1</v>
      </c>
      <c r="T335" s="4">
        <f t="shared" si="67"/>
        <v>0</v>
      </c>
      <c r="U335" s="29"/>
      <c r="V335" s="30" t="s">
        <v>50</v>
      </c>
      <c r="W335" s="30"/>
      <c r="X335" s="30"/>
      <c r="Y335" s="30"/>
      <c r="Z335" s="30"/>
      <c r="AA335" s="30"/>
      <c r="AB335" s="29"/>
      <c r="AC335" s="29"/>
      <c r="AD335" s="37">
        <f t="shared" si="74"/>
        <v>25996</v>
      </c>
      <c r="AE335" s="3" t="str">
        <f t="shared" ca="1" si="73"/>
        <v>55 Tahun 5 bulan 28 Hari</v>
      </c>
      <c r="AF335" s="38">
        <f t="shared" si="75"/>
        <v>47939</v>
      </c>
    </row>
    <row r="336" spans="1:32" s="7" customFormat="1" ht="33.75" customHeight="1" x14ac:dyDescent="0.35">
      <c r="A336" s="26">
        <f t="shared" si="63"/>
        <v>314</v>
      </c>
      <c r="B336" s="27" t="s">
        <v>1021</v>
      </c>
      <c r="C336" s="26"/>
      <c r="D336" s="50" t="s">
        <v>1028</v>
      </c>
      <c r="E336" s="24" t="s">
        <v>1029</v>
      </c>
      <c r="F336" s="24" t="s">
        <v>43</v>
      </c>
      <c r="G336" s="3" t="s">
        <v>1030</v>
      </c>
      <c r="H336" s="4" t="s">
        <v>1031</v>
      </c>
      <c r="I336" s="33" t="s">
        <v>184</v>
      </c>
      <c r="J336" s="5" t="s">
        <v>1032</v>
      </c>
      <c r="K336" s="3" t="str">
        <f t="shared" ca="1" si="70"/>
        <v xml:space="preserve">4 Tahun 5 bulan </v>
      </c>
      <c r="L336" s="30" t="s">
        <v>200</v>
      </c>
      <c r="M336" s="5" t="s">
        <v>1032</v>
      </c>
      <c r="N336" s="3" t="str">
        <f t="shared" ca="1" si="71"/>
        <v xml:space="preserve">4 Tahun 5 bulan </v>
      </c>
      <c r="O336" s="4"/>
      <c r="P336" s="4" t="s">
        <v>35</v>
      </c>
      <c r="Q336" s="4" t="str">
        <f t="shared" si="72"/>
        <v>Perempuan</v>
      </c>
      <c r="R336" s="4">
        <f t="shared" si="66"/>
        <v>1</v>
      </c>
      <c r="S336" s="4" t="str">
        <f t="shared" si="76"/>
        <v>1</v>
      </c>
      <c r="T336" s="4">
        <f t="shared" si="67"/>
        <v>0</v>
      </c>
      <c r="U336" s="29"/>
      <c r="V336" s="30"/>
      <c r="W336" s="30"/>
      <c r="X336" s="30"/>
      <c r="Y336" s="30"/>
      <c r="Z336" s="30"/>
      <c r="AA336" s="30"/>
      <c r="AB336" s="29"/>
      <c r="AC336" s="29"/>
      <c r="AD336" s="37">
        <f t="shared" si="74"/>
        <v>30965</v>
      </c>
      <c r="AE336" s="3" t="str">
        <f t="shared" ca="1" si="73"/>
        <v>41 Tahun 10 bulan 22 Hari</v>
      </c>
      <c r="AF336" s="38">
        <f t="shared" si="75"/>
        <v>52902</v>
      </c>
    </row>
    <row r="337" spans="1:32" s="7" customFormat="1" ht="35.25" customHeight="1" x14ac:dyDescent="0.35">
      <c r="A337" s="26">
        <f t="shared" si="63"/>
        <v>315</v>
      </c>
      <c r="B337" s="27" t="s">
        <v>1021</v>
      </c>
      <c r="C337" s="26"/>
      <c r="D337" s="50" t="s">
        <v>1033</v>
      </c>
      <c r="E337" s="51" t="s">
        <v>1034</v>
      </c>
      <c r="F337" s="51" t="s">
        <v>43</v>
      </c>
      <c r="G337" s="52" t="s">
        <v>1035</v>
      </c>
      <c r="H337" s="4" t="s">
        <v>181</v>
      </c>
      <c r="I337" s="33" t="s">
        <v>46</v>
      </c>
      <c r="J337" s="5">
        <v>44561</v>
      </c>
      <c r="K337" s="3" t="str">
        <f t="shared" ca="1" si="70"/>
        <v xml:space="preserve">4 Tahun 8 bulan </v>
      </c>
      <c r="L337" s="30" t="s">
        <v>88</v>
      </c>
      <c r="M337" s="5">
        <v>44561</v>
      </c>
      <c r="N337" s="3" t="str">
        <f t="shared" ca="1" si="71"/>
        <v xml:space="preserve">4 Tahun 8 bulan </v>
      </c>
      <c r="O337" s="4"/>
      <c r="P337" s="4" t="s">
        <v>35</v>
      </c>
      <c r="Q337" s="4" t="str">
        <f t="shared" si="72"/>
        <v>Perempuan</v>
      </c>
      <c r="R337" s="4">
        <f t="shared" si="66"/>
        <v>1</v>
      </c>
      <c r="S337" s="4" t="str">
        <f t="shared" si="76"/>
        <v>1</v>
      </c>
      <c r="T337" s="4">
        <f t="shared" si="67"/>
        <v>0</v>
      </c>
      <c r="U337" s="29"/>
      <c r="V337" s="30"/>
      <c r="W337" s="30"/>
      <c r="X337" s="30"/>
      <c r="Y337" s="30"/>
      <c r="Z337" s="30"/>
      <c r="AA337" s="30"/>
      <c r="AB337" s="29"/>
      <c r="AC337" s="29"/>
      <c r="AD337" s="37">
        <f t="shared" si="74"/>
        <v>31211</v>
      </c>
      <c r="AE337" s="3" t="str">
        <f t="shared" ca="1" si="73"/>
        <v>41 Tahun 2 bulan 19 Hari</v>
      </c>
      <c r="AF337" s="38">
        <f t="shared" si="75"/>
        <v>53144</v>
      </c>
    </row>
    <row r="338" spans="1:32" s="7" customFormat="1" ht="27.5" customHeight="1" x14ac:dyDescent="0.35">
      <c r="A338" s="26">
        <f t="shared" ref="A338:A401" si="77">A337+1</f>
        <v>316</v>
      </c>
      <c r="B338" s="27" t="s">
        <v>1021</v>
      </c>
      <c r="C338" s="26"/>
      <c r="D338" s="50" t="s">
        <v>1036</v>
      </c>
      <c r="E338" s="24" t="s">
        <v>1037</v>
      </c>
      <c r="F338" s="24" t="s">
        <v>43</v>
      </c>
      <c r="G338" s="3" t="s">
        <v>1038</v>
      </c>
      <c r="H338" s="4" t="s">
        <v>870</v>
      </c>
      <c r="I338" s="33" t="s">
        <v>86</v>
      </c>
      <c r="J338" s="5" t="s">
        <v>199</v>
      </c>
      <c r="K338" s="3" t="str">
        <f t="shared" ca="1" si="70"/>
        <v xml:space="preserve">3 Tahun 11 bulan </v>
      </c>
      <c r="L338" s="30" t="s">
        <v>200</v>
      </c>
      <c r="M338" s="5" t="s">
        <v>199</v>
      </c>
      <c r="N338" s="3" t="str">
        <f t="shared" ca="1" si="71"/>
        <v xml:space="preserve">3 Tahun 11 bulan </v>
      </c>
      <c r="O338" s="35"/>
      <c r="P338" s="4" t="s">
        <v>35</v>
      </c>
      <c r="Q338" s="4" t="str">
        <f t="shared" si="72"/>
        <v>Laki-Laki</v>
      </c>
      <c r="R338" s="4">
        <f t="shared" si="66"/>
        <v>1</v>
      </c>
      <c r="S338" s="4" t="str">
        <f t="shared" si="76"/>
        <v>1</v>
      </c>
      <c r="T338" s="4">
        <f t="shared" si="67"/>
        <v>0</v>
      </c>
      <c r="U338" s="29"/>
      <c r="V338" s="30" t="s">
        <v>50</v>
      </c>
      <c r="W338" s="30"/>
      <c r="X338" s="30"/>
      <c r="Y338" s="30"/>
      <c r="Z338" s="30"/>
      <c r="AA338" s="30"/>
      <c r="AB338" s="29"/>
      <c r="AC338" s="29"/>
      <c r="AD338" s="37">
        <f t="shared" si="74"/>
        <v>27036</v>
      </c>
      <c r="AE338" s="3" t="str">
        <f t="shared" ca="1" si="73"/>
        <v>52 Tahun 7 bulan 25 Hari</v>
      </c>
      <c r="AF338" s="38">
        <f t="shared" si="75"/>
        <v>48976</v>
      </c>
    </row>
    <row r="339" spans="1:32" s="7" customFormat="1" ht="32.15" customHeight="1" x14ac:dyDescent="0.35">
      <c r="A339" s="26">
        <f t="shared" si="77"/>
        <v>317</v>
      </c>
      <c r="B339" s="27" t="s">
        <v>1021</v>
      </c>
      <c r="C339" s="256" t="s">
        <v>1039</v>
      </c>
      <c r="D339" s="257"/>
      <c r="E339" s="24" t="s">
        <v>1040</v>
      </c>
      <c r="F339" s="24" t="s">
        <v>43</v>
      </c>
      <c r="G339" s="3" t="s">
        <v>1041</v>
      </c>
      <c r="H339" s="4" t="s">
        <v>1042</v>
      </c>
      <c r="I339" s="4" t="s">
        <v>46</v>
      </c>
      <c r="J339" s="5" t="s">
        <v>1043</v>
      </c>
      <c r="K339" s="3" t="str">
        <f t="shared" ca="1" si="70"/>
        <v xml:space="preserve">5 Tahun 1 bulan </v>
      </c>
      <c r="L339" s="30" t="s">
        <v>346</v>
      </c>
      <c r="M339" s="5" t="s">
        <v>1043</v>
      </c>
      <c r="N339" s="3" t="str">
        <f t="shared" ca="1" si="71"/>
        <v xml:space="preserve">5 Tahun 1 bulan </v>
      </c>
      <c r="O339" s="4" t="s">
        <v>1044</v>
      </c>
      <c r="P339" s="4" t="s">
        <v>35</v>
      </c>
      <c r="Q339" s="4" t="str">
        <f t="shared" si="72"/>
        <v>Laki-Laki</v>
      </c>
      <c r="R339" s="4">
        <f t="shared" si="66"/>
        <v>1</v>
      </c>
      <c r="S339" s="4" t="str">
        <f t="shared" si="76"/>
        <v>1</v>
      </c>
      <c r="T339" s="4">
        <f t="shared" si="67"/>
        <v>0</v>
      </c>
      <c r="U339" s="29"/>
      <c r="V339" s="30" t="s">
        <v>50</v>
      </c>
      <c r="W339" s="30"/>
      <c r="X339" s="30"/>
      <c r="Y339" s="30"/>
      <c r="Z339" s="30"/>
      <c r="AA339" s="30"/>
      <c r="AB339" s="29"/>
      <c r="AC339" s="29"/>
      <c r="AD339" s="37">
        <f t="shared" si="74"/>
        <v>25288</v>
      </c>
      <c r="AE339" s="3" t="str">
        <f t="shared" ca="1" si="73"/>
        <v>57 Tahun 5 bulan 6 Hari</v>
      </c>
      <c r="AF339" s="38">
        <f t="shared" si="75"/>
        <v>47209</v>
      </c>
    </row>
    <row r="340" spans="1:32" s="7" customFormat="1" ht="32.15" customHeight="1" x14ac:dyDescent="0.35">
      <c r="A340" s="26">
        <f t="shared" si="77"/>
        <v>318</v>
      </c>
      <c r="B340" s="27" t="s">
        <v>1021</v>
      </c>
      <c r="C340" s="26"/>
      <c r="D340" s="50" t="s">
        <v>1045</v>
      </c>
      <c r="E340" s="24" t="s">
        <v>108</v>
      </c>
      <c r="F340" s="51"/>
      <c r="G340" s="4"/>
      <c r="H340" s="4"/>
      <c r="I340" s="41"/>
      <c r="J340" s="5"/>
      <c r="K340" s="3" t="str">
        <f t="shared" ca="1" si="70"/>
        <v/>
      </c>
      <c r="L340" s="30" t="s">
        <v>88</v>
      </c>
      <c r="M340" s="5"/>
      <c r="N340" s="3" t="str">
        <f t="shared" ca="1" si="71"/>
        <v/>
      </c>
      <c r="O340" s="4"/>
      <c r="P340" s="4" t="s">
        <v>35</v>
      </c>
      <c r="Q340" s="4" t="str">
        <f t="shared" si="72"/>
        <v/>
      </c>
      <c r="R340" s="4">
        <f t="shared" si="66"/>
        <v>1</v>
      </c>
      <c r="S340" s="4" t="str">
        <f t="shared" si="76"/>
        <v>0</v>
      </c>
      <c r="T340" s="4">
        <f t="shared" si="67"/>
        <v>1</v>
      </c>
      <c r="U340" s="29"/>
      <c r="V340" s="30"/>
      <c r="W340" s="30"/>
      <c r="X340" s="30"/>
      <c r="Y340" s="30"/>
      <c r="Z340" s="30"/>
      <c r="AA340" s="30"/>
      <c r="AB340" s="29"/>
      <c r="AC340" s="29"/>
      <c r="AD340" s="37" t="str">
        <f t="shared" si="74"/>
        <v/>
      </c>
      <c r="AE340" s="3" t="str">
        <f t="shared" ca="1" si="73"/>
        <v/>
      </c>
      <c r="AF340" s="38" t="str">
        <f t="shared" si="75"/>
        <v/>
      </c>
    </row>
    <row r="341" spans="1:32" s="7" customFormat="1" ht="32.15" customHeight="1" x14ac:dyDescent="0.35">
      <c r="A341" s="26">
        <f t="shared" si="77"/>
        <v>319</v>
      </c>
      <c r="B341" s="27" t="s">
        <v>1021</v>
      </c>
      <c r="C341" s="26"/>
      <c r="D341" s="50" t="s">
        <v>1045</v>
      </c>
      <c r="E341" s="24" t="s">
        <v>1048</v>
      </c>
      <c r="F341" s="24" t="s">
        <v>43</v>
      </c>
      <c r="G341" s="4" t="s">
        <v>1049</v>
      </c>
      <c r="H341" s="4" t="s">
        <v>1050</v>
      </c>
      <c r="I341" s="33" t="s">
        <v>46</v>
      </c>
      <c r="J341" s="5">
        <v>44561</v>
      </c>
      <c r="K341" s="3" t="str">
        <f t="shared" ca="1" si="70"/>
        <v xml:space="preserve">4 Tahun 8 bulan </v>
      </c>
      <c r="L341" s="30" t="s">
        <v>88</v>
      </c>
      <c r="M341" s="5">
        <v>44561</v>
      </c>
      <c r="N341" s="3" t="str">
        <f t="shared" ca="1" si="71"/>
        <v xml:space="preserve">4 Tahun 8 bulan </v>
      </c>
      <c r="O341" s="4"/>
      <c r="P341" s="4" t="s">
        <v>35</v>
      </c>
      <c r="Q341" s="4" t="str">
        <f t="shared" si="72"/>
        <v>Laki-Laki</v>
      </c>
      <c r="R341" s="4">
        <f t="shared" si="66"/>
        <v>1</v>
      </c>
      <c r="S341" s="4" t="str">
        <f t="shared" si="76"/>
        <v>1</v>
      </c>
      <c r="T341" s="4">
        <f t="shared" si="67"/>
        <v>0</v>
      </c>
      <c r="U341" s="29"/>
      <c r="V341" s="30" t="s">
        <v>50</v>
      </c>
      <c r="W341" s="30"/>
      <c r="X341" s="30"/>
      <c r="Y341" s="30"/>
      <c r="Z341" s="30"/>
      <c r="AA341" s="30"/>
      <c r="AB341" s="29"/>
      <c r="AC341" s="29"/>
      <c r="AD341" s="37">
        <f t="shared" si="74"/>
        <v>27186</v>
      </c>
      <c r="AE341" s="3" t="str">
        <f t="shared" ca="1" si="73"/>
        <v>52 Tahun 2 bulan 26 Hari</v>
      </c>
      <c r="AF341" s="38">
        <f t="shared" si="75"/>
        <v>49126</v>
      </c>
    </row>
    <row r="342" spans="1:32" s="7" customFormat="1" ht="32.15" customHeight="1" x14ac:dyDescent="0.35">
      <c r="A342" s="26">
        <f t="shared" si="77"/>
        <v>320</v>
      </c>
      <c r="B342" s="27" t="s">
        <v>1021</v>
      </c>
      <c r="C342" s="26"/>
      <c r="D342" s="50" t="s">
        <v>1045</v>
      </c>
      <c r="E342" s="24" t="s">
        <v>108</v>
      </c>
      <c r="F342" s="24"/>
      <c r="G342" s="3"/>
      <c r="H342" s="4"/>
      <c r="I342" s="41"/>
      <c r="J342" s="5"/>
      <c r="K342" s="3" t="str">
        <f t="shared" ca="1" si="70"/>
        <v/>
      </c>
      <c r="L342" s="30" t="s">
        <v>88</v>
      </c>
      <c r="M342" s="5"/>
      <c r="N342" s="3" t="str">
        <f t="shared" ca="1" si="71"/>
        <v/>
      </c>
      <c r="O342" s="4"/>
      <c r="P342" s="4" t="s">
        <v>35</v>
      </c>
      <c r="Q342" s="4" t="str">
        <f t="shared" si="72"/>
        <v/>
      </c>
      <c r="R342" s="4">
        <f t="shared" si="66"/>
        <v>1</v>
      </c>
      <c r="S342" s="4" t="str">
        <f t="shared" si="76"/>
        <v>0</v>
      </c>
      <c r="T342" s="4">
        <f t="shared" si="67"/>
        <v>1</v>
      </c>
      <c r="U342" s="29"/>
      <c r="V342" s="30" t="s">
        <v>50</v>
      </c>
      <c r="W342" s="30"/>
      <c r="X342" s="30"/>
      <c r="Y342" s="30"/>
      <c r="Z342" s="30"/>
      <c r="AA342" s="30"/>
      <c r="AB342" s="29"/>
      <c r="AC342" s="29"/>
      <c r="AD342" s="37" t="str">
        <f t="shared" si="74"/>
        <v/>
      </c>
      <c r="AE342" s="3" t="str">
        <f t="shared" ca="1" si="73"/>
        <v/>
      </c>
      <c r="AF342" s="38" t="str">
        <f t="shared" si="75"/>
        <v/>
      </c>
    </row>
    <row r="343" spans="1:32" s="7" customFormat="1" ht="32.15" customHeight="1" x14ac:dyDescent="0.35">
      <c r="A343" s="26">
        <f t="shared" si="77"/>
        <v>321</v>
      </c>
      <c r="B343" s="27" t="s">
        <v>1021</v>
      </c>
      <c r="C343" s="256" t="s">
        <v>1053</v>
      </c>
      <c r="D343" s="257"/>
      <c r="E343" s="24" t="s">
        <v>1046</v>
      </c>
      <c r="F343" s="24" t="s">
        <v>43</v>
      </c>
      <c r="G343" s="4" t="s">
        <v>1047</v>
      </c>
      <c r="H343" s="4" t="s">
        <v>279</v>
      </c>
      <c r="I343" s="33" t="s">
        <v>86</v>
      </c>
      <c r="J343" s="5">
        <v>46198</v>
      </c>
      <c r="K343" s="3" t="str">
        <f t="shared" ca="1" si="70"/>
        <v xml:space="preserve">0 Tahun 2 bulan </v>
      </c>
      <c r="L343" s="30" t="s">
        <v>346</v>
      </c>
      <c r="M343" s="5">
        <v>46198</v>
      </c>
      <c r="N343" s="3" t="str">
        <f t="shared" ca="1" si="71"/>
        <v xml:space="preserve">0 Tahun 2 bulan </v>
      </c>
      <c r="O343" s="4"/>
      <c r="P343" s="4" t="s">
        <v>35</v>
      </c>
      <c r="Q343" s="4" t="str">
        <f t="shared" si="72"/>
        <v>Perempuan</v>
      </c>
      <c r="R343" s="4">
        <f t="shared" si="66"/>
        <v>1</v>
      </c>
      <c r="S343" s="4" t="str">
        <f t="shared" si="76"/>
        <v>1</v>
      </c>
      <c r="T343" s="4">
        <f t="shared" si="67"/>
        <v>0</v>
      </c>
      <c r="U343" s="29"/>
      <c r="V343" s="30"/>
      <c r="W343" s="30"/>
      <c r="X343" s="30"/>
      <c r="Y343" s="30"/>
      <c r="Z343" s="30"/>
      <c r="AA343" s="30"/>
      <c r="AB343" s="29"/>
      <c r="AC343" s="29"/>
      <c r="AD343" s="37">
        <f t="shared" si="74"/>
        <v>25307</v>
      </c>
      <c r="AE343" s="3" t="str">
        <f t="shared" ca="1" si="73"/>
        <v>57 Tahun 4 bulan 18 Hari</v>
      </c>
      <c r="AF343" s="38">
        <f t="shared" si="75"/>
        <v>47239</v>
      </c>
    </row>
    <row r="344" spans="1:32" s="7" customFormat="1" ht="32.15" customHeight="1" x14ac:dyDescent="0.35">
      <c r="A344" s="26">
        <f t="shared" si="77"/>
        <v>322</v>
      </c>
      <c r="B344" s="27" t="s">
        <v>1021</v>
      </c>
      <c r="C344" s="26"/>
      <c r="D344" s="50" t="s">
        <v>1054</v>
      </c>
      <c r="E344" s="39" t="s">
        <v>1055</v>
      </c>
      <c r="F344" s="24" t="s">
        <v>43</v>
      </c>
      <c r="G344" s="25" t="s">
        <v>1056</v>
      </c>
      <c r="H344" s="4" t="s">
        <v>135</v>
      </c>
      <c r="I344" s="41" t="s">
        <v>86</v>
      </c>
      <c r="J344" s="5" t="s">
        <v>87</v>
      </c>
      <c r="K344" s="3" t="str">
        <f t="shared" ca="1" si="70"/>
        <v xml:space="preserve">4 Tahun 8 bulan </v>
      </c>
      <c r="L344" s="30" t="s">
        <v>88</v>
      </c>
      <c r="M344" s="5">
        <v>44561</v>
      </c>
      <c r="N344" s="3" t="str">
        <f t="shared" ca="1" si="71"/>
        <v xml:space="preserve">4 Tahun 8 bulan </v>
      </c>
      <c r="O344" s="36"/>
      <c r="P344" s="4" t="s">
        <v>35</v>
      </c>
      <c r="Q344" s="4" t="str">
        <f t="shared" si="72"/>
        <v>Perempuan</v>
      </c>
      <c r="R344" s="4">
        <f t="shared" si="66"/>
        <v>1</v>
      </c>
      <c r="S344" s="4" t="str">
        <f t="shared" si="76"/>
        <v>1</v>
      </c>
      <c r="T344" s="4">
        <f t="shared" si="67"/>
        <v>0</v>
      </c>
      <c r="U344" s="29"/>
      <c r="V344" s="30"/>
      <c r="W344" s="30"/>
      <c r="X344" s="30"/>
      <c r="Y344" s="30"/>
      <c r="Z344" s="30"/>
      <c r="AA344" s="30"/>
      <c r="AB344" s="29"/>
      <c r="AC344" s="29"/>
      <c r="AD344" s="37">
        <f t="shared" si="74"/>
        <v>29327</v>
      </c>
      <c r="AE344" s="3" t="str">
        <f t="shared" ca="1" si="73"/>
        <v>46 Tahun 4 bulan 16 Hari</v>
      </c>
      <c r="AF344" s="38">
        <f t="shared" si="75"/>
        <v>51257</v>
      </c>
    </row>
    <row r="345" spans="1:32" s="7" customFormat="1" ht="32.15" customHeight="1" x14ac:dyDescent="0.35">
      <c r="A345" s="26">
        <f t="shared" si="77"/>
        <v>323</v>
      </c>
      <c r="B345" s="27" t="s">
        <v>1021</v>
      </c>
      <c r="C345" s="26"/>
      <c r="D345" s="50" t="s">
        <v>1057</v>
      </c>
      <c r="E345" s="24" t="s">
        <v>1058</v>
      </c>
      <c r="F345" s="24" t="s">
        <v>43</v>
      </c>
      <c r="G345" s="3" t="s">
        <v>1059</v>
      </c>
      <c r="H345" s="4" t="s">
        <v>159</v>
      </c>
      <c r="I345" s="33" t="s">
        <v>86</v>
      </c>
      <c r="J345" s="5" t="s">
        <v>87</v>
      </c>
      <c r="K345" s="3" t="str">
        <f t="shared" ca="1" si="70"/>
        <v xml:space="preserve">4 Tahun 8 bulan </v>
      </c>
      <c r="L345" s="30" t="s">
        <v>88</v>
      </c>
      <c r="M345" s="5">
        <v>44561</v>
      </c>
      <c r="N345" s="3" t="str">
        <f t="shared" ca="1" si="71"/>
        <v xml:space="preserve">4 Tahun 8 bulan </v>
      </c>
      <c r="O345" s="4"/>
      <c r="P345" s="4" t="s">
        <v>35</v>
      </c>
      <c r="Q345" s="4" t="str">
        <f t="shared" si="72"/>
        <v>Laki-Laki</v>
      </c>
      <c r="R345" s="4">
        <f t="shared" si="66"/>
        <v>1</v>
      </c>
      <c r="S345" s="4" t="str">
        <f t="shared" si="76"/>
        <v>1</v>
      </c>
      <c r="T345" s="4">
        <f t="shared" si="67"/>
        <v>0</v>
      </c>
      <c r="U345" s="29"/>
      <c r="V345" s="30" t="s">
        <v>50</v>
      </c>
      <c r="W345" s="30"/>
      <c r="X345" s="30"/>
      <c r="Y345" s="30"/>
      <c r="Z345" s="30"/>
      <c r="AA345" s="30"/>
      <c r="AB345" s="29"/>
      <c r="AC345" s="29"/>
      <c r="AD345" s="37">
        <f t="shared" si="74"/>
        <v>27946</v>
      </c>
      <c r="AE345" s="3" t="str">
        <f t="shared" ca="1" si="73"/>
        <v>50 Tahun 1 bulan 27 Hari</v>
      </c>
      <c r="AF345" s="38">
        <f t="shared" si="75"/>
        <v>49888</v>
      </c>
    </row>
    <row r="346" spans="1:32" s="7" customFormat="1" ht="32.15" customHeight="1" x14ac:dyDescent="0.35">
      <c r="A346" s="26">
        <f t="shared" si="77"/>
        <v>324</v>
      </c>
      <c r="B346" s="27" t="s">
        <v>1021</v>
      </c>
      <c r="C346" s="26"/>
      <c r="D346" s="50" t="s">
        <v>1057</v>
      </c>
      <c r="E346" s="24" t="s">
        <v>1060</v>
      </c>
      <c r="F346" s="24" t="s">
        <v>43</v>
      </c>
      <c r="G346" s="4" t="s">
        <v>1061</v>
      </c>
      <c r="H346" s="4" t="s">
        <v>159</v>
      </c>
      <c r="I346" s="4" t="s">
        <v>61</v>
      </c>
      <c r="J346" s="5" t="s">
        <v>87</v>
      </c>
      <c r="K346" s="3" t="str">
        <f t="shared" ca="1" si="70"/>
        <v xml:space="preserve">4 Tahun 8 bulan </v>
      </c>
      <c r="L346" s="30" t="s">
        <v>88</v>
      </c>
      <c r="M346" s="5">
        <v>44561</v>
      </c>
      <c r="N346" s="3" t="str">
        <f t="shared" ca="1" si="71"/>
        <v xml:space="preserve">4 Tahun 8 bulan </v>
      </c>
      <c r="O346" s="4"/>
      <c r="P346" s="4" t="s">
        <v>35</v>
      </c>
      <c r="Q346" s="4" t="str">
        <f t="shared" si="72"/>
        <v>Perempuan</v>
      </c>
      <c r="R346" s="4">
        <f t="shared" si="66"/>
        <v>1</v>
      </c>
      <c r="S346" s="4" t="str">
        <f t="shared" si="76"/>
        <v>1</v>
      </c>
      <c r="T346" s="4">
        <f t="shared" si="67"/>
        <v>0</v>
      </c>
      <c r="U346" s="29"/>
      <c r="V346" s="30"/>
      <c r="W346" s="30"/>
      <c r="X346" s="30"/>
      <c r="Y346" s="30"/>
      <c r="Z346" s="30"/>
      <c r="AA346" s="30"/>
      <c r="AB346" s="29"/>
      <c r="AC346" s="29"/>
      <c r="AD346" s="37">
        <f t="shared" si="74"/>
        <v>28406</v>
      </c>
      <c r="AE346" s="3" t="str">
        <f t="shared" ca="1" si="73"/>
        <v>48 Tahun 10 bulan 24 Hari</v>
      </c>
      <c r="AF346" s="38">
        <f t="shared" si="75"/>
        <v>50345</v>
      </c>
    </row>
    <row r="347" spans="1:32" s="7" customFormat="1" ht="32.15" customHeight="1" x14ac:dyDescent="0.35">
      <c r="A347" s="26">
        <f t="shared" si="77"/>
        <v>325</v>
      </c>
      <c r="B347" s="27" t="s">
        <v>1021</v>
      </c>
      <c r="C347" s="256" t="s">
        <v>1062</v>
      </c>
      <c r="D347" s="257"/>
      <c r="E347" s="24" t="s">
        <v>2892</v>
      </c>
      <c r="F347" s="24" t="s">
        <v>43</v>
      </c>
      <c r="G347" s="4" t="s">
        <v>2893</v>
      </c>
      <c r="H347" s="4" t="s">
        <v>1158</v>
      </c>
      <c r="I347" s="33" t="s">
        <v>1961</v>
      </c>
      <c r="J347" s="5">
        <v>46087</v>
      </c>
      <c r="K347" s="3" t="str">
        <f t="shared" ca="1" si="70"/>
        <v xml:space="preserve">0 Tahun 5 bulan </v>
      </c>
      <c r="L347" s="30" t="s">
        <v>346</v>
      </c>
      <c r="M347" s="5">
        <v>46087</v>
      </c>
      <c r="N347" s="3" t="str">
        <f t="shared" ca="1" si="71"/>
        <v xml:space="preserve">0 Tahun 5 bulan </v>
      </c>
      <c r="O347" s="4"/>
      <c r="P347" s="4" t="s">
        <v>2805</v>
      </c>
      <c r="Q347" s="4" t="str">
        <f t="shared" si="72"/>
        <v>Laki-Laki</v>
      </c>
      <c r="R347" s="4">
        <f t="shared" si="66"/>
        <v>1</v>
      </c>
      <c r="S347" s="4" t="str">
        <f t="shared" si="76"/>
        <v>1</v>
      </c>
      <c r="T347" s="4">
        <f t="shared" si="67"/>
        <v>0</v>
      </c>
      <c r="U347" s="29"/>
      <c r="V347" s="30" t="s">
        <v>50</v>
      </c>
      <c r="W347" s="30"/>
      <c r="X347" s="30"/>
      <c r="Y347" s="30"/>
      <c r="Z347" s="30"/>
      <c r="AA347" s="30"/>
      <c r="AB347" s="29"/>
      <c r="AC347" s="29"/>
      <c r="AD347" s="37">
        <f t="shared" si="74"/>
        <v>28777</v>
      </c>
      <c r="AE347" s="3" t="str">
        <f t="shared" ca="1" si="73"/>
        <v>47 Tahun 10 bulan 18 Hari</v>
      </c>
      <c r="AF347" s="38">
        <f t="shared" si="75"/>
        <v>50710</v>
      </c>
    </row>
    <row r="348" spans="1:32" s="7" customFormat="1" ht="38.25" customHeight="1" x14ac:dyDescent="0.35">
      <c r="A348" s="26">
        <f t="shared" si="77"/>
        <v>326</v>
      </c>
      <c r="B348" s="27" t="s">
        <v>1021</v>
      </c>
      <c r="C348" s="26"/>
      <c r="D348" s="50" t="s">
        <v>1064</v>
      </c>
      <c r="E348" s="24" t="s">
        <v>1065</v>
      </c>
      <c r="F348" s="24" t="s">
        <v>43</v>
      </c>
      <c r="G348" s="4" t="s">
        <v>1066</v>
      </c>
      <c r="H348" s="4" t="s">
        <v>1063</v>
      </c>
      <c r="I348" s="33" t="s">
        <v>1067</v>
      </c>
      <c r="J348" s="5" t="s">
        <v>87</v>
      </c>
      <c r="K348" s="3" t="str">
        <f t="shared" ca="1" si="70"/>
        <v xml:space="preserve">4 Tahun 8 bulan </v>
      </c>
      <c r="L348" s="30" t="s">
        <v>88</v>
      </c>
      <c r="M348" s="5">
        <v>44561</v>
      </c>
      <c r="N348" s="3" t="str">
        <f t="shared" ca="1" si="71"/>
        <v xml:space="preserve">4 Tahun 8 bulan </v>
      </c>
      <c r="O348" s="4"/>
      <c r="P348" s="4" t="s">
        <v>35</v>
      </c>
      <c r="Q348" s="4" t="str">
        <f t="shared" si="72"/>
        <v/>
      </c>
      <c r="R348" s="4">
        <f t="shared" ref="R348:R411" si="78">R347</f>
        <v>1</v>
      </c>
      <c r="S348" s="4" t="str">
        <f t="shared" si="76"/>
        <v>1</v>
      </c>
      <c r="T348" s="4">
        <f t="shared" si="67"/>
        <v>0</v>
      </c>
      <c r="U348" s="29"/>
      <c r="V348" s="30" t="s">
        <v>50</v>
      </c>
      <c r="W348" s="30"/>
      <c r="X348" s="30"/>
      <c r="Y348" s="30"/>
      <c r="Z348" s="30"/>
      <c r="AA348" s="30"/>
      <c r="AB348" s="29"/>
      <c r="AC348" s="29"/>
      <c r="AD348" s="37">
        <f t="shared" si="74"/>
        <v>27397</v>
      </c>
      <c r="AE348" s="3" t="str">
        <f t="shared" ca="1" si="73"/>
        <v>51 Tahun 7 bulan 29 Hari</v>
      </c>
      <c r="AF348" s="38">
        <f t="shared" si="75"/>
        <v>49341</v>
      </c>
    </row>
    <row r="349" spans="1:32" s="7" customFormat="1" ht="32.15" customHeight="1" x14ac:dyDescent="0.35">
      <c r="A349" s="26">
        <f t="shared" si="77"/>
        <v>327</v>
      </c>
      <c r="B349" s="27" t="s">
        <v>1021</v>
      </c>
      <c r="C349" s="26"/>
      <c r="D349" s="50" t="s">
        <v>1064</v>
      </c>
      <c r="E349" s="24" t="s">
        <v>108</v>
      </c>
      <c r="F349" s="24"/>
      <c r="G349" s="4"/>
      <c r="H349" s="4"/>
      <c r="I349" s="33"/>
      <c r="J349" s="49"/>
      <c r="K349" s="3" t="str">
        <f t="shared" ca="1" si="70"/>
        <v/>
      </c>
      <c r="L349" s="30" t="s">
        <v>88</v>
      </c>
      <c r="M349" s="49"/>
      <c r="N349" s="3" t="str">
        <f t="shared" ca="1" si="71"/>
        <v/>
      </c>
      <c r="O349" s="4"/>
      <c r="P349" s="4"/>
      <c r="Q349" s="4" t="str">
        <f t="shared" si="72"/>
        <v/>
      </c>
      <c r="R349" s="4">
        <f t="shared" si="78"/>
        <v>1</v>
      </c>
      <c r="S349" s="4" t="str">
        <f t="shared" si="76"/>
        <v>0</v>
      </c>
      <c r="T349" s="4">
        <f t="shared" si="67"/>
        <v>1</v>
      </c>
      <c r="U349" s="29"/>
      <c r="V349" s="30"/>
      <c r="W349" s="30"/>
      <c r="X349" s="30"/>
      <c r="Y349" s="30"/>
      <c r="Z349" s="30"/>
      <c r="AA349" s="30"/>
      <c r="AB349" s="29"/>
      <c r="AC349" s="29"/>
      <c r="AD349" s="37" t="str">
        <f t="shared" si="74"/>
        <v/>
      </c>
      <c r="AE349" s="3" t="str">
        <f t="shared" ca="1" si="73"/>
        <v/>
      </c>
      <c r="AF349" s="38" t="str">
        <f t="shared" si="75"/>
        <v/>
      </c>
    </row>
    <row r="350" spans="1:32" s="7" customFormat="1" ht="32.15" customHeight="1" x14ac:dyDescent="0.35">
      <c r="A350" s="26">
        <f t="shared" si="77"/>
        <v>328</v>
      </c>
      <c r="B350" s="27" t="s">
        <v>1021</v>
      </c>
      <c r="C350" s="26"/>
      <c r="D350" s="50" t="s">
        <v>1068</v>
      </c>
      <c r="E350" s="24" t="s">
        <v>108</v>
      </c>
      <c r="F350" s="24"/>
      <c r="G350" s="4"/>
      <c r="H350" s="4"/>
      <c r="I350" s="41"/>
      <c r="J350" s="5"/>
      <c r="K350" s="3" t="str">
        <f t="shared" ca="1" si="70"/>
        <v/>
      </c>
      <c r="L350" s="30" t="s">
        <v>88</v>
      </c>
      <c r="M350" s="5"/>
      <c r="N350" s="3" t="str">
        <f t="shared" ca="1" si="71"/>
        <v/>
      </c>
      <c r="O350" s="4"/>
      <c r="P350" s="4"/>
      <c r="Q350" s="4" t="str">
        <f t="shared" si="72"/>
        <v/>
      </c>
      <c r="R350" s="4">
        <f t="shared" si="78"/>
        <v>1</v>
      </c>
      <c r="S350" s="4" t="str">
        <f t="shared" si="76"/>
        <v>0</v>
      </c>
      <c r="T350" s="4">
        <f t="shared" si="67"/>
        <v>1</v>
      </c>
      <c r="U350" s="29"/>
      <c r="V350" s="30" t="s">
        <v>50</v>
      </c>
      <c r="W350" s="30"/>
      <c r="X350" s="30"/>
      <c r="Y350" s="30"/>
      <c r="Z350" s="30"/>
      <c r="AA350" s="30"/>
      <c r="AB350" s="29"/>
      <c r="AC350" s="29"/>
      <c r="AD350" s="37" t="str">
        <f t="shared" si="74"/>
        <v/>
      </c>
      <c r="AE350" s="3" t="str">
        <f t="shared" ca="1" si="73"/>
        <v/>
      </c>
      <c r="AF350" s="38" t="str">
        <f t="shared" si="75"/>
        <v/>
      </c>
    </row>
    <row r="351" spans="1:32" s="7" customFormat="1" ht="32.15" customHeight="1" x14ac:dyDescent="0.35">
      <c r="A351" s="26">
        <f t="shared" si="77"/>
        <v>329</v>
      </c>
      <c r="B351" s="27" t="s">
        <v>1021</v>
      </c>
      <c r="C351" s="256" t="s">
        <v>1070</v>
      </c>
      <c r="D351" s="257"/>
      <c r="E351" s="39" t="s">
        <v>1071</v>
      </c>
      <c r="F351" s="24" t="s">
        <v>43</v>
      </c>
      <c r="G351" s="40" t="s">
        <v>1072</v>
      </c>
      <c r="H351" s="4" t="s">
        <v>1063</v>
      </c>
      <c r="I351" s="25" t="s">
        <v>1073</v>
      </c>
      <c r="J351" s="5" t="s">
        <v>369</v>
      </c>
      <c r="K351" s="3" t="str">
        <f t="shared" ca="1" si="70"/>
        <v xml:space="preserve">3 Tahun 11 bulan </v>
      </c>
      <c r="L351" s="30" t="s">
        <v>346</v>
      </c>
      <c r="M351" s="5" t="s">
        <v>369</v>
      </c>
      <c r="N351" s="3" t="str">
        <f t="shared" ca="1" si="71"/>
        <v xml:space="preserve">3 Tahun 11 bulan </v>
      </c>
      <c r="O351" s="4"/>
      <c r="P351" s="4" t="s">
        <v>35</v>
      </c>
      <c r="Q351" s="4" t="str">
        <f t="shared" si="72"/>
        <v>Laki-Laki</v>
      </c>
      <c r="R351" s="4">
        <f t="shared" si="78"/>
        <v>1</v>
      </c>
      <c r="S351" s="4" t="str">
        <f t="shared" si="76"/>
        <v>1</v>
      </c>
      <c r="T351" s="4">
        <f t="shared" si="67"/>
        <v>0</v>
      </c>
      <c r="U351" s="29"/>
      <c r="V351" s="30" t="s">
        <v>50</v>
      </c>
      <c r="W351" s="30"/>
      <c r="X351" s="30"/>
      <c r="Y351" s="30"/>
      <c r="Z351" s="30"/>
      <c r="AA351" s="30"/>
      <c r="AB351" s="29"/>
      <c r="AC351" s="29"/>
      <c r="AD351" s="37">
        <f t="shared" si="74"/>
        <v>28680</v>
      </c>
      <c r="AE351" s="3" t="str">
        <f t="shared" ca="1" si="73"/>
        <v>48 Tahun 1 bulan 23 Hari</v>
      </c>
      <c r="AF351" s="38">
        <f t="shared" si="75"/>
        <v>50618</v>
      </c>
    </row>
    <row r="352" spans="1:32" s="7" customFormat="1" ht="32.15" customHeight="1" x14ac:dyDescent="0.35">
      <c r="A352" s="26">
        <f t="shared" si="77"/>
        <v>330</v>
      </c>
      <c r="B352" s="27" t="s">
        <v>1021</v>
      </c>
      <c r="C352" s="26"/>
      <c r="D352" s="50" t="s">
        <v>1074</v>
      </c>
      <c r="E352" s="51" t="s">
        <v>1075</v>
      </c>
      <c r="F352" s="51" t="s">
        <v>43</v>
      </c>
      <c r="G352" s="52" t="s">
        <v>1076</v>
      </c>
      <c r="H352" s="4" t="s">
        <v>410</v>
      </c>
      <c r="I352" s="33" t="s">
        <v>251</v>
      </c>
      <c r="J352" s="5">
        <v>44561</v>
      </c>
      <c r="K352" s="3" t="str">
        <f t="shared" ca="1" si="70"/>
        <v xml:space="preserve">4 Tahun 8 bulan </v>
      </c>
      <c r="L352" s="30" t="s">
        <v>88</v>
      </c>
      <c r="M352" s="5">
        <v>44561</v>
      </c>
      <c r="N352" s="3" t="str">
        <f t="shared" ca="1" si="71"/>
        <v xml:space="preserve">4 Tahun 8 bulan </v>
      </c>
      <c r="O352" s="4"/>
      <c r="P352" s="4" t="s">
        <v>35</v>
      </c>
      <c r="Q352" s="4" t="str">
        <f t="shared" si="72"/>
        <v>Laki-Laki</v>
      </c>
      <c r="R352" s="4">
        <f t="shared" si="78"/>
        <v>1</v>
      </c>
      <c r="S352" s="4" t="str">
        <f t="shared" si="76"/>
        <v>1</v>
      </c>
      <c r="T352" s="4">
        <f t="shared" si="67"/>
        <v>0</v>
      </c>
      <c r="U352" s="29"/>
      <c r="V352" s="30" t="s">
        <v>50</v>
      </c>
      <c r="W352" s="30"/>
      <c r="X352" s="30"/>
      <c r="Y352" s="30"/>
      <c r="Z352" s="30"/>
      <c r="AA352" s="30"/>
      <c r="AB352" s="29"/>
      <c r="AC352" s="29"/>
      <c r="AD352" s="37">
        <f t="shared" si="74"/>
        <v>28212</v>
      </c>
      <c r="AE352" s="3" t="str">
        <f t="shared" ca="1" si="73"/>
        <v>49 Tahun 5 bulan 4 Hari</v>
      </c>
      <c r="AF352" s="38">
        <f t="shared" si="75"/>
        <v>50131</v>
      </c>
    </row>
    <row r="353" spans="1:32" s="7" customFormat="1" ht="32.15" customHeight="1" x14ac:dyDescent="0.35">
      <c r="A353" s="26">
        <f t="shared" si="77"/>
        <v>331</v>
      </c>
      <c r="B353" s="27" t="s">
        <v>1021</v>
      </c>
      <c r="C353" s="26"/>
      <c r="D353" s="50" t="s">
        <v>1077</v>
      </c>
      <c r="E353" s="24" t="s">
        <v>1078</v>
      </c>
      <c r="F353" s="51" t="s">
        <v>43</v>
      </c>
      <c r="G353" s="3" t="s">
        <v>1079</v>
      </c>
      <c r="H353" s="4" t="s">
        <v>574</v>
      </c>
      <c r="I353" s="4" t="s">
        <v>61</v>
      </c>
      <c r="J353" s="5">
        <v>44561</v>
      </c>
      <c r="K353" s="3" t="str">
        <f t="shared" ca="1" si="70"/>
        <v xml:space="preserve">4 Tahun 8 bulan </v>
      </c>
      <c r="L353" s="30" t="s">
        <v>88</v>
      </c>
      <c r="M353" s="5">
        <v>44561</v>
      </c>
      <c r="N353" s="3" t="str">
        <f t="shared" ca="1" si="71"/>
        <v xml:space="preserve">4 Tahun 8 bulan </v>
      </c>
      <c r="O353" s="4"/>
      <c r="P353" s="4" t="s">
        <v>35</v>
      </c>
      <c r="Q353" s="4" t="str">
        <f t="shared" si="72"/>
        <v>Perempuan</v>
      </c>
      <c r="R353" s="4">
        <f t="shared" si="78"/>
        <v>1</v>
      </c>
      <c r="S353" s="4" t="str">
        <f t="shared" si="76"/>
        <v>1</v>
      </c>
      <c r="T353" s="4">
        <f t="shared" ref="T353:T418" si="79">R353-S353</f>
        <v>0</v>
      </c>
      <c r="U353" s="29"/>
      <c r="V353" s="30"/>
      <c r="W353" s="30"/>
      <c r="X353" s="30"/>
      <c r="Y353" s="30"/>
      <c r="Z353" s="30"/>
      <c r="AA353" s="30"/>
      <c r="AB353" s="29"/>
      <c r="AC353" s="29"/>
      <c r="AD353" s="37">
        <f t="shared" si="74"/>
        <v>26664</v>
      </c>
      <c r="AE353" s="3" t="str">
        <f t="shared" ca="1" si="73"/>
        <v>53 Tahun 8 bulan 1 Hari</v>
      </c>
      <c r="AF353" s="38">
        <f t="shared" si="75"/>
        <v>48580</v>
      </c>
    </row>
    <row r="354" spans="1:32" s="7" customFormat="1" ht="32.15" customHeight="1" x14ac:dyDescent="0.35">
      <c r="A354" s="26">
        <f t="shared" si="77"/>
        <v>332</v>
      </c>
      <c r="B354" s="27" t="s">
        <v>1021</v>
      </c>
      <c r="C354" s="26"/>
      <c r="D354" s="50" t="s">
        <v>1080</v>
      </c>
      <c r="E354" s="45" t="s">
        <v>1081</v>
      </c>
      <c r="F354" s="51" t="s">
        <v>43</v>
      </c>
      <c r="G354" s="44" t="s">
        <v>1082</v>
      </c>
      <c r="H354" s="4" t="s">
        <v>574</v>
      </c>
      <c r="I354" s="48" t="s">
        <v>86</v>
      </c>
      <c r="J354" s="5">
        <v>44561</v>
      </c>
      <c r="K354" s="3" t="str">
        <f t="shared" ca="1" si="70"/>
        <v xml:space="preserve">4 Tahun 8 bulan </v>
      </c>
      <c r="L354" s="30" t="s">
        <v>88</v>
      </c>
      <c r="M354" s="5">
        <v>44561</v>
      </c>
      <c r="N354" s="3" t="str">
        <f t="shared" ca="1" si="71"/>
        <v xml:space="preserve">4 Tahun 8 bulan </v>
      </c>
      <c r="O354" s="35"/>
      <c r="P354" s="4" t="s">
        <v>35</v>
      </c>
      <c r="Q354" s="4" t="str">
        <f t="shared" si="72"/>
        <v>Perempuan</v>
      </c>
      <c r="R354" s="4">
        <f t="shared" si="78"/>
        <v>1</v>
      </c>
      <c r="S354" s="4" t="str">
        <f t="shared" si="76"/>
        <v>1</v>
      </c>
      <c r="T354" s="4">
        <f t="shared" si="79"/>
        <v>0</v>
      </c>
      <c r="U354" s="29"/>
      <c r="V354" s="30"/>
      <c r="W354" s="30"/>
      <c r="X354" s="30"/>
      <c r="Y354" s="30"/>
      <c r="Z354" s="30"/>
      <c r="AA354" s="30"/>
      <c r="AB354" s="29"/>
      <c r="AC354" s="29"/>
      <c r="AD354" s="37">
        <f t="shared" si="74"/>
        <v>28060</v>
      </c>
      <c r="AE354" s="3" t="str">
        <f t="shared" ca="1" si="73"/>
        <v>49 Tahun 10 bulan 5 Hari</v>
      </c>
      <c r="AF354" s="38">
        <f t="shared" si="75"/>
        <v>49980</v>
      </c>
    </row>
    <row r="355" spans="1:32" s="7" customFormat="1" ht="32.15" customHeight="1" x14ac:dyDescent="0.35">
      <c r="A355" s="26">
        <f t="shared" si="77"/>
        <v>333</v>
      </c>
      <c r="B355" s="27" t="s">
        <v>1021</v>
      </c>
      <c r="C355" s="256" t="s">
        <v>1083</v>
      </c>
      <c r="D355" s="257"/>
      <c r="E355" s="24" t="s">
        <v>1084</v>
      </c>
      <c r="F355" s="24" t="s">
        <v>43</v>
      </c>
      <c r="G355" s="4" t="s">
        <v>1085</v>
      </c>
      <c r="H355" s="4" t="s">
        <v>1015</v>
      </c>
      <c r="I355" s="33" t="s">
        <v>46</v>
      </c>
      <c r="J355" s="5" t="s">
        <v>1043</v>
      </c>
      <c r="K355" s="3" t="str">
        <f t="shared" ca="1" si="70"/>
        <v xml:space="preserve">5 Tahun 1 bulan </v>
      </c>
      <c r="L355" s="30" t="s">
        <v>346</v>
      </c>
      <c r="M355" s="5" t="s">
        <v>1043</v>
      </c>
      <c r="N355" s="3" t="str">
        <f t="shared" ca="1" si="71"/>
        <v xml:space="preserve">5 Tahun 1 bulan </v>
      </c>
      <c r="O355" s="4"/>
      <c r="P355" s="4" t="s">
        <v>35</v>
      </c>
      <c r="Q355" s="4" t="str">
        <f t="shared" si="72"/>
        <v>Perempuan</v>
      </c>
      <c r="R355" s="4">
        <f t="shared" si="78"/>
        <v>1</v>
      </c>
      <c r="S355" s="4" t="str">
        <f t="shared" si="76"/>
        <v>1</v>
      </c>
      <c r="T355" s="4">
        <f t="shared" si="79"/>
        <v>0</v>
      </c>
      <c r="U355" s="29"/>
      <c r="V355" s="30"/>
      <c r="W355" s="30"/>
      <c r="X355" s="30"/>
      <c r="Y355" s="30"/>
      <c r="Z355" s="30"/>
      <c r="AA355" s="30"/>
      <c r="AB355" s="29"/>
      <c r="AC355" s="29"/>
      <c r="AD355" s="37">
        <f t="shared" si="74"/>
        <v>27939</v>
      </c>
      <c r="AE355" s="3" t="str">
        <f t="shared" ca="1" si="73"/>
        <v>50 Tahun 2 bulan 4 Hari</v>
      </c>
      <c r="AF355" s="38">
        <f t="shared" si="75"/>
        <v>49857</v>
      </c>
    </row>
    <row r="356" spans="1:32" s="7" customFormat="1" ht="32.15" customHeight="1" x14ac:dyDescent="0.35">
      <c r="A356" s="26">
        <f t="shared" si="77"/>
        <v>334</v>
      </c>
      <c r="B356" s="27" t="s">
        <v>1021</v>
      </c>
      <c r="C356" s="26"/>
      <c r="D356" s="50" t="s">
        <v>1086</v>
      </c>
      <c r="E356" s="24" t="s">
        <v>1087</v>
      </c>
      <c r="F356" s="51" t="s">
        <v>43</v>
      </c>
      <c r="G356" s="4" t="s">
        <v>1088</v>
      </c>
      <c r="H356" s="4" t="s">
        <v>135</v>
      </c>
      <c r="I356" s="41" t="s">
        <v>86</v>
      </c>
      <c r="J356" s="5">
        <v>44561</v>
      </c>
      <c r="K356" s="3" t="str">
        <f t="shared" ca="1" si="70"/>
        <v xml:space="preserve">4 Tahun 8 bulan </v>
      </c>
      <c r="L356" s="30" t="s">
        <v>88</v>
      </c>
      <c r="M356" s="5">
        <v>44561</v>
      </c>
      <c r="N356" s="3" t="str">
        <f t="shared" ca="1" si="71"/>
        <v xml:space="preserve">4 Tahun 8 bulan </v>
      </c>
      <c r="O356" s="35"/>
      <c r="P356" s="4" t="s">
        <v>35</v>
      </c>
      <c r="Q356" s="4" t="str">
        <f t="shared" si="72"/>
        <v>Perempuan</v>
      </c>
      <c r="R356" s="4">
        <f t="shared" si="78"/>
        <v>1</v>
      </c>
      <c r="S356" s="4" t="str">
        <f t="shared" si="76"/>
        <v>1</v>
      </c>
      <c r="T356" s="4">
        <f t="shared" si="79"/>
        <v>0</v>
      </c>
      <c r="U356" s="29"/>
      <c r="V356" s="30"/>
      <c r="W356" s="30"/>
      <c r="X356" s="30"/>
      <c r="Y356" s="30"/>
      <c r="Z356" s="30"/>
      <c r="AA356" s="30"/>
      <c r="AB356" s="29"/>
      <c r="AC356" s="29"/>
      <c r="AD356" s="37">
        <f t="shared" si="74"/>
        <v>28512</v>
      </c>
      <c r="AE356" s="3" t="str">
        <f t="shared" ca="1" si="73"/>
        <v>48 Tahun 7 bulan 10 Hari</v>
      </c>
      <c r="AF356" s="38">
        <f t="shared" si="75"/>
        <v>50437</v>
      </c>
    </row>
    <row r="357" spans="1:32" s="7" customFormat="1" ht="32.15" customHeight="1" x14ac:dyDescent="0.35">
      <c r="A357" s="26">
        <f t="shared" si="77"/>
        <v>335</v>
      </c>
      <c r="B357" s="27" t="s">
        <v>1021</v>
      </c>
      <c r="C357" s="26"/>
      <c r="D357" s="50" t="s">
        <v>1089</v>
      </c>
      <c r="E357" s="24" t="s">
        <v>1090</v>
      </c>
      <c r="F357" s="51" t="s">
        <v>43</v>
      </c>
      <c r="G357" s="4" t="s">
        <v>1091</v>
      </c>
      <c r="H357" s="4" t="s">
        <v>1092</v>
      </c>
      <c r="I357" s="33" t="s">
        <v>86</v>
      </c>
      <c r="J357" s="5">
        <v>44561</v>
      </c>
      <c r="K357" s="3" t="str">
        <f t="shared" ca="1" si="70"/>
        <v xml:space="preserve">4 Tahun 8 bulan </v>
      </c>
      <c r="L357" s="30" t="s">
        <v>88</v>
      </c>
      <c r="M357" s="5">
        <v>44561</v>
      </c>
      <c r="N357" s="3" t="str">
        <f t="shared" ca="1" si="71"/>
        <v xml:space="preserve">4 Tahun 8 bulan </v>
      </c>
      <c r="O357" s="4"/>
      <c r="P357" s="4" t="s">
        <v>35</v>
      </c>
      <c r="Q357" s="4" t="str">
        <f t="shared" si="72"/>
        <v>Perempuan</v>
      </c>
      <c r="R357" s="4">
        <f t="shared" si="78"/>
        <v>1</v>
      </c>
      <c r="S357" s="4" t="str">
        <f t="shared" si="76"/>
        <v>1</v>
      </c>
      <c r="T357" s="4">
        <f t="shared" si="79"/>
        <v>0</v>
      </c>
      <c r="U357" s="29"/>
      <c r="V357" s="30"/>
      <c r="W357" s="30"/>
      <c r="X357" s="30"/>
      <c r="Y357" s="30"/>
      <c r="Z357" s="30"/>
      <c r="AA357" s="30"/>
      <c r="AB357" s="29"/>
      <c r="AC357" s="29"/>
      <c r="AD357" s="37">
        <f t="shared" si="74"/>
        <v>28059</v>
      </c>
      <c r="AE357" s="3" t="str">
        <f t="shared" ca="1" si="73"/>
        <v>49 Tahun 10 bulan 6 Hari</v>
      </c>
      <c r="AF357" s="38">
        <f t="shared" si="75"/>
        <v>49980</v>
      </c>
    </row>
    <row r="358" spans="1:32" s="7" customFormat="1" ht="32.15" customHeight="1" x14ac:dyDescent="0.35">
      <c r="A358" s="26">
        <f t="shared" si="77"/>
        <v>336</v>
      </c>
      <c r="B358" s="27" t="s">
        <v>1021</v>
      </c>
      <c r="C358" s="26"/>
      <c r="D358" s="50" t="s">
        <v>1093</v>
      </c>
      <c r="E358" s="24" t="s">
        <v>1094</v>
      </c>
      <c r="F358" s="51" t="s">
        <v>43</v>
      </c>
      <c r="G358" s="4" t="s">
        <v>1095</v>
      </c>
      <c r="H358" s="4" t="s">
        <v>213</v>
      </c>
      <c r="I358" s="33" t="s">
        <v>242</v>
      </c>
      <c r="J358" s="5">
        <v>44561</v>
      </c>
      <c r="K358" s="3" t="str">
        <f t="shared" ca="1" si="70"/>
        <v xml:space="preserve">4 Tahun 8 bulan </v>
      </c>
      <c r="L358" s="30" t="s">
        <v>88</v>
      </c>
      <c r="M358" s="5">
        <v>44561</v>
      </c>
      <c r="N358" s="3" t="str">
        <f t="shared" ca="1" si="71"/>
        <v xml:space="preserve">4 Tahun 8 bulan </v>
      </c>
      <c r="O358" s="4"/>
      <c r="P358" s="4" t="s">
        <v>35</v>
      </c>
      <c r="Q358" s="4" t="str">
        <f t="shared" si="72"/>
        <v>Laki-Laki</v>
      </c>
      <c r="R358" s="4">
        <f t="shared" si="78"/>
        <v>1</v>
      </c>
      <c r="S358" s="4" t="str">
        <f t="shared" si="76"/>
        <v>1</v>
      </c>
      <c r="T358" s="4">
        <f t="shared" si="79"/>
        <v>0</v>
      </c>
      <c r="U358" s="29"/>
      <c r="V358" s="30" t="s">
        <v>50</v>
      </c>
      <c r="W358" s="30"/>
      <c r="X358" s="30"/>
      <c r="Y358" s="30"/>
      <c r="Z358" s="30"/>
      <c r="AA358" s="30"/>
      <c r="AB358" s="29"/>
      <c r="AC358" s="29"/>
      <c r="AD358" s="37">
        <f t="shared" si="74"/>
        <v>30854</v>
      </c>
      <c r="AE358" s="3" t="str">
        <f t="shared" ca="1" si="73"/>
        <v>42 Tahun 2 bulan 11 Hari</v>
      </c>
      <c r="AF358" s="38">
        <f t="shared" si="75"/>
        <v>52779</v>
      </c>
    </row>
    <row r="359" spans="1:32" s="7" customFormat="1" ht="32.15" customHeight="1" x14ac:dyDescent="0.35">
      <c r="A359" s="26"/>
      <c r="B359" s="68" t="s">
        <v>1096</v>
      </c>
      <c r="C359" s="269" t="s">
        <v>1097</v>
      </c>
      <c r="D359" s="270"/>
      <c r="E359" s="24"/>
      <c r="F359" s="24"/>
      <c r="G359" s="4"/>
      <c r="H359" s="4"/>
      <c r="I359" s="33"/>
      <c r="J359" s="5"/>
      <c r="K359" s="3" t="str">
        <f t="shared" ca="1" si="70"/>
        <v/>
      </c>
      <c r="L359" s="30"/>
      <c r="M359" s="5"/>
      <c r="N359" s="3" t="str">
        <f t="shared" ca="1" si="71"/>
        <v/>
      </c>
      <c r="O359" s="4"/>
      <c r="P359" s="4"/>
      <c r="Q359" s="4"/>
      <c r="R359" s="4"/>
      <c r="S359" s="4"/>
      <c r="T359" s="4"/>
      <c r="U359" s="29"/>
      <c r="V359" s="30"/>
      <c r="W359" s="30"/>
      <c r="X359" s="30"/>
      <c r="Y359" s="30"/>
      <c r="Z359" s="29"/>
      <c r="AA359" s="29"/>
      <c r="AB359" s="29"/>
      <c r="AC359" s="29"/>
      <c r="AD359" s="37" t="str">
        <f t="shared" si="74"/>
        <v/>
      </c>
      <c r="AE359" s="3" t="str">
        <f t="shared" ca="1" si="73"/>
        <v/>
      </c>
      <c r="AF359" s="38" t="str">
        <f t="shared" si="75"/>
        <v/>
      </c>
    </row>
    <row r="360" spans="1:32" s="7" customFormat="1" ht="32.15" customHeight="1" x14ac:dyDescent="0.35">
      <c r="A360" s="26">
        <f>A358+1</f>
        <v>337</v>
      </c>
      <c r="B360" s="32" t="s">
        <v>1096</v>
      </c>
      <c r="C360" s="278" t="s">
        <v>1098</v>
      </c>
      <c r="D360" s="279"/>
      <c r="E360" s="24" t="s">
        <v>141</v>
      </c>
      <c r="F360" s="24" t="s">
        <v>43</v>
      </c>
      <c r="G360" s="3" t="s">
        <v>142</v>
      </c>
      <c r="H360" s="4" t="s">
        <v>143</v>
      </c>
      <c r="I360" s="33" t="s">
        <v>144</v>
      </c>
      <c r="J360" s="53">
        <v>46260</v>
      </c>
      <c r="K360" s="3" t="str">
        <f t="shared" ca="1" si="70"/>
        <v xml:space="preserve">0 Tahun 0 bulan </v>
      </c>
      <c r="L360" s="30" t="s">
        <v>56</v>
      </c>
      <c r="M360" s="47" t="s">
        <v>114</v>
      </c>
      <c r="N360" s="3" t="str">
        <f t="shared" ca="1" si="71"/>
        <v xml:space="preserve">6 Tahun 8 bulan </v>
      </c>
      <c r="O360" s="44" t="s">
        <v>81</v>
      </c>
      <c r="P360" s="4" t="s">
        <v>35</v>
      </c>
      <c r="Q360" s="4" t="str">
        <f t="shared" si="72"/>
        <v>Laki-Laki</v>
      </c>
      <c r="R360" s="4">
        <f>R358</f>
        <v>1</v>
      </c>
      <c r="S360" s="4" t="str">
        <f t="shared" ref="S360:S370" si="80">IF(E360="LOWONG","0","1")</f>
        <v>1</v>
      </c>
      <c r="T360" s="4">
        <f t="shared" si="79"/>
        <v>0</v>
      </c>
      <c r="U360" s="29"/>
      <c r="V360" s="30" t="s">
        <v>50</v>
      </c>
      <c r="W360" s="30"/>
      <c r="X360" s="30"/>
      <c r="Y360" s="30"/>
      <c r="Z360" s="30"/>
      <c r="AA360" s="30"/>
      <c r="AB360" s="29"/>
      <c r="AC360" s="29"/>
      <c r="AD360" s="37">
        <f t="shared" si="74"/>
        <v>26021</v>
      </c>
      <c r="AE360" s="3" t="str">
        <f t="shared" ca="1" si="73"/>
        <v>55 Tahun 5 bulan 3 Hari</v>
      </c>
      <c r="AF360" s="38">
        <f t="shared" si="75"/>
        <v>47939</v>
      </c>
    </row>
    <row r="361" spans="1:32" s="7" customFormat="1" ht="32.15" customHeight="1" x14ac:dyDescent="0.35">
      <c r="A361" s="26">
        <f t="shared" si="77"/>
        <v>338</v>
      </c>
      <c r="B361" s="32" t="s">
        <v>1096</v>
      </c>
      <c r="C361" s="256" t="s">
        <v>1101</v>
      </c>
      <c r="D361" s="257"/>
      <c r="E361" s="45" t="s">
        <v>1102</v>
      </c>
      <c r="F361" s="24" t="s">
        <v>43</v>
      </c>
      <c r="G361" s="44" t="s">
        <v>1103</v>
      </c>
      <c r="H361" s="4" t="s">
        <v>231</v>
      </c>
      <c r="I361" s="36" t="s">
        <v>1104</v>
      </c>
      <c r="J361" s="5" t="s">
        <v>369</v>
      </c>
      <c r="K361" s="3" t="str">
        <f t="shared" ca="1" si="70"/>
        <v xml:space="preserve">3 Tahun 11 bulan </v>
      </c>
      <c r="L361" s="30" t="s">
        <v>79</v>
      </c>
      <c r="M361" s="5" t="s">
        <v>369</v>
      </c>
      <c r="N361" s="3" t="str">
        <f t="shared" ca="1" si="71"/>
        <v xml:space="preserve">3 Tahun 11 bulan </v>
      </c>
      <c r="O361" s="4" t="s">
        <v>81</v>
      </c>
      <c r="P361" s="4" t="s">
        <v>35</v>
      </c>
      <c r="Q361" s="4" t="str">
        <f t="shared" si="72"/>
        <v>Laki-Laki</v>
      </c>
      <c r="R361" s="4">
        <f t="shared" si="78"/>
        <v>1</v>
      </c>
      <c r="S361" s="4" t="str">
        <f t="shared" si="80"/>
        <v>1</v>
      </c>
      <c r="T361" s="4">
        <f t="shared" si="79"/>
        <v>0</v>
      </c>
      <c r="U361" s="29"/>
      <c r="V361" s="30" t="s">
        <v>50</v>
      </c>
      <c r="W361" s="30"/>
      <c r="X361" s="30"/>
      <c r="Y361" s="30"/>
      <c r="Z361" s="30"/>
      <c r="AA361" s="30"/>
      <c r="AB361" s="29"/>
      <c r="AC361" s="29"/>
      <c r="AD361" s="37">
        <f t="shared" si="74"/>
        <v>29779</v>
      </c>
      <c r="AE361" s="3" t="str">
        <f t="shared" ca="1" si="73"/>
        <v>45 Tahun 1 bulan 20 Hari</v>
      </c>
      <c r="AF361" s="38">
        <f t="shared" si="75"/>
        <v>51714</v>
      </c>
    </row>
    <row r="362" spans="1:32" s="7" customFormat="1" ht="32.15" customHeight="1" x14ac:dyDescent="0.35">
      <c r="A362" s="26">
        <f t="shared" si="77"/>
        <v>339</v>
      </c>
      <c r="B362" s="32" t="s">
        <v>1096</v>
      </c>
      <c r="C362" s="26"/>
      <c r="D362" s="50" t="s">
        <v>1105</v>
      </c>
      <c r="E362" s="45" t="s">
        <v>1106</v>
      </c>
      <c r="F362" s="24" t="s">
        <v>43</v>
      </c>
      <c r="G362" s="44" t="s">
        <v>1107</v>
      </c>
      <c r="H362" s="4" t="s">
        <v>458</v>
      </c>
      <c r="I362" s="36" t="s">
        <v>1108</v>
      </c>
      <c r="J362" s="5" t="s">
        <v>1109</v>
      </c>
      <c r="K362" s="3" t="str">
        <f t="shared" ca="1" si="70"/>
        <v xml:space="preserve">6 Tahun 8 bulan </v>
      </c>
      <c r="L362" s="30" t="s">
        <v>200</v>
      </c>
      <c r="M362" s="5" t="s">
        <v>1109</v>
      </c>
      <c r="N362" s="3" t="str">
        <f t="shared" ca="1" si="71"/>
        <v xml:space="preserve">6 Tahun 8 bulan </v>
      </c>
      <c r="O362" s="4"/>
      <c r="P362" s="4" t="s">
        <v>35</v>
      </c>
      <c r="Q362" s="4" t="str">
        <f t="shared" si="72"/>
        <v>Perempuan</v>
      </c>
      <c r="R362" s="4">
        <f t="shared" si="78"/>
        <v>1</v>
      </c>
      <c r="S362" s="4" t="str">
        <f t="shared" si="80"/>
        <v>1</v>
      </c>
      <c r="T362" s="4">
        <f t="shared" si="79"/>
        <v>0</v>
      </c>
      <c r="U362" s="29"/>
      <c r="V362" s="30"/>
      <c r="W362" s="30"/>
      <c r="X362" s="30"/>
      <c r="Y362" s="30"/>
      <c r="Z362" s="30"/>
      <c r="AA362" s="30"/>
      <c r="AB362" s="29"/>
      <c r="AC362" s="29"/>
      <c r="AD362" s="37">
        <f t="shared" si="74"/>
        <v>27707</v>
      </c>
      <c r="AE362" s="3" t="str">
        <f t="shared" ca="1" si="73"/>
        <v>50 Tahun 9 bulan 23 Hari</v>
      </c>
      <c r="AF362" s="38">
        <f t="shared" si="75"/>
        <v>49644</v>
      </c>
    </row>
    <row r="363" spans="1:32" s="7" customFormat="1" ht="32.15" customHeight="1" x14ac:dyDescent="0.35">
      <c r="A363" s="26">
        <f t="shared" si="77"/>
        <v>340</v>
      </c>
      <c r="B363" s="32" t="s">
        <v>1096</v>
      </c>
      <c r="C363" s="26"/>
      <c r="D363" s="50" t="s">
        <v>1110</v>
      </c>
      <c r="E363" s="24" t="s">
        <v>108</v>
      </c>
      <c r="F363" s="24"/>
      <c r="G363" s="3"/>
      <c r="H363" s="4"/>
      <c r="I363" s="41"/>
      <c r="J363" s="49"/>
      <c r="K363" s="3" t="str">
        <f t="shared" ca="1" si="70"/>
        <v/>
      </c>
      <c r="L363" s="30" t="s">
        <v>88</v>
      </c>
      <c r="M363" s="49"/>
      <c r="N363" s="3" t="str">
        <f t="shared" ca="1" si="71"/>
        <v/>
      </c>
      <c r="O363" s="4"/>
      <c r="P363" s="4"/>
      <c r="Q363" s="4" t="str">
        <f t="shared" si="72"/>
        <v/>
      </c>
      <c r="R363" s="4">
        <f t="shared" si="78"/>
        <v>1</v>
      </c>
      <c r="S363" s="4" t="str">
        <f t="shared" si="80"/>
        <v>0</v>
      </c>
      <c r="T363" s="4">
        <f t="shared" si="79"/>
        <v>1</v>
      </c>
      <c r="U363" s="29"/>
      <c r="V363" s="30"/>
      <c r="W363" s="30"/>
      <c r="X363" s="30"/>
      <c r="Y363" s="30"/>
      <c r="Z363" s="30"/>
      <c r="AA363" s="30"/>
      <c r="AB363" s="29"/>
      <c r="AC363" s="29"/>
      <c r="AD363" s="37" t="str">
        <f t="shared" si="74"/>
        <v/>
      </c>
      <c r="AE363" s="3" t="str">
        <f t="shared" ca="1" si="73"/>
        <v/>
      </c>
      <c r="AF363" s="38" t="str">
        <f t="shared" si="75"/>
        <v/>
      </c>
    </row>
    <row r="364" spans="1:32" s="7" customFormat="1" ht="32.15" customHeight="1" x14ac:dyDescent="0.35">
      <c r="A364" s="26">
        <f t="shared" si="77"/>
        <v>341</v>
      </c>
      <c r="B364" s="32" t="s">
        <v>1096</v>
      </c>
      <c r="C364" s="256" t="s">
        <v>1111</v>
      </c>
      <c r="D364" s="257"/>
      <c r="E364" s="58" t="s">
        <v>108</v>
      </c>
      <c r="F364" s="58"/>
      <c r="G364" s="29"/>
      <c r="H364" s="29"/>
      <c r="I364" s="29"/>
      <c r="J364" s="49"/>
      <c r="K364" s="3" t="str">
        <f t="shared" ca="1" si="70"/>
        <v/>
      </c>
      <c r="L364" s="30" t="s">
        <v>88</v>
      </c>
      <c r="M364" s="49"/>
      <c r="N364" s="3" t="str">
        <f t="shared" ca="1" si="71"/>
        <v/>
      </c>
      <c r="O364" s="29"/>
      <c r="P364" s="29"/>
      <c r="Q364" s="4" t="str">
        <f t="shared" si="72"/>
        <v/>
      </c>
      <c r="R364" s="4">
        <f t="shared" si="78"/>
        <v>1</v>
      </c>
      <c r="S364" s="4" t="str">
        <f t="shared" si="80"/>
        <v>0</v>
      </c>
      <c r="T364" s="4">
        <f t="shared" si="79"/>
        <v>1</v>
      </c>
      <c r="U364" s="29"/>
      <c r="V364" s="30"/>
      <c r="W364" s="30"/>
      <c r="X364" s="30"/>
      <c r="Y364" s="30"/>
      <c r="Z364" s="30"/>
      <c r="AA364" s="30"/>
      <c r="AB364" s="29"/>
      <c r="AC364" s="29"/>
      <c r="AD364" s="37" t="str">
        <f t="shared" si="74"/>
        <v/>
      </c>
      <c r="AE364" s="3" t="str">
        <f t="shared" ca="1" si="73"/>
        <v/>
      </c>
      <c r="AF364" s="38" t="str">
        <f t="shared" si="75"/>
        <v/>
      </c>
    </row>
    <row r="365" spans="1:32" s="7" customFormat="1" ht="32.15" customHeight="1" x14ac:dyDescent="0.35">
      <c r="A365" s="26">
        <f t="shared" si="77"/>
        <v>342</v>
      </c>
      <c r="B365" s="32" t="s">
        <v>1096</v>
      </c>
      <c r="C365" s="26"/>
      <c r="D365" s="50" t="s">
        <v>1112</v>
      </c>
      <c r="E365" s="24" t="s">
        <v>1113</v>
      </c>
      <c r="F365" s="24" t="s">
        <v>43</v>
      </c>
      <c r="G365" s="4" t="s">
        <v>1114</v>
      </c>
      <c r="H365" s="4" t="s">
        <v>385</v>
      </c>
      <c r="I365" s="33" t="s">
        <v>86</v>
      </c>
      <c r="J365" s="5" t="s">
        <v>255</v>
      </c>
      <c r="K365" s="3" t="str">
        <f t="shared" ca="1" si="70"/>
        <v xml:space="preserve">3 Tahun 8 bulan </v>
      </c>
      <c r="L365" s="30" t="s">
        <v>88</v>
      </c>
      <c r="M365" s="5" t="s">
        <v>255</v>
      </c>
      <c r="N365" s="3" t="str">
        <f t="shared" ca="1" si="71"/>
        <v xml:space="preserve">3 Tahun 8 bulan </v>
      </c>
      <c r="O365" s="4"/>
      <c r="P365" s="4" t="s">
        <v>35</v>
      </c>
      <c r="Q365" s="4" t="str">
        <f t="shared" si="72"/>
        <v>Laki-Laki</v>
      </c>
      <c r="R365" s="4">
        <f t="shared" si="78"/>
        <v>1</v>
      </c>
      <c r="S365" s="4" t="str">
        <f t="shared" si="80"/>
        <v>1</v>
      </c>
      <c r="T365" s="4">
        <f t="shared" si="79"/>
        <v>0</v>
      </c>
      <c r="U365" s="29"/>
      <c r="V365" s="30" t="s">
        <v>50</v>
      </c>
      <c r="W365" s="30"/>
      <c r="X365" s="30"/>
      <c r="Y365" s="30"/>
      <c r="Z365" s="30"/>
      <c r="AA365" s="30"/>
      <c r="AB365" s="29"/>
      <c r="AC365" s="29"/>
      <c r="AD365" s="37">
        <f t="shared" si="74"/>
        <v>28317</v>
      </c>
      <c r="AE365" s="3" t="str">
        <f t="shared" ca="1" si="73"/>
        <v>49 Tahun 1 bulan 21 Hari</v>
      </c>
      <c r="AF365" s="38">
        <f t="shared" si="75"/>
        <v>50253</v>
      </c>
    </row>
    <row r="366" spans="1:32" s="7" customFormat="1" ht="32.15" customHeight="1" x14ac:dyDescent="0.35">
      <c r="A366" s="26">
        <f t="shared" si="77"/>
        <v>343</v>
      </c>
      <c r="B366" s="32" t="s">
        <v>1096</v>
      </c>
      <c r="C366" s="26"/>
      <c r="D366" s="50" t="s">
        <v>1115</v>
      </c>
      <c r="E366" s="24" t="s">
        <v>108</v>
      </c>
      <c r="F366" s="24"/>
      <c r="G366" s="4"/>
      <c r="H366" s="4"/>
      <c r="I366" s="33"/>
      <c r="J366" s="49"/>
      <c r="K366" s="3" t="str">
        <f t="shared" ca="1" si="70"/>
        <v/>
      </c>
      <c r="L366" s="30" t="s">
        <v>88</v>
      </c>
      <c r="M366" s="49"/>
      <c r="N366" s="3" t="str">
        <f t="shared" ca="1" si="71"/>
        <v/>
      </c>
      <c r="O366" s="4"/>
      <c r="P366" s="4"/>
      <c r="Q366" s="4" t="str">
        <f t="shared" si="72"/>
        <v/>
      </c>
      <c r="R366" s="4">
        <f t="shared" si="78"/>
        <v>1</v>
      </c>
      <c r="S366" s="4" t="str">
        <f t="shared" si="80"/>
        <v>0</v>
      </c>
      <c r="T366" s="4">
        <f t="shared" si="79"/>
        <v>1</v>
      </c>
      <c r="U366" s="29"/>
      <c r="V366" s="30"/>
      <c r="W366" s="30"/>
      <c r="X366" s="30"/>
      <c r="Y366" s="30"/>
      <c r="Z366" s="30"/>
      <c r="AA366" s="30"/>
      <c r="AB366" s="29"/>
      <c r="AC366" s="29"/>
      <c r="AD366" s="37" t="str">
        <f t="shared" si="74"/>
        <v/>
      </c>
      <c r="AE366" s="3" t="str">
        <f t="shared" ca="1" si="73"/>
        <v/>
      </c>
      <c r="AF366" s="38" t="str">
        <f t="shared" si="75"/>
        <v/>
      </c>
    </row>
    <row r="367" spans="1:32" s="7" customFormat="1" ht="32.15" customHeight="1" x14ac:dyDescent="0.35">
      <c r="A367" s="26">
        <f t="shared" si="77"/>
        <v>344</v>
      </c>
      <c r="B367" s="32" t="s">
        <v>1096</v>
      </c>
      <c r="C367" s="256" t="s">
        <v>1116</v>
      </c>
      <c r="D367" s="257"/>
      <c r="E367" s="24" t="s">
        <v>1117</v>
      </c>
      <c r="F367" s="24" t="s">
        <v>43</v>
      </c>
      <c r="G367" s="4" t="s">
        <v>1118</v>
      </c>
      <c r="H367" s="4" t="s">
        <v>458</v>
      </c>
      <c r="I367" s="33" t="s">
        <v>1119</v>
      </c>
      <c r="J367" s="5" t="s">
        <v>255</v>
      </c>
      <c r="K367" s="3" t="str">
        <f t="shared" ca="1" si="70"/>
        <v xml:space="preserve">3 Tahun 8 bulan </v>
      </c>
      <c r="L367" s="30" t="s">
        <v>88</v>
      </c>
      <c r="M367" s="5" t="s">
        <v>255</v>
      </c>
      <c r="N367" s="3" t="str">
        <f t="shared" ca="1" si="71"/>
        <v xml:space="preserve">3 Tahun 8 bulan </v>
      </c>
      <c r="O367" s="4"/>
      <c r="P367" s="4" t="s">
        <v>35</v>
      </c>
      <c r="Q367" s="4" t="str">
        <f t="shared" si="72"/>
        <v>Laki-Laki</v>
      </c>
      <c r="R367" s="4">
        <f>R365</f>
        <v>1</v>
      </c>
      <c r="S367" s="4" t="str">
        <f t="shared" si="80"/>
        <v>1</v>
      </c>
      <c r="T367" s="4">
        <f t="shared" si="79"/>
        <v>0</v>
      </c>
      <c r="U367" s="29"/>
      <c r="V367" s="30" t="s">
        <v>50</v>
      </c>
      <c r="W367" s="30"/>
      <c r="X367" s="30"/>
      <c r="Y367" s="30"/>
      <c r="Z367" s="30"/>
      <c r="AA367" s="30"/>
      <c r="AB367" s="29"/>
      <c r="AC367" s="29"/>
      <c r="AD367" s="37">
        <f t="shared" si="74"/>
        <v>30297</v>
      </c>
      <c r="AE367" s="3" t="str">
        <f t="shared" ca="1" si="73"/>
        <v>43 Tahun 8 bulan 20 Hari</v>
      </c>
      <c r="AF367" s="38">
        <f t="shared" si="75"/>
        <v>52232</v>
      </c>
    </row>
    <row r="368" spans="1:32" s="7" customFormat="1" ht="32.15" customHeight="1" x14ac:dyDescent="0.35">
      <c r="A368" s="26">
        <f t="shared" si="77"/>
        <v>345</v>
      </c>
      <c r="B368" s="32" t="s">
        <v>1096</v>
      </c>
      <c r="C368" s="26"/>
      <c r="D368" s="50" t="s">
        <v>1112</v>
      </c>
      <c r="E368" s="24" t="s">
        <v>1120</v>
      </c>
      <c r="F368" s="24" t="s">
        <v>43</v>
      </c>
      <c r="G368" s="3" t="s">
        <v>1121</v>
      </c>
      <c r="H368" s="4" t="s">
        <v>662</v>
      </c>
      <c r="I368" s="33" t="s">
        <v>46</v>
      </c>
      <c r="J368" s="5" t="s">
        <v>255</v>
      </c>
      <c r="K368" s="3" t="str">
        <f t="shared" ca="1" si="70"/>
        <v xml:space="preserve">3 Tahun 8 bulan </v>
      </c>
      <c r="L368" s="30" t="s">
        <v>88</v>
      </c>
      <c r="M368" s="5" t="s">
        <v>255</v>
      </c>
      <c r="N368" s="3" t="str">
        <f t="shared" ca="1" si="71"/>
        <v xml:space="preserve">3 Tahun 8 bulan </v>
      </c>
      <c r="O368" s="4"/>
      <c r="P368" s="4" t="s">
        <v>35</v>
      </c>
      <c r="Q368" s="4" t="str">
        <f t="shared" si="72"/>
        <v>Perempuan</v>
      </c>
      <c r="R368" s="4">
        <v>1</v>
      </c>
      <c r="S368" s="4" t="str">
        <f t="shared" si="80"/>
        <v>1</v>
      </c>
      <c r="T368" s="4">
        <f t="shared" si="79"/>
        <v>0</v>
      </c>
      <c r="U368" s="29"/>
      <c r="V368" s="30"/>
      <c r="W368" s="30"/>
      <c r="X368" s="30"/>
      <c r="Y368" s="30"/>
      <c r="Z368" s="30"/>
      <c r="AA368" s="30"/>
      <c r="AB368" s="29"/>
      <c r="AC368" s="29"/>
      <c r="AD368" s="37">
        <f t="shared" si="74"/>
        <v>28696</v>
      </c>
      <c r="AE368" s="3" t="str">
        <f t="shared" ca="1" si="73"/>
        <v>48 Tahun 1 bulan 7 Hari</v>
      </c>
      <c r="AF368" s="38">
        <f t="shared" si="75"/>
        <v>50618</v>
      </c>
    </row>
    <row r="369" spans="1:32" s="7" customFormat="1" ht="32.15" customHeight="1" x14ac:dyDescent="0.35">
      <c r="A369" s="26">
        <f t="shared" si="77"/>
        <v>346</v>
      </c>
      <c r="B369" s="32" t="s">
        <v>1096</v>
      </c>
      <c r="C369" s="26"/>
      <c r="D369" s="50" t="s">
        <v>1112</v>
      </c>
      <c r="E369" s="51" t="s">
        <v>1122</v>
      </c>
      <c r="F369" s="24" t="s">
        <v>43</v>
      </c>
      <c r="G369" s="59" t="s">
        <v>1123</v>
      </c>
      <c r="H369" s="4" t="s">
        <v>337</v>
      </c>
      <c r="I369" s="33" t="s">
        <v>184</v>
      </c>
      <c r="J369" s="5" t="s">
        <v>255</v>
      </c>
      <c r="K369" s="3" t="str">
        <f t="shared" ca="1" si="70"/>
        <v xml:space="preserve">3 Tahun 8 bulan </v>
      </c>
      <c r="L369" s="30" t="s">
        <v>88</v>
      </c>
      <c r="M369" s="5" t="s">
        <v>255</v>
      </c>
      <c r="N369" s="3" t="str">
        <f t="shared" ca="1" si="71"/>
        <v xml:space="preserve">3 Tahun 8 bulan </v>
      </c>
      <c r="O369" s="4"/>
      <c r="P369" s="4" t="s">
        <v>35</v>
      </c>
      <c r="Q369" s="4" t="str">
        <f t="shared" si="72"/>
        <v>Laki-Laki</v>
      </c>
      <c r="R369" s="4">
        <f t="shared" si="78"/>
        <v>1</v>
      </c>
      <c r="S369" s="4" t="str">
        <f t="shared" si="80"/>
        <v>1</v>
      </c>
      <c r="T369" s="4">
        <f t="shared" si="79"/>
        <v>0</v>
      </c>
      <c r="U369" s="29"/>
      <c r="V369" s="30" t="s">
        <v>50</v>
      </c>
      <c r="W369" s="30"/>
      <c r="X369" s="30"/>
      <c r="Y369" s="30"/>
      <c r="Z369" s="30"/>
      <c r="AA369" s="30"/>
      <c r="AB369" s="29"/>
      <c r="AC369" s="29"/>
      <c r="AD369" s="37">
        <f t="shared" si="74"/>
        <v>28818</v>
      </c>
      <c r="AE369" s="3" t="str">
        <f t="shared" ca="1" si="73"/>
        <v>47 Tahun 9 bulan 8 Hari</v>
      </c>
      <c r="AF369" s="38">
        <f t="shared" si="75"/>
        <v>50740</v>
      </c>
    </row>
    <row r="370" spans="1:32" s="7" customFormat="1" ht="32.15" customHeight="1" x14ac:dyDescent="0.35">
      <c r="A370" s="26">
        <f t="shared" si="77"/>
        <v>347</v>
      </c>
      <c r="B370" s="32" t="s">
        <v>1096</v>
      </c>
      <c r="C370" s="27"/>
      <c r="D370" s="50" t="s">
        <v>1124</v>
      </c>
      <c r="E370" s="24" t="s">
        <v>1125</v>
      </c>
      <c r="F370" s="24" t="s">
        <v>43</v>
      </c>
      <c r="G370" s="3" t="s">
        <v>1126</v>
      </c>
      <c r="H370" s="36" t="s">
        <v>188</v>
      </c>
      <c r="I370" s="41" t="s">
        <v>46</v>
      </c>
      <c r="J370" s="5" t="s">
        <v>1127</v>
      </c>
      <c r="K370" s="3" t="str">
        <f t="shared" ca="1" si="70"/>
        <v xml:space="preserve">2 Tahun 11 bulan </v>
      </c>
      <c r="L370" s="30" t="s">
        <v>88</v>
      </c>
      <c r="M370" s="5" t="s">
        <v>1127</v>
      </c>
      <c r="N370" s="3" t="str">
        <f t="shared" ca="1" si="71"/>
        <v xml:space="preserve">2 Tahun 11 bulan </v>
      </c>
      <c r="O370" s="4"/>
      <c r="P370" s="4" t="s">
        <v>35</v>
      </c>
      <c r="Q370" s="4" t="str">
        <f t="shared" si="72"/>
        <v>Laki-Laki</v>
      </c>
      <c r="R370" s="4">
        <f t="shared" si="78"/>
        <v>1</v>
      </c>
      <c r="S370" s="4" t="str">
        <f t="shared" si="80"/>
        <v>1</v>
      </c>
      <c r="T370" s="4">
        <f t="shared" si="79"/>
        <v>0</v>
      </c>
      <c r="U370" s="29"/>
      <c r="V370" s="30" t="s">
        <v>50</v>
      </c>
      <c r="W370" s="30"/>
      <c r="X370" s="30"/>
      <c r="Y370" s="30"/>
      <c r="Z370" s="30"/>
      <c r="AA370" s="30"/>
      <c r="AB370" s="29"/>
      <c r="AC370" s="29"/>
      <c r="AD370" s="37">
        <f t="shared" si="74"/>
        <v>26403</v>
      </c>
      <c r="AE370" s="3" t="str">
        <f t="shared" ca="1" si="73"/>
        <v>54 Tahun 4 bulan 18 Hari</v>
      </c>
      <c r="AF370" s="38">
        <f t="shared" si="75"/>
        <v>48335</v>
      </c>
    </row>
    <row r="371" spans="1:32" s="7" customFormat="1" ht="32.15" customHeight="1" x14ac:dyDescent="0.35">
      <c r="A371" s="26"/>
      <c r="B371" s="32" t="s">
        <v>1128</v>
      </c>
      <c r="C371" s="280" t="s">
        <v>1129</v>
      </c>
      <c r="D371" s="281"/>
      <c r="E371" s="24"/>
      <c r="F371" s="24"/>
      <c r="G371" s="4"/>
      <c r="H371" s="4"/>
      <c r="I371" s="33"/>
      <c r="J371" s="5"/>
      <c r="K371" s="3" t="str">
        <f t="shared" ca="1" si="70"/>
        <v/>
      </c>
      <c r="L371" s="30"/>
      <c r="M371" s="5"/>
      <c r="N371" s="3" t="str">
        <f t="shared" ca="1" si="71"/>
        <v/>
      </c>
      <c r="O371" s="4"/>
      <c r="P371" s="4"/>
      <c r="Q371" s="4"/>
      <c r="R371" s="4"/>
      <c r="S371" s="4"/>
      <c r="T371" s="4"/>
      <c r="U371" s="29"/>
      <c r="V371" s="30"/>
      <c r="W371" s="30"/>
      <c r="X371" s="30"/>
      <c r="Y371" s="30"/>
      <c r="Z371" s="29"/>
      <c r="AA371" s="29"/>
      <c r="AB371" s="29"/>
      <c r="AC371" s="29"/>
      <c r="AD371" s="37" t="str">
        <f t="shared" si="74"/>
        <v/>
      </c>
      <c r="AE371" s="3" t="str">
        <f t="shared" ca="1" si="73"/>
        <v/>
      </c>
      <c r="AF371" s="38" t="str">
        <f t="shared" si="75"/>
        <v/>
      </c>
    </row>
    <row r="372" spans="1:32" s="7" customFormat="1" ht="32.15" customHeight="1" x14ac:dyDescent="0.35">
      <c r="A372" s="26">
        <f>A370+1</f>
        <v>348</v>
      </c>
      <c r="B372" s="32" t="s">
        <v>1128</v>
      </c>
      <c r="C372" s="278" t="s">
        <v>1130</v>
      </c>
      <c r="D372" s="279"/>
      <c r="E372" s="24" t="s">
        <v>2879</v>
      </c>
      <c r="F372" s="24" t="s">
        <v>43</v>
      </c>
      <c r="G372" s="3" t="s">
        <v>2833</v>
      </c>
      <c r="H372" s="4" t="s">
        <v>231</v>
      </c>
      <c r="I372" s="4" t="s">
        <v>2834</v>
      </c>
      <c r="J372" s="53">
        <v>46087</v>
      </c>
      <c r="K372" s="3" t="str">
        <f t="shared" ca="1" si="70"/>
        <v xml:space="preserve">0 Tahun 5 bulan </v>
      </c>
      <c r="L372" s="30" t="s">
        <v>56</v>
      </c>
      <c r="M372" s="53">
        <v>46087</v>
      </c>
      <c r="N372" s="3" t="str">
        <f t="shared" ca="1" si="71"/>
        <v xml:space="preserve">0 Tahun 5 bulan </v>
      </c>
      <c r="O372" s="4"/>
      <c r="P372" s="4" t="s">
        <v>35</v>
      </c>
      <c r="Q372" s="4" t="str">
        <f t="shared" si="72"/>
        <v>Laki-Laki</v>
      </c>
      <c r="R372" s="4">
        <f>R369</f>
        <v>1</v>
      </c>
      <c r="S372" s="4" t="str">
        <f>IF(E372="LOWONG","0","1")</f>
        <v>1</v>
      </c>
      <c r="T372" s="4">
        <f t="shared" si="79"/>
        <v>0</v>
      </c>
      <c r="U372" s="29"/>
      <c r="V372" s="30" t="s">
        <v>50</v>
      </c>
      <c r="W372" s="30"/>
      <c r="X372" s="30"/>
      <c r="Y372" s="30"/>
      <c r="Z372" s="30"/>
      <c r="AA372" s="30"/>
      <c r="AB372" s="29"/>
      <c r="AC372" s="29"/>
      <c r="AD372" s="37">
        <f t="shared" si="74"/>
        <v>26833</v>
      </c>
      <c r="AE372" s="3" t="str">
        <f t="shared" ca="1" si="73"/>
        <v>53 Tahun 2 bulan 14 Hari</v>
      </c>
      <c r="AF372" s="38">
        <f t="shared" si="75"/>
        <v>48761</v>
      </c>
    </row>
    <row r="373" spans="1:32" s="7" customFormat="1" ht="32.15" customHeight="1" x14ac:dyDescent="0.35">
      <c r="A373" s="26">
        <f t="shared" si="77"/>
        <v>349</v>
      </c>
      <c r="B373" s="32" t="s">
        <v>1128</v>
      </c>
      <c r="C373" s="256" t="s">
        <v>1131</v>
      </c>
      <c r="D373" s="257"/>
      <c r="E373" s="24" t="s">
        <v>2997</v>
      </c>
      <c r="F373" s="24" t="s">
        <v>43</v>
      </c>
      <c r="G373" s="3" t="s">
        <v>1250</v>
      </c>
      <c r="H373" s="4" t="s">
        <v>188</v>
      </c>
      <c r="I373" s="4" t="s">
        <v>2998</v>
      </c>
      <c r="J373" s="5">
        <v>46198</v>
      </c>
      <c r="K373" s="3" t="str">
        <f t="shared" ca="1" si="70"/>
        <v xml:space="preserve">0 Tahun 2 bulan </v>
      </c>
      <c r="L373" s="30" t="s">
        <v>79</v>
      </c>
      <c r="M373" s="5">
        <v>44413</v>
      </c>
      <c r="N373" s="3" t="str">
        <f t="shared" ca="1" si="71"/>
        <v xml:space="preserve">5 Tahun 0 bulan </v>
      </c>
      <c r="O373" s="4"/>
      <c r="P373" s="4"/>
      <c r="Q373" s="4" t="str">
        <f t="shared" si="72"/>
        <v>Laki-Laki</v>
      </c>
      <c r="R373" s="4">
        <f t="shared" si="78"/>
        <v>1</v>
      </c>
      <c r="S373" s="4" t="str">
        <f>IF(E301="LOWONG","0","1")</f>
        <v>1</v>
      </c>
      <c r="T373" s="4">
        <f t="shared" si="79"/>
        <v>0</v>
      </c>
      <c r="U373" s="29"/>
      <c r="V373" s="30"/>
      <c r="W373" s="30"/>
      <c r="X373" s="30"/>
      <c r="Y373" s="30"/>
      <c r="Z373" s="30"/>
      <c r="AA373" s="30"/>
      <c r="AB373" s="29"/>
      <c r="AC373" s="29"/>
      <c r="AD373" s="37">
        <f t="shared" si="74"/>
        <v>28712</v>
      </c>
      <c r="AE373" s="3" t="str">
        <f t="shared" ca="1" si="73"/>
        <v>48 Tahun 0 bulan 22 Hari</v>
      </c>
      <c r="AF373" s="38">
        <f t="shared" si="75"/>
        <v>50649</v>
      </c>
    </row>
    <row r="374" spans="1:32" s="7" customFormat="1" ht="32.15" customHeight="1" x14ac:dyDescent="0.35">
      <c r="A374" s="26">
        <f t="shared" si="77"/>
        <v>350</v>
      </c>
      <c r="B374" s="32" t="s">
        <v>1128</v>
      </c>
      <c r="C374" s="26"/>
      <c r="D374" s="50" t="s">
        <v>1132</v>
      </c>
      <c r="E374" s="51" t="s">
        <v>108</v>
      </c>
      <c r="F374" s="51"/>
      <c r="G374" s="52"/>
      <c r="H374" s="4"/>
      <c r="I374" s="33"/>
      <c r="J374" s="5"/>
      <c r="K374" s="3" t="str">
        <f t="shared" ca="1" si="70"/>
        <v/>
      </c>
      <c r="L374" s="30" t="s">
        <v>88</v>
      </c>
      <c r="M374" s="5"/>
      <c r="N374" s="3" t="str">
        <f t="shared" ca="1" si="71"/>
        <v/>
      </c>
      <c r="O374" s="4"/>
      <c r="P374" s="4"/>
      <c r="Q374" s="4" t="str">
        <f t="shared" si="72"/>
        <v/>
      </c>
      <c r="R374" s="4">
        <f t="shared" si="78"/>
        <v>1</v>
      </c>
      <c r="S374" s="4" t="str">
        <f t="shared" ref="S374:S388" si="81">IF(E374="LOWONG","0","1")</f>
        <v>0</v>
      </c>
      <c r="T374" s="4">
        <f t="shared" si="79"/>
        <v>1</v>
      </c>
      <c r="U374" s="29"/>
      <c r="V374" s="30"/>
      <c r="W374" s="30"/>
      <c r="X374" s="30"/>
      <c r="Y374" s="30"/>
      <c r="Z374" s="30"/>
      <c r="AA374" s="30"/>
      <c r="AB374" s="29"/>
      <c r="AC374" s="29"/>
      <c r="AD374" s="37" t="str">
        <f t="shared" si="74"/>
        <v/>
      </c>
      <c r="AE374" s="3" t="str">
        <f t="shared" ca="1" si="73"/>
        <v/>
      </c>
      <c r="AF374" s="38" t="str">
        <f t="shared" si="75"/>
        <v/>
      </c>
    </row>
    <row r="375" spans="1:32" s="7" customFormat="1" ht="32.15" customHeight="1" x14ac:dyDescent="0.35">
      <c r="A375" s="26">
        <f t="shared" si="77"/>
        <v>351</v>
      </c>
      <c r="B375" s="32" t="s">
        <v>1128</v>
      </c>
      <c r="C375" s="26"/>
      <c r="D375" s="50" t="s">
        <v>1135</v>
      </c>
      <c r="E375" s="24" t="s">
        <v>1136</v>
      </c>
      <c r="F375" s="24" t="s">
        <v>43</v>
      </c>
      <c r="G375" s="4" t="s">
        <v>1137</v>
      </c>
      <c r="H375" s="4" t="s">
        <v>1138</v>
      </c>
      <c r="I375" s="33" t="s">
        <v>46</v>
      </c>
      <c r="J375" s="5">
        <v>45993</v>
      </c>
      <c r="K375" s="3" t="str">
        <f t="shared" ca="1" si="70"/>
        <v xml:space="preserve">0 Tahun 8 bulan </v>
      </c>
      <c r="L375" s="30" t="s">
        <v>200</v>
      </c>
      <c r="M375" s="5" t="s">
        <v>127</v>
      </c>
      <c r="N375" s="3" t="str">
        <f t="shared" ca="1" si="71"/>
        <v xml:space="preserve">5 Tahun 6 bulan </v>
      </c>
      <c r="O375" s="4"/>
      <c r="P375" s="4" t="s">
        <v>35</v>
      </c>
      <c r="Q375" s="4" t="str">
        <f t="shared" si="72"/>
        <v>Perempuan</v>
      </c>
      <c r="R375" s="4">
        <f t="shared" si="78"/>
        <v>1</v>
      </c>
      <c r="S375" s="4" t="str">
        <f t="shared" si="81"/>
        <v>1</v>
      </c>
      <c r="T375" s="4">
        <f t="shared" si="79"/>
        <v>0</v>
      </c>
      <c r="U375" s="29"/>
      <c r="V375" s="30"/>
      <c r="W375" s="30"/>
      <c r="X375" s="30"/>
      <c r="Y375" s="30"/>
      <c r="Z375" s="30"/>
      <c r="AA375" s="30"/>
      <c r="AB375" s="29"/>
      <c r="AC375" s="29"/>
      <c r="AD375" s="37">
        <f t="shared" si="74"/>
        <v>27926</v>
      </c>
      <c r="AE375" s="3" t="str">
        <f t="shared" ca="1" si="73"/>
        <v>50 Tahun 2 bulan 17 Hari</v>
      </c>
      <c r="AF375" s="38">
        <f t="shared" si="75"/>
        <v>49857</v>
      </c>
    </row>
    <row r="376" spans="1:32" s="7" customFormat="1" ht="32.15" customHeight="1" x14ac:dyDescent="0.35">
      <c r="A376" s="26">
        <f t="shared" si="77"/>
        <v>352</v>
      </c>
      <c r="B376" s="32" t="s">
        <v>1128</v>
      </c>
      <c r="C376" s="26"/>
      <c r="D376" s="50" t="s">
        <v>1139</v>
      </c>
      <c r="E376" s="24" t="s">
        <v>108</v>
      </c>
      <c r="F376" s="24"/>
      <c r="G376" s="4"/>
      <c r="H376" s="4"/>
      <c r="I376" s="33"/>
      <c r="J376" s="49"/>
      <c r="K376" s="3" t="str">
        <f t="shared" ca="1" si="70"/>
        <v/>
      </c>
      <c r="L376" s="30" t="s">
        <v>88</v>
      </c>
      <c r="M376" s="49"/>
      <c r="N376" s="3" t="str">
        <f t="shared" ca="1" si="71"/>
        <v/>
      </c>
      <c r="O376" s="4"/>
      <c r="P376" s="4"/>
      <c r="Q376" s="4" t="str">
        <f t="shared" si="72"/>
        <v/>
      </c>
      <c r="R376" s="4">
        <f t="shared" si="78"/>
        <v>1</v>
      </c>
      <c r="S376" s="4" t="str">
        <f t="shared" si="81"/>
        <v>0</v>
      </c>
      <c r="T376" s="4">
        <f t="shared" si="79"/>
        <v>1</v>
      </c>
      <c r="U376" s="29"/>
      <c r="V376" s="30"/>
      <c r="W376" s="30"/>
      <c r="X376" s="30"/>
      <c r="Y376" s="30"/>
      <c r="Z376" s="30"/>
      <c r="AA376" s="30"/>
      <c r="AB376" s="29"/>
      <c r="AC376" s="29"/>
      <c r="AD376" s="37" t="str">
        <f t="shared" si="74"/>
        <v/>
      </c>
      <c r="AE376" s="3" t="str">
        <f t="shared" ca="1" si="73"/>
        <v/>
      </c>
      <c r="AF376" s="38" t="str">
        <f t="shared" si="75"/>
        <v/>
      </c>
    </row>
    <row r="377" spans="1:32" s="7" customFormat="1" ht="32.15" customHeight="1" x14ac:dyDescent="0.35">
      <c r="A377" s="26">
        <f t="shared" si="77"/>
        <v>353</v>
      </c>
      <c r="B377" s="32" t="s">
        <v>1128</v>
      </c>
      <c r="C377" s="256" t="s">
        <v>1140</v>
      </c>
      <c r="D377" s="257"/>
      <c r="E377" s="45" t="s">
        <v>3050</v>
      </c>
      <c r="F377" s="24" t="s">
        <v>43</v>
      </c>
      <c r="G377" s="44" t="s">
        <v>1915</v>
      </c>
      <c r="H377" s="4" t="s">
        <v>1916</v>
      </c>
      <c r="I377" s="36" t="s">
        <v>1917</v>
      </c>
      <c r="J377" s="82">
        <v>46260</v>
      </c>
      <c r="K377" s="3" t="str">
        <f t="shared" ca="1" si="70"/>
        <v xml:space="preserve">0 Tahun 0 bulan </v>
      </c>
      <c r="L377" s="30" t="s">
        <v>346</v>
      </c>
      <c r="M377" s="5"/>
      <c r="N377" s="3" t="str">
        <f t="shared" ca="1" si="71"/>
        <v/>
      </c>
      <c r="O377" s="4"/>
      <c r="P377" s="4" t="s">
        <v>35</v>
      </c>
      <c r="Q377" s="4" t="str">
        <f t="shared" si="72"/>
        <v>Laki-Laki</v>
      </c>
      <c r="R377" s="4">
        <f t="shared" si="78"/>
        <v>1</v>
      </c>
      <c r="S377" s="4" t="str">
        <f t="shared" si="81"/>
        <v>1</v>
      </c>
      <c r="T377" s="4">
        <f t="shared" si="79"/>
        <v>0</v>
      </c>
      <c r="U377" s="29"/>
      <c r="V377" s="30"/>
      <c r="W377" s="30"/>
      <c r="X377" s="30"/>
      <c r="Y377" s="30"/>
      <c r="Z377" s="30"/>
      <c r="AA377" s="30"/>
      <c r="AB377" s="29"/>
      <c r="AC377" s="29"/>
      <c r="AD377" s="37">
        <f t="shared" si="74"/>
        <v>30130</v>
      </c>
      <c r="AE377" s="3" t="str">
        <f t="shared" ca="1" si="73"/>
        <v>44 Tahun 2 bulan 4 Hari</v>
      </c>
      <c r="AF377" s="38">
        <f t="shared" si="75"/>
        <v>52048</v>
      </c>
    </row>
    <row r="378" spans="1:32" s="7" customFormat="1" ht="32.15" customHeight="1" x14ac:dyDescent="0.35">
      <c r="A378" s="26">
        <f t="shared" si="77"/>
        <v>354</v>
      </c>
      <c r="B378" s="32" t="s">
        <v>1128</v>
      </c>
      <c r="C378" s="26"/>
      <c r="D378" s="50" t="s">
        <v>1142</v>
      </c>
      <c r="E378" s="24" t="s">
        <v>1143</v>
      </c>
      <c r="F378" s="24" t="s">
        <v>43</v>
      </c>
      <c r="G378" s="4" t="s">
        <v>1144</v>
      </c>
      <c r="H378" s="4" t="s">
        <v>159</v>
      </c>
      <c r="I378" s="4" t="s">
        <v>86</v>
      </c>
      <c r="J378" s="5" t="s">
        <v>87</v>
      </c>
      <c r="K378" s="3" t="str">
        <f t="shared" ca="1" si="70"/>
        <v xml:space="preserve">4 Tahun 8 bulan </v>
      </c>
      <c r="L378" s="30" t="s">
        <v>88</v>
      </c>
      <c r="M378" s="5">
        <v>44561</v>
      </c>
      <c r="N378" s="3" t="str">
        <f t="shared" ca="1" si="71"/>
        <v xml:space="preserve">4 Tahun 8 bulan </v>
      </c>
      <c r="O378" s="35"/>
      <c r="P378" s="4" t="s">
        <v>35</v>
      </c>
      <c r="Q378" s="4" t="str">
        <f t="shared" si="72"/>
        <v>Laki-Laki</v>
      </c>
      <c r="R378" s="4">
        <f t="shared" si="78"/>
        <v>1</v>
      </c>
      <c r="S378" s="4" t="str">
        <f t="shared" si="81"/>
        <v>1</v>
      </c>
      <c r="T378" s="4">
        <f t="shared" si="79"/>
        <v>0</v>
      </c>
      <c r="U378" s="29"/>
      <c r="V378" s="30" t="s">
        <v>50</v>
      </c>
      <c r="W378" s="30"/>
      <c r="X378" s="30"/>
      <c r="Y378" s="30"/>
      <c r="Z378" s="30"/>
      <c r="AA378" s="30"/>
      <c r="AB378" s="29"/>
      <c r="AC378" s="29"/>
      <c r="AD378" s="37">
        <f t="shared" si="74"/>
        <v>29207</v>
      </c>
      <c r="AE378" s="3" t="str">
        <f t="shared" ca="1" si="73"/>
        <v>46 Tahun 8 bulan 14 Hari</v>
      </c>
      <c r="AF378" s="38">
        <f t="shared" si="75"/>
        <v>51136</v>
      </c>
    </row>
    <row r="379" spans="1:32" s="7" customFormat="1" ht="32.15" customHeight="1" x14ac:dyDescent="0.35">
      <c r="A379" s="26">
        <f t="shared" si="77"/>
        <v>355</v>
      </c>
      <c r="B379" s="32" t="s">
        <v>1128</v>
      </c>
      <c r="C379" s="26"/>
      <c r="D379" s="50" t="s">
        <v>1142</v>
      </c>
      <c r="E379" s="24" t="s">
        <v>108</v>
      </c>
      <c r="F379" s="24"/>
      <c r="G379" s="4"/>
      <c r="H379" s="4"/>
      <c r="I379" s="33"/>
      <c r="J379" s="49"/>
      <c r="K379" s="3" t="str">
        <f t="shared" ca="1" si="70"/>
        <v/>
      </c>
      <c r="L379" s="30" t="s">
        <v>88</v>
      </c>
      <c r="M379" s="49"/>
      <c r="N379" s="3" t="str">
        <f t="shared" ca="1" si="71"/>
        <v/>
      </c>
      <c r="O379" s="4"/>
      <c r="P379" s="4"/>
      <c r="Q379" s="4" t="str">
        <f t="shared" si="72"/>
        <v/>
      </c>
      <c r="R379" s="4">
        <f t="shared" si="78"/>
        <v>1</v>
      </c>
      <c r="S379" s="4" t="str">
        <f t="shared" si="81"/>
        <v>0</v>
      </c>
      <c r="T379" s="4">
        <f t="shared" si="79"/>
        <v>1</v>
      </c>
      <c r="U379" s="29"/>
      <c r="V379" s="30"/>
      <c r="W379" s="30"/>
      <c r="X379" s="30"/>
      <c r="Y379" s="30"/>
      <c r="Z379" s="30"/>
      <c r="AA379" s="30"/>
      <c r="AB379" s="29"/>
      <c r="AC379" s="29"/>
      <c r="AD379" s="37" t="str">
        <f t="shared" si="74"/>
        <v/>
      </c>
      <c r="AE379" s="3" t="str">
        <f t="shared" ca="1" si="73"/>
        <v/>
      </c>
      <c r="AF379" s="38" t="str">
        <f t="shared" si="75"/>
        <v/>
      </c>
    </row>
    <row r="380" spans="1:32" s="7" customFormat="1" ht="32.15" customHeight="1" x14ac:dyDescent="0.35">
      <c r="A380" s="26">
        <f t="shared" si="77"/>
        <v>356</v>
      </c>
      <c r="B380" s="32" t="s">
        <v>1128</v>
      </c>
      <c r="C380" s="256" t="s">
        <v>1145</v>
      </c>
      <c r="D380" s="257"/>
      <c r="E380" s="58" t="s">
        <v>1146</v>
      </c>
      <c r="F380" s="24" t="s">
        <v>43</v>
      </c>
      <c r="G380" s="25" t="s">
        <v>2836</v>
      </c>
      <c r="H380" s="4" t="s">
        <v>132</v>
      </c>
      <c r="I380" s="33" t="s">
        <v>759</v>
      </c>
      <c r="J380" s="53" t="s">
        <v>898</v>
      </c>
      <c r="K380" s="3" t="str">
        <f t="shared" ca="1" si="70"/>
        <v xml:space="preserve">0 Tahun 8 bulan </v>
      </c>
      <c r="L380" s="30" t="s">
        <v>346</v>
      </c>
      <c r="M380" s="5"/>
      <c r="N380" s="3" t="str">
        <f t="shared" ca="1" si="71"/>
        <v/>
      </c>
      <c r="O380" s="4"/>
      <c r="P380" s="4" t="s">
        <v>35</v>
      </c>
      <c r="Q380" s="4" t="str">
        <f t="shared" si="72"/>
        <v>Perempuan</v>
      </c>
      <c r="R380" s="4">
        <f t="shared" si="78"/>
        <v>1</v>
      </c>
      <c r="S380" s="4" t="str">
        <f t="shared" si="81"/>
        <v>1</v>
      </c>
      <c r="T380" s="4">
        <f t="shared" si="79"/>
        <v>0</v>
      </c>
      <c r="U380" s="29"/>
      <c r="V380" s="30"/>
      <c r="W380" s="30"/>
      <c r="X380" s="30"/>
      <c r="Y380" s="30"/>
      <c r="Z380" s="30"/>
      <c r="AA380" s="30"/>
      <c r="AB380" s="29"/>
      <c r="AC380" s="29"/>
      <c r="AD380" s="37">
        <f t="shared" si="74"/>
        <v>25704</v>
      </c>
      <c r="AE380" s="3" t="str">
        <f t="shared" ca="1" si="73"/>
        <v>56 Tahun 3 bulan 16 Hari</v>
      </c>
      <c r="AF380" s="38">
        <f t="shared" si="75"/>
        <v>47635</v>
      </c>
    </row>
    <row r="381" spans="1:32" s="7" customFormat="1" ht="32.15" customHeight="1" x14ac:dyDescent="0.35">
      <c r="A381" s="26">
        <f t="shared" si="77"/>
        <v>357</v>
      </c>
      <c r="B381" s="32" t="s">
        <v>1128</v>
      </c>
      <c r="C381" s="26"/>
      <c r="D381" s="50" t="s">
        <v>1142</v>
      </c>
      <c r="E381" s="24" t="s">
        <v>108</v>
      </c>
      <c r="F381" s="24"/>
      <c r="G381" s="3"/>
      <c r="H381" s="4"/>
      <c r="I381" s="4"/>
      <c r="J381" s="49"/>
      <c r="K381" s="3" t="str">
        <f t="shared" ca="1" si="70"/>
        <v/>
      </c>
      <c r="L381" s="30" t="s">
        <v>88</v>
      </c>
      <c r="M381" s="49"/>
      <c r="N381" s="3" t="str">
        <f t="shared" ca="1" si="71"/>
        <v/>
      </c>
      <c r="O381" s="4"/>
      <c r="P381" s="4"/>
      <c r="Q381" s="4" t="str">
        <f t="shared" si="72"/>
        <v/>
      </c>
      <c r="R381" s="4">
        <f t="shared" si="78"/>
        <v>1</v>
      </c>
      <c r="S381" s="4" t="str">
        <f t="shared" si="81"/>
        <v>0</v>
      </c>
      <c r="T381" s="4">
        <f t="shared" si="79"/>
        <v>1</v>
      </c>
      <c r="U381" s="29"/>
      <c r="V381" s="30"/>
      <c r="W381" s="30"/>
      <c r="X381" s="30"/>
      <c r="Y381" s="30"/>
      <c r="Z381" s="30"/>
      <c r="AA381" s="30"/>
      <c r="AB381" s="29"/>
      <c r="AC381" s="29"/>
      <c r="AD381" s="37" t="str">
        <f t="shared" si="74"/>
        <v/>
      </c>
      <c r="AE381" s="3" t="str">
        <f t="shared" ca="1" si="73"/>
        <v/>
      </c>
      <c r="AF381" s="38" t="str">
        <f t="shared" si="75"/>
        <v/>
      </c>
    </row>
    <row r="382" spans="1:32" s="7" customFormat="1" ht="32.15" customHeight="1" x14ac:dyDescent="0.35">
      <c r="A382" s="26">
        <f t="shared" si="77"/>
        <v>358</v>
      </c>
      <c r="B382" s="32" t="s">
        <v>1128</v>
      </c>
      <c r="C382" s="26"/>
      <c r="D382" s="50" t="s">
        <v>1142</v>
      </c>
      <c r="E382" s="45" t="s">
        <v>1147</v>
      </c>
      <c r="F382" s="45" t="s">
        <v>43</v>
      </c>
      <c r="G382" s="44" t="s">
        <v>1148</v>
      </c>
      <c r="H382" s="4" t="s">
        <v>574</v>
      </c>
      <c r="I382" s="33" t="s">
        <v>86</v>
      </c>
      <c r="J382" s="5" t="s">
        <v>87</v>
      </c>
      <c r="K382" s="3" t="str">
        <f t="shared" ca="1" si="70"/>
        <v xml:space="preserve">4 Tahun 8 bulan </v>
      </c>
      <c r="L382" s="30" t="s">
        <v>88</v>
      </c>
      <c r="M382" s="5" t="s">
        <v>87</v>
      </c>
      <c r="N382" s="3" t="str">
        <f t="shared" ca="1" si="71"/>
        <v xml:space="preserve">4 Tahun 8 bulan </v>
      </c>
      <c r="O382" s="36"/>
      <c r="P382" s="4" t="s">
        <v>35</v>
      </c>
      <c r="Q382" s="4" t="str">
        <f t="shared" si="72"/>
        <v>Perempuan</v>
      </c>
      <c r="R382" s="4">
        <f t="shared" si="78"/>
        <v>1</v>
      </c>
      <c r="S382" s="4" t="str">
        <f t="shared" si="81"/>
        <v>1</v>
      </c>
      <c r="T382" s="4">
        <f t="shared" si="79"/>
        <v>0</v>
      </c>
      <c r="U382" s="29"/>
      <c r="V382" s="30"/>
      <c r="W382" s="30"/>
      <c r="X382" s="30"/>
      <c r="Y382" s="30"/>
      <c r="Z382" s="30"/>
      <c r="AA382" s="30"/>
      <c r="AB382" s="29"/>
      <c r="AC382" s="29"/>
      <c r="AD382" s="37">
        <f t="shared" si="74"/>
        <v>29569</v>
      </c>
      <c r="AE382" s="3" t="str">
        <f t="shared" ca="1" si="73"/>
        <v>45 Tahun 8 bulan 18 Hari</v>
      </c>
      <c r="AF382" s="38">
        <f t="shared" si="75"/>
        <v>51502</v>
      </c>
    </row>
    <row r="383" spans="1:32" s="7" customFormat="1" ht="32.15" customHeight="1" x14ac:dyDescent="0.35">
      <c r="A383" s="26">
        <f t="shared" si="77"/>
        <v>359</v>
      </c>
      <c r="B383" s="32" t="s">
        <v>1128</v>
      </c>
      <c r="C383" s="256" t="s">
        <v>1149</v>
      </c>
      <c r="D383" s="257"/>
      <c r="E383" s="24" t="s">
        <v>1150</v>
      </c>
      <c r="F383" s="24" t="s">
        <v>43</v>
      </c>
      <c r="G383" s="3" t="s">
        <v>503</v>
      </c>
      <c r="H383" s="4" t="s">
        <v>313</v>
      </c>
      <c r="I383" s="33" t="s">
        <v>46</v>
      </c>
      <c r="J383" s="5">
        <v>45916</v>
      </c>
      <c r="K383" s="3" t="str">
        <f t="shared" ca="1" si="70"/>
        <v xml:space="preserve">0 Tahun 11 bulan </v>
      </c>
      <c r="L383" s="30" t="s">
        <v>346</v>
      </c>
      <c r="M383" s="5">
        <v>45916</v>
      </c>
      <c r="N383" s="3" t="str">
        <f t="shared" ca="1" si="71"/>
        <v xml:space="preserve">0 Tahun 11 bulan </v>
      </c>
      <c r="O383" s="25"/>
      <c r="P383" s="4" t="s">
        <v>35</v>
      </c>
      <c r="Q383" s="4" t="str">
        <f t="shared" si="72"/>
        <v>Perempuan</v>
      </c>
      <c r="R383" s="4">
        <f t="shared" si="78"/>
        <v>1</v>
      </c>
      <c r="S383" s="4" t="str">
        <f t="shared" si="81"/>
        <v>1</v>
      </c>
      <c r="T383" s="4">
        <f t="shared" si="79"/>
        <v>0</v>
      </c>
      <c r="U383" s="29"/>
      <c r="V383" s="30" t="s">
        <v>50</v>
      </c>
      <c r="W383" s="30"/>
      <c r="X383" s="30"/>
      <c r="Y383" s="30"/>
      <c r="Z383" s="30"/>
      <c r="AA383" s="30"/>
      <c r="AB383" s="29"/>
      <c r="AC383" s="29"/>
      <c r="AD383" s="37">
        <f t="shared" si="74"/>
        <v>25450</v>
      </c>
      <c r="AE383" s="3" t="str">
        <f t="shared" ca="1" si="73"/>
        <v>56 Tahun 11 bulan 28 Hari</v>
      </c>
      <c r="AF383" s="38">
        <f t="shared" si="75"/>
        <v>47392</v>
      </c>
    </row>
    <row r="384" spans="1:32" s="7" customFormat="1" ht="32.15" customHeight="1" x14ac:dyDescent="0.35">
      <c r="A384" s="26">
        <f t="shared" si="77"/>
        <v>360</v>
      </c>
      <c r="B384" s="32" t="s">
        <v>1128</v>
      </c>
      <c r="C384" s="26"/>
      <c r="D384" s="50" t="s">
        <v>1151</v>
      </c>
      <c r="E384" s="51" t="s">
        <v>1152</v>
      </c>
      <c r="F384" s="24" t="s">
        <v>43</v>
      </c>
      <c r="G384" s="59" t="s">
        <v>1153</v>
      </c>
      <c r="H384" s="4" t="s">
        <v>1154</v>
      </c>
      <c r="I384" s="33" t="s">
        <v>86</v>
      </c>
      <c r="J384" s="5" t="s">
        <v>87</v>
      </c>
      <c r="K384" s="3" t="str">
        <f t="shared" ca="1" si="70"/>
        <v xml:space="preserve">4 Tahun 8 bulan </v>
      </c>
      <c r="L384" s="30" t="s">
        <v>88</v>
      </c>
      <c r="M384" s="5" t="s">
        <v>87</v>
      </c>
      <c r="N384" s="3" t="str">
        <f t="shared" ca="1" si="71"/>
        <v xml:space="preserve">4 Tahun 8 bulan </v>
      </c>
      <c r="O384" s="4"/>
      <c r="P384" s="4" t="s">
        <v>35</v>
      </c>
      <c r="Q384" s="4" t="str">
        <f t="shared" si="72"/>
        <v>Perempuan</v>
      </c>
      <c r="R384" s="4">
        <f t="shared" si="78"/>
        <v>1</v>
      </c>
      <c r="S384" s="4" t="str">
        <f t="shared" si="81"/>
        <v>1</v>
      </c>
      <c r="T384" s="4">
        <f t="shared" si="79"/>
        <v>0</v>
      </c>
      <c r="U384" s="29"/>
      <c r="V384" s="30"/>
      <c r="W384" s="30"/>
      <c r="X384" s="30"/>
      <c r="Y384" s="30"/>
      <c r="Z384" s="30"/>
      <c r="AA384" s="30"/>
      <c r="AB384" s="29"/>
      <c r="AC384" s="29"/>
      <c r="AD384" s="37">
        <f t="shared" si="74"/>
        <v>29738</v>
      </c>
      <c r="AE384" s="3" t="str">
        <f t="shared" ca="1" si="73"/>
        <v>45 Tahun 3 bulan 0 Hari</v>
      </c>
      <c r="AF384" s="38">
        <f t="shared" si="75"/>
        <v>51683</v>
      </c>
    </row>
    <row r="385" spans="1:32" s="7" customFormat="1" ht="32.15" customHeight="1" x14ac:dyDescent="0.35">
      <c r="A385" s="26">
        <f t="shared" si="77"/>
        <v>361</v>
      </c>
      <c r="B385" s="32" t="s">
        <v>1128</v>
      </c>
      <c r="C385" s="26"/>
      <c r="D385" s="50" t="s">
        <v>1151</v>
      </c>
      <c r="E385" s="58" t="s">
        <v>108</v>
      </c>
      <c r="F385" s="58"/>
      <c r="G385" s="29"/>
      <c r="H385" s="29"/>
      <c r="I385" s="29"/>
      <c r="J385" s="49"/>
      <c r="K385" s="3" t="str">
        <f t="shared" ca="1" si="70"/>
        <v/>
      </c>
      <c r="L385" s="30" t="s">
        <v>88</v>
      </c>
      <c r="M385" s="49"/>
      <c r="N385" s="3" t="str">
        <f t="shared" ca="1" si="71"/>
        <v/>
      </c>
      <c r="O385" s="29"/>
      <c r="P385" s="29"/>
      <c r="Q385" s="4" t="str">
        <f t="shared" si="72"/>
        <v/>
      </c>
      <c r="R385" s="4">
        <f t="shared" si="78"/>
        <v>1</v>
      </c>
      <c r="S385" s="4" t="str">
        <f t="shared" si="81"/>
        <v>0</v>
      </c>
      <c r="T385" s="4">
        <f t="shared" si="79"/>
        <v>1</v>
      </c>
      <c r="U385" s="29"/>
      <c r="V385" s="30"/>
      <c r="W385" s="30"/>
      <c r="X385" s="30"/>
      <c r="Y385" s="30"/>
      <c r="Z385" s="30"/>
      <c r="AA385" s="30"/>
      <c r="AB385" s="29"/>
      <c r="AC385" s="29"/>
      <c r="AD385" s="37" t="str">
        <f t="shared" si="74"/>
        <v/>
      </c>
      <c r="AE385" s="3" t="str">
        <f t="shared" ca="1" si="73"/>
        <v/>
      </c>
      <c r="AF385" s="38" t="str">
        <f t="shared" si="75"/>
        <v/>
      </c>
    </row>
    <row r="386" spans="1:32" s="7" customFormat="1" ht="32.15" customHeight="1" x14ac:dyDescent="0.35">
      <c r="A386" s="26">
        <f t="shared" si="77"/>
        <v>362</v>
      </c>
      <c r="B386" s="32" t="s">
        <v>1128</v>
      </c>
      <c r="C386" s="256" t="s">
        <v>1155</v>
      </c>
      <c r="D386" s="257"/>
      <c r="E386" s="45" t="s">
        <v>934</v>
      </c>
      <c r="F386" s="24" t="s">
        <v>43</v>
      </c>
      <c r="G386" s="36" t="s">
        <v>935</v>
      </c>
      <c r="H386" s="56" t="s">
        <v>94</v>
      </c>
      <c r="I386" s="33" t="s">
        <v>2837</v>
      </c>
      <c r="J386" s="5">
        <v>45993</v>
      </c>
      <c r="K386" s="3" t="str">
        <f t="shared" ca="1" si="70"/>
        <v xml:space="preserve">0 Tahun 8 bulan </v>
      </c>
      <c r="L386" s="30" t="s">
        <v>346</v>
      </c>
      <c r="M386" s="5"/>
      <c r="N386" s="3" t="str">
        <f t="shared" ca="1" si="71"/>
        <v/>
      </c>
      <c r="O386" s="4"/>
      <c r="P386" s="4" t="s">
        <v>35</v>
      </c>
      <c r="Q386" s="4" t="str">
        <f t="shared" si="72"/>
        <v>Perempuan</v>
      </c>
      <c r="R386" s="4">
        <f>R157</f>
        <v>1</v>
      </c>
      <c r="S386" s="4" t="str">
        <f t="shared" si="81"/>
        <v>1</v>
      </c>
      <c r="T386" s="4">
        <f t="shared" si="79"/>
        <v>0</v>
      </c>
      <c r="U386" s="29"/>
      <c r="V386" s="30"/>
      <c r="W386" s="30"/>
      <c r="X386" s="30"/>
      <c r="Y386" s="30"/>
      <c r="Z386" s="30"/>
      <c r="AA386" s="30"/>
      <c r="AB386" s="29"/>
      <c r="AC386" s="29"/>
      <c r="AD386" s="37">
        <f t="shared" si="74"/>
        <v>31133</v>
      </c>
      <c r="AE386" s="3" t="str">
        <f t="shared" ca="1" si="73"/>
        <v>41 Tahun 5 bulan 5 Hari</v>
      </c>
      <c r="AF386" s="38">
        <f t="shared" si="75"/>
        <v>53053</v>
      </c>
    </row>
    <row r="387" spans="1:32" s="7" customFormat="1" ht="32.15" customHeight="1" x14ac:dyDescent="0.35">
      <c r="A387" s="26">
        <f t="shared" si="77"/>
        <v>363</v>
      </c>
      <c r="B387" s="32" t="s">
        <v>1128</v>
      </c>
      <c r="C387" s="26"/>
      <c r="D387" s="50" t="s">
        <v>1156</v>
      </c>
      <c r="E387" s="45" t="s">
        <v>536</v>
      </c>
      <c r="F387" s="24" t="s">
        <v>43</v>
      </c>
      <c r="G387" s="44" t="s">
        <v>1157</v>
      </c>
      <c r="H387" s="4" t="s">
        <v>1158</v>
      </c>
      <c r="I387" s="36" t="s">
        <v>86</v>
      </c>
      <c r="J387" s="5" t="s">
        <v>87</v>
      </c>
      <c r="K387" s="3" t="str">
        <f t="shared" ca="1" si="70"/>
        <v xml:space="preserve">4 Tahun 8 bulan </v>
      </c>
      <c r="L387" s="30" t="s">
        <v>88</v>
      </c>
      <c r="M387" s="5">
        <v>44561</v>
      </c>
      <c r="N387" s="3" t="str">
        <f t="shared" ca="1" si="71"/>
        <v xml:space="preserve">4 Tahun 8 bulan </v>
      </c>
      <c r="O387" s="4"/>
      <c r="P387" s="4" t="s">
        <v>35</v>
      </c>
      <c r="Q387" s="4" t="str">
        <f t="shared" si="72"/>
        <v>Perempuan</v>
      </c>
      <c r="R387" s="4">
        <f t="shared" si="78"/>
        <v>1</v>
      </c>
      <c r="S387" s="4" t="str">
        <f t="shared" si="81"/>
        <v>1</v>
      </c>
      <c r="T387" s="4">
        <f t="shared" si="79"/>
        <v>0</v>
      </c>
      <c r="U387" s="29"/>
      <c r="V387" s="30" t="s">
        <v>50</v>
      </c>
      <c r="W387" s="30"/>
      <c r="X387" s="30"/>
      <c r="Y387" s="30"/>
      <c r="Z387" s="30"/>
      <c r="AA387" s="30"/>
      <c r="AB387" s="29"/>
      <c r="AC387" s="29"/>
      <c r="AD387" s="37">
        <f t="shared" si="74"/>
        <v>29552</v>
      </c>
      <c r="AE387" s="3" t="str">
        <f t="shared" ca="1" si="73"/>
        <v>45 Tahun 9 bulan 5 Hari</v>
      </c>
      <c r="AF387" s="38">
        <f t="shared" si="75"/>
        <v>51471</v>
      </c>
    </row>
    <row r="388" spans="1:32" s="7" customFormat="1" ht="32.15" customHeight="1" x14ac:dyDescent="0.35">
      <c r="A388" s="26">
        <f t="shared" si="77"/>
        <v>364</v>
      </c>
      <c r="B388" s="32" t="s">
        <v>1128</v>
      </c>
      <c r="C388" s="26"/>
      <c r="D388" s="50"/>
      <c r="E388" s="39" t="s">
        <v>171</v>
      </c>
      <c r="F388" s="24" t="s">
        <v>43</v>
      </c>
      <c r="G388" s="25"/>
      <c r="H388" s="4"/>
      <c r="I388" s="25"/>
      <c r="J388" s="5"/>
      <c r="K388" s="3" t="str">
        <f t="shared" ca="1" si="70"/>
        <v/>
      </c>
      <c r="L388" s="30" t="s">
        <v>32</v>
      </c>
      <c r="M388" s="5"/>
      <c r="N388" s="3" t="str">
        <f t="shared" ca="1" si="71"/>
        <v/>
      </c>
      <c r="O388" s="35"/>
      <c r="P388" s="4" t="s">
        <v>35</v>
      </c>
      <c r="Q388" s="4" t="str">
        <f t="shared" si="72"/>
        <v/>
      </c>
      <c r="R388" s="4">
        <f t="shared" si="78"/>
        <v>1</v>
      </c>
      <c r="S388" s="4" t="str">
        <f t="shared" si="81"/>
        <v>1</v>
      </c>
      <c r="T388" s="4">
        <f t="shared" si="79"/>
        <v>0</v>
      </c>
      <c r="U388" s="29"/>
      <c r="V388" s="30" t="s">
        <v>50</v>
      </c>
      <c r="W388" s="30"/>
      <c r="X388" s="30"/>
      <c r="Y388" s="30"/>
      <c r="Z388" s="30"/>
      <c r="AA388" s="30"/>
      <c r="AB388" s="29"/>
      <c r="AC388" s="29"/>
      <c r="AD388" s="37" t="str">
        <f t="shared" si="74"/>
        <v/>
      </c>
      <c r="AE388" s="3" t="str">
        <f t="shared" ca="1" si="73"/>
        <v/>
      </c>
      <c r="AF388" s="38" t="str">
        <f t="shared" si="75"/>
        <v/>
      </c>
    </row>
    <row r="389" spans="1:32" s="7" customFormat="1" ht="32.15" customHeight="1" x14ac:dyDescent="0.35">
      <c r="A389" s="26"/>
      <c r="B389" s="27" t="s">
        <v>1159</v>
      </c>
      <c r="C389" s="280" t="s">
        <v>1160</v>
      </c>
      <c r="D389" s="281"/>
      <c r="E389" s="271" t="str">
        <f ca="1">IF(J389="","",CONCATENATE(DATEDIF(J389,NOW(),"Y")," Tahun ",DATEDIF(J389,NOW(),"YM")," bulan "))</f>
        <v/>
      </c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3"/>
      <c r="W389" s="30"/>
      <c r="X389" s="30"/>
      <c r="Y389" s="30"/>
      <c r="Z389" s="29"/>
      <c r="AA389" s="29"/>
      <c r="AB389" s="29"/>
      <c r="AC389" s="29"/>
      <c r="AD389" s="37" t="str">
        <f t="shared" si="74"/>
        <v/>
      </c>
      <c r="AE389" s="3" t="str">
        <f t="shared" ca="1" si="73"/>
        <v/>
      </c>
      <c r="AF389" s="38" t="str">
        <f t="shared" si="75"/>
        <v/>
      </c>
    </row>
    <row r="390" spans="1:32" s="7" customFormat="1" ht="32.15" customHeight="1" x14ac:dyDescent="0.35">
      <c r="A390" s="26">
        <f>A388+1</f>
        <v>365</v>
      </c>
      <c r="B390" s="27" t="s">
        <v>1159</v>
      </c>
      <c r="C390" s="278" t="s">
        <v>1161</v>
      </c>
      <c r="D390" s="279"/>
      <c r="E390" s="24" t="s">
        <v>1162</v>
      </c>
      <c r="F390" s="24" t="s">
        <v>43</v>
      </c>
      <c r="G390" s="3" t="s">
        <v>1163</v>
      </c>
      <c r="H390" s="4" t="s">
        <v>1164</v>
      </c>
      <c r="I390" s="33" t="s">
        <v>1020</v>
      </c>
      <c r="J390" s="5" t="s">
        <v>62</v>
      </c>
      <c r="K390" s="3" t="str">
        <f t="shared" ca="1" si="70"/>
        <v xml:space="preserve">3 Tahun 2 bulan </v>
      </c>
      <c r="L390" s="30" t="s">
        <v>56</v>
      </c>
      <c r="M390" s="5" t="s">
        <v>62</v>
      </c>
      <c r="N390" s="3" t="str">
        <f t="shared" ca="1" si="71"/>
        <v xml:space="preserve">3 Tahun 2 bulan </v>
      </c>
      <c r="O390" s="4" t="s">
        <v>49</v>
      </c>
      <c r="P390" s="4" t="s">
        <v>35</v>
      </c>
      <c r="Q390" s="4" t="str">
        <f t="shared" si="72"/>
        <v>Laki-Laki</v>
      </c>
      <c r="R390" s="4">
        <f>R388</f>
        <v>1</v>
      </c>
      <c r="S390" s="4" t="str">
        <f t="shared" ref="S390:S405" si="82">IF(E390="LOWONG","0","1")</f>
        <v>1</v>
      </c>
      <c r="T390" s="4">
        <f t="shared" si="79"/>
        <v>0</v>
      </c>
      <c r="U390" s="29"/>
      <c r="V390" s="30" t="s">
        <v>50</v>
      </c>
      <c r="W390" s="30"/>
      <c r="X390" s="30"/>
      <c r="Y390" s="30"/>
      <c r="Z390" s="30"/>
      <c r="AA390" s="30"/>
      <c r="AB390" s="29"/>
      <c r="AC390" s="29"/>
      <c r="AD390" s="37">
        <f t="shared" si="74"/>
        <v>26454</v>
      </c>
      <c r="AE390" s="3" t="str">
        <f t="shared" ca="1" si="73"/>
        <v>54 Tahun 2 bulan 28 Hari</v>
      </c>
      <c r="AF390" s="38">
        <f t="shared" si="75"/>
        <v>48396</v>
      </c>
    </row>
    <row r="391" spans="1:32" s="7" customFormat="1" ht="32.15" customHeight="1" x14ac:dyDescent="0.35">
      <c r="A391" s="26">
        <f t="shared" si="77"/>
        <v>366</v>
      </c>
      <c r="B391" s="27" t="s">
        <v>1159</v>
      </c>
      <c r="C391" s="256" t="s">
        <v>1165</v>
      </c>
      <c r="D391" s="257"/>
      <c r="E391" s="24" t="s">
        <v>1190</v>
      </c>
      <c r="F391" s="24" t="s">
        <v>43</v>
      </c>
      <c r="G391" s="3" t="s">
        <v>1191</v>
      </c>
      <c r="H391" s="4" t="s">
        <v>329</v>
      </c>
      <c r="I391" s="41" t="s">
        <v>1192</v>
      </c>
      <c r="J391" s="5">
        <v>46260</v>
      </c>
      <c r="K391" s="3" t="str">
        <f t="shared" ref="K391:K454" ca="1" si="83">IF(J391="","",CONCATENATE(DATEDIF(J391,NOW(),"Y")," Tahun ",DATEDIF(J391,NOW(),"YM")," bulan "))</f>
        <v xml:space="preserve">0 Tahun 0 bulan </v>
      </c>
      <c r="L391" s="30" t="s">
        <v>79</v>
      </c>
      <c r="M391" s="5" t="s">
        <v>1193</v>
      </c>
      <c r="N391" s="3" t="str">
        <f t="shared" ref="N391:N454" ca="1" si="84">IF(M391="","",CONCATENATE(DATEDIF(M391,NOW(),"Y")," Tahun ",DATEDIF(M391,NOW(),"YM")," bulan "))</f>
        <v xml:space="preserve">2 Tahun 11 bulan </v>
      </c>
      <c r="O391" s="36"/>
      <c r="P391" s="4" t="s">
        <v>35</v>
      </c>
      <c r="Q391" s="4" t="str">
        <f t="shared" ref="Q391:Q454" si="85">CONCATENATE(IF(MID(G391,17,1)="1","Laki-Laki",IF(MID(G391,17,1)="2","Perempuan",)))</f>
        <v>Perempuan</v>
      </c>
      <c r="R391" s="4">
        <f t="shared" si="78"/>
        <v>1</v>
      </c>
      <c r="S391" s="4" t="str">
        <f t="shared" si="82"/>
        <v>1</v>
      </c>
      <c r="T391" s="4">
        <f t="shared" si="79"/>
        <v>0</v>
      </c>
      <c r="U391" s="29"/>
      <c r="V391" s="30" t="s">
        <v>50</v>
      </c>
      <c r="W391" s="30"/>
      <c r="X391" s="30"/>
      <c r="Y391" s="30"/>
      <c r="Z391" s="30"/>
      <c r="AA391" s="30"/>
      <c r="AB391" s="29"/>
      <c r="AC391" s="29"/>
      <c r="AD391" s="37">
        <f t="shared" si="74"/>
        <v>30174</v>
      </c>
      <c r="AE391" s="3" t="str">
        <f t="shared" ref="AE391:AE454" ca="1" si="86">IF(TRIM(AD391)="", "", CONCATENATE(DATEDIF(AD391,NOW(),"Y")," Tahun ",DATEDIF(AD391,NOW(),"YM")," bulan ",DATEDIF(AD391,NOW(),"MD")," Hari"))</f>
        <v>44 Tahun 0 bulan 21 Hari</v>
      </c>
      <c r="AF391" s="38">
        <f t="shared" si="75"/>
        <v>52110</v>
      </c>
    </row>
    <row r="392" spans="1:32" s="7" customFormat="1" ht="32.15" customHeight="1" x14ac:dyDescent="0.35">
      <c r="A392" s="26">
        <f t="shared" si="77"/>
        <v>367</v>
      </c>
      <c r="B392" s="27" t="s">
        <v>1159</v>
      </c>
      <c r="C392" s="26"/>
      <c r="D392" s="50" t="s">
        <v>1166</v>
      </c>
      <c r="E392" s="24" t="s">
        <v>1167</v>
      </c>
      <c r="F392" s="24" t="s">
        <v>43</v>
      </c>
      <c r="G392" s="52" t="s">
        <v>1168</v>
      </c>
      <c r="H392" s="4" t="s">
        <v>887</v>
      </c>
      <c r="I392" s="33" t="s">
        <v>46</v>
      </c>
      <c r="J392" s="5" t="s">
        <v>386</v>
      </c>
      <c r="K392" s="3" t="str">
        <f t="shared" ca="1" si="83"/>
        <v xml:space="preserve">5 Tahun 5 bulan </v>
      </c>
      <c r="L392" s="30" t="s">
        <v>200</v>
      </c>
      <c r="M392" s="5" t="s">
        <v>386</v>
      </c>
      <c r="N392" s="3" t="str">
        <f t="shared" ca="1" si="84"/>
        <v xml:space="preserve">5 Tahun 5 bulan </v>
      </c>
      <c r="O392" s="4"/>
      <c r="P392" s="4" t="s">
        <v>35</v>
      </c>
      <c r="Q392" s="4" t="str">
        <f t="shared" si="85"/>
        <v>Perempuan</v>
      </c>
      <c r="R392" s="4">
        <f t="shared" si="78"/>
        <v>1</v>
      </c>
      <c r="S392" s="4" t="str">
        <f t="shared" si="82"/>
        <v>1</v>
      </c>
      <c r="T392" s="4">
        <f t="shared" si="79"/>
        <v>0</v>
      </c>
      <c r="U392" s="29"/>
      <c r="V392" s="30"/>
      <c r="W392" s="30"/>
      <c r="X392" s="30"/>
      <c r="Y392" s="30"/>
      <c r="Z392" s="30"/>
      <c r="AA392" s="30"/>
      <c r="AB392" s="29"/>
      <c r="AC392" s="29"/>
      <c r="AD392" s="37">
        <f t="shared" ref="AD392:AD455" si="87">IF(TRIM(G392)="", "", DATE(LEFT(G392,4),MID(G392,5,2),MID(G392,7,2)))</f>
        <v>30113</v>
      </c>
      <c r="AE392" s="3" t="str">
        <f t="shared" ca="1" si="86"/>
        <v>44 Tahun 2 bulan 21 Hari</v>
      </c>
      <c r="AF392" s="38">
        <f t="shared" ref="AF392:AF455" si="88">IF(TRIM(AD392)="","",DATE(YEAR(AD392)+60,MONTH(AD392)+1,1))</f>
        <v>52048</v>
      </c>
    </row>
    <row r="393" spans="1:32" s="7" customFormat="1" ht="32.15" customHeight="1" x14ac:dyDescent="0.35">
      <c r="A393" s="26">
        <f t="shared" si="77"/>
        <v>368</v>
      </c>
      <c r="B393" s="27" t="s">
        <v>1159</v>
      </c>
      <c r="C393" s="26"/>
      <c r="D393" s="50" t="s">
        <v>1169</v>
      </c>
      <c r="E393" s="24" t="s">
        <v>1170</v>
      </c>
      <c r="F393" s="24" t="s">
        <v>43</v>
      </c>
      <c r="G393" s="3" t="s">
        <v>1171</v>
      </c>
      <c r="H393" s="4" t="s">
        <v>213</v>
      </c>
      <c r="I393" s="33" t="s">
        <v>86</v>
      </c>
      <c r="J393" s="5">
        <v>44561</v>
      </c>
      <c r="K393" s="3" t="str">
        <f t="shared" ca="1" si="83"/>
        <v xml:space="preserve">4 Tahun 8 bulan </v>
      </c>
      <c r="L393" s="30" t="s">
        <v>88</v>
      </c>
      <c r="M393" s="5">
        <v>44561</v>
      </c>
      <c r="N393" s="3" t="str">
        <f t="shared" ca="1" si="84"/>
        <v xml:space="preserve">4 Tahun 8 bulan </v>
      </c>
      <c r="O393" s="4"/>
      <c r="P393" s="4" t="s">
        <v>139</v>
      </c>
      <c r="Q393" s="4" t="str">
        <f t="shared" si="85"/>
        <v>Laki-Laki</v>
      </c>
      <c r="R393" s="4">
        <f t="shared" si="78"/>
        <v>1</v>
      </c>
      <c r="S393" s="4" t="str">
        <f t="shared" si="82"/>
        <v>1</v>
      </c>
      <c r="T393" s="4">
        <f t="shared" si="79"/>
        <v>0</v>
      </c>
      <c r="U393" s="29"/>
      <c r="V393" s="30" t="s">
        <v>50</v>
      </c>
      <c r="W393" s="30"/>
      <c r="X393" s="30"/>
      <c r="Y393" s="30"/>
      <c r="Z393" s="30"/>
      <c r="AA393" s="30"/>
      <c r="AB393" s="29"/>
      <c r="AC393" s="29"/>
      <c r="AD393" s="37">
        <f t="shared" si="87"/>
        <v>28704</v>
      </c>
      <c r="AE393" s="3" t="str">
        <f t="shared" ca="1" si="86"/>
        <v>48 Tahun 0 bulan 30 Hari</v>
      </c>
      <c r="AF393" s="38">
        <f t="shared" si="88"/>
        <v>50649</v>
      </c>
    </row>
    <row r="394" spans="1:32" s="7" customFormat="1" ht="32.15" customHeight="1" x14ac:dyDescent="0.35">
      <c r="A394" s="26">
        <f t="shared" si="77"/>
        <v>369</v>
      </c>
      <c r="B394" s="27" t="s">
        <v>1159</v>
      </c>
      <c r="C394" s="256" t="s">
        <v>1172</v>
      </c>
      <c r="D394" s="257"/>
      <c r="E394" s="24" t="s">
        <v>1173</v>
      </c>
      <c r="F394" s="24" t="s">
        <v>43</v>
      </c>
      <c r="G394" s="3" t="s">
        <v>2838</v>
      </c>
      <c r="H394" s="4" t="s">
        <v>66</v>
      </c>
      <c r="I394" s="4" t="s">
        <v>2826</v>
      </c>
      <c r="J394" s="5">
        <v>45993</v>
      </c>
      <c r="K394" s="3" t="str">
        <f t="shared" ca="1" si="83"/>
        <v xml:space="preserve">0 Tahun 8 bulan </v>
      </c>
      <c r="L394" s="30" t="s">
        <v>346</v>
      </c>
      <c r="M394" s="5"/>
      <c r="N394" s="3" t="str">
        <f t="shared" ca="1" si="84"/>
        <v/>
      </c>
      <c r="O394" s="36"/>
      <c r="P394" s="4" t="s">
        <v>35</v>
      </c>
      <c r="Q394" s="4" t="s">
        <v>591</v>
      </c>
      <c r="R394" s="4">
        <f t="shared" si="78"/>
        <v>1</v>
      </c>
      <c r="S394" s="4" t="str">
        <f t="shared" si="82"/>
        <v>1</v>
      </c>
      <c r="T394" s="4">
        <f t="shared" si="79"/>
        <v>0</v>
      </c>
      <c r="U394" s="29"/>
      <c r="V394" s="30" t="s">
        <v>50</v>
      </c>
      <c r="W394" s="30"/>
      <c r="X394" s="30"/>
      <c r="Y394" s="30"/>
      <c r="Z394" s="30"/>
      <c r="AA394" s="30"/>
      <c r="AB394" s="29"/>
      <c r="AC394" s="29"/>
      <c r="AD394" s="37">
        <f t="shared" si="87"/>
        <v>25946</v>
      </c>
      <c r="AE394" s="3" t="str">
        <f t="shared" ca="1" si="86"/>
        <v>55 Tahun 7 bulan 19 Hari</v>
      </c>
      <c r="AF394" s="38">
        <f t="shared" si="88"/>
        <v>47880</v>
      </c>
    </row>
    <row r="395" spans="1:32" s="7" customFormat="1" ht="32.15" customHeight="1" x14ac:dyDescent="0.35">
      <c r="A395" s="26">
        <f t="shared" si="77"/>
        <v>370</v>
      </c>
      <c r="B395" s="27" t="s">
        <v>1159</v>
      </c>
      <c r="C395" s="26"/>
      <c r="D395" s="50" t="s">
        <v>1174</v>
      </c>
      <c r="E395" s="39" t="s">
        <v>1175</v>
      </c>
      <c r="F395" s="24" t="s">
        <v>43</v>
      </c>
      <c r="G395" s="25" t="s">
        <v>1176</v>
      </c>
      <c r="H395" s="4" t="s">
        <v>410</v>
      </c>
      <c r="I395" s="33" t="s">
        <v>46</v>
      </c>
      <c r="J395" s="5" t="s">
        <v>87</v>
      </c>
      <c r="K395" s="3" t="str">
        <f t="shared" ca="1" si="83"/>
        <v xml:space="preserve">4 Tahun 8 bulan </v>
      </c>
      <c r="L395" s="30" t="s">
        <v>88</v>
      </c>
      <c r="M395" s="5">
        <v>44561</v>
      </c>
      <c r="N395" s="3" t="str">
        <f t="shared" ca="1" si="84"/>
        <v xml:space="preserve">4 Tahun 8 bulan </v>
      </c>
      <c r="O395" s="4"/>
      <c r="P395" s="4" t="s">
        <v>35</v>
      </c>
      <c r="Q395" s="4" t="str">
        <f t="shared" si="85"/>
        <v>Laki-Laki</v>
      </c>
      <c r="R395" s="4">
        <f t="shared" si="78"/>
        <v>1</v>
      </c>
      <c r="S395" s="4" t="str">
        <f t="shared" si="82"/>
        <v>1</v>
      </c>
      <c r="T395" s="4">
        <f t="shared" si="79"/>
        <v>0</v>
      </c>
      <c r="U395" s="29"/>
      <c r="V395" s="30" t="s">
        <v>50</v>
      </c>
      <c r="W395" s="30"/>
      <c r="X395" s="30"/>
      <c r="Y395" s="30"/>
      <c r="Z395" s="30"/>
      <c r="AA395" s="30"/>
      <c r="AB395" s="29"/>
      <c r="AC395" s="29"/>
      <c r="AD395" s="37">
        <f t="shared" si="87"/>
        <v>28102</v>
      </c>
      <c r="AE395" s="3" t="str">
        <f t="shared" ca="1" si="86"/>
        <v>49 Tahun 8 bulan 24 Hari</v>
      </c>
      <c r="AF395" s="38">
        <f t="shared" si="88"/>
        <v>50041</v>
      </c>
    </row>
    <row r="396" spans="1:32" s="7" customFormat="1" ht="32.15" customHeight="1" x14ac:dyDescent="0.35">
      <c r="A396" s="26">
        <f t="shared" si="77"/>
        <v>371</v>
      </c>
      <c r="B396" s="27" t="s">
        <v>1159</v>
      </c>
      <c r="C396" s="26"/>
      <c r="D396" s="50" t="s">
        <v>1174</v>
      </c>
      <c r="E396" s="24" t="s">
        <v>108</v>
      </c>
      <c r="F396" s="24"/>
      <c r="G396" s="3"/>
      <c r="H396" s="4"/>
      <c r="I396" s="33"/>
      <c r="J396" s="84"/>
      <c r="K396" s="3" t="str">
        <f t="shared" ca="1" si="83"/>
        <v/>
      </c>
      <c r="L396" s="30" t="s">
        <v>88</v>
      </c>
      <c r="M396" s="49"/>
      <c r="N396" s="3" t="str">
        <f t="shared" ca="1" si="84"/>
        <v/>
      </c>
      <c r="O396" s="4"/>
      <c r="P396" s="4"/>
      <c r="Q396" s="4" t="str">
        <f t="shared" si="85"/>
        <v/>
      </c>
      <c r="R396" s="4">
        <f t="shared" si="78"/>
        <v>1</v>
      </c>
      <c r="S396" s="4" t="str">
        <f t="shared" si="82"/>
        <v>0</v>
      </c>
      <c r="T396" s="4">
        <f t="shared" si="79"/>
        <v>1</v>
      </c>
      <c r="U396" s="29"/>
      <c r="V396" s="30" t="s">
        <v>50</v>
      </c>
      <c r="W396" s="30"/>
      <c r="X396" s="30"/>
      <c r="Y396" s="30"/>
      <c r="Z396" s="30"/>
      <c r="AA396" s="30"/>
      <c r="AB396" s="29"/>
      <c r="AC396" s="29"/>
      <c r="AD396" s="37" t="str">
        <f t="shared" si="87"/>
        <v/>
      </c>
      <c r="AE396" s="3" t="str">
        <f t="shared" ca="1" si="86"/>
        <v/>
      </c>
      <c r="AF396" s="38" t="str">
        <f t="shared" si="88"/>
        <v/>
      </c>
    </row>
    <row r="397" spans="1:32" s="7" customFormat="1" ht="32.15" customHeight="1" x14ac:dyDescent="0.35">
      <c r="A397" s="26">
        <f t="shared" si="77"/>
        <v>372</v>
      </c>
      <c r="B397" s="27" t="s">
        <v>1159</v>
      </c>
      <c r="C397" s="26"/>
      <c r="D397" s="50" t="s">
        <v>1174</v>
      </c>
      <c r="E397" s="39" t="s">
        <v>108</v>
      </c>
      <c r="F397" s="39"/>
      <c r="G397" s="25"/>
      <c r="H397" s="4"/>
      <c r="I397" s="25"/>
      <c r="J397" s="5"/>
      <c r="K397" s="3" t="str">
        <f t="shared" ca="1" si="83"/>
        <v/>
      </c>
      <c r="L397" s="30" t="s">
        <v>88</v>
      </c>
      <c r="M397" s="5"/>
      <c r="N397" s="3" t="str">
        <f t="shared" ca="1" si="84"/>
        <v/>
      </c>
      <c r="O397" s="35"/>
      <c r="P397" s="4"/>
      <c r="Q397" s="4" t="str">
        <f t="shared" si="85"/>
        <v/>
      </c>
      <c r="R397" s="4">
        <f t="shared" si="78"/>
        <v>1</v>
      </c>
      <c r="S397" s="4" t="str">
        <f t="shared" si="82"/>
        <v>0</v>
      </c>
      <c r="T397" s="4">
        <f t="shared" si="79"/>
        <v>1</v>
      </c>
      <c r="U397" s="29"/>
      <c r="V397" s="30" t="s">
        <v>50</v>
      </c>
      <c r="W397" s="30"/>
      <c r="X397" s="30"/>
      <c r="Y397" s="30"/>
      <c r="Z397" s="30"/>
      <c r="AA397" s="30"/>
      <c r="AB397" s="29"/>
      <c r="AC397" s="29"/>
      <c r="AD397" s="37" t="str">
        <f t="shared" si="87"/>
        <v/>
      </c>
      <c r="AE397" s="3" t="str">
        <f t="shared" ca="1" si="86"/>
        <v/>
      </c>
      <c r="AF397" s="38" t="str">
        <f t="shared" si="88"/>
        <v/>
      </c>
    </row>
    <row r="398" spans="1:32" s="7" customFormat="1" ht="32.15" customHeight="1" x14ac:dyDescent="0.35">
      <c r="A398" s="26">
        <f t="shared" si="77"/>
        <v>373</v>
      </c>
      <c r="B398" s="27" t="s">
        <v>1159</v>
      </c>
      <c r="C398" s="256" t="s">
        <v>1180</v>
      </c>
      <c r="D398" s="257"/>
      <c r="E398" s="45" t="s">
        <v>1181</v>
      </c>
      <c r="F398" s="24" t="s">
        <v>43</v>
      </c>
      <c r="G398" s="44" t="s">
        <v>1182</v>
      </c>
      <c r="H398" s="56" t="s">
        <v>188</v>
      </c>
      <c r="I398" s="36" t="s">
        <v>86</v>
      </c>
      <c r="J398" s="47" t="s">
        <v>338</v>
      </c>
      <c r="K398" s="3" t="str">
        <f t="shared" ca="1" si="83"/>
        <v xml:space="preserve">2 Tahun 11 bulan </v>
      </c>
      <c r="L398" s="30" t="s">
        <v>346</v>
      </c>
      <c r="M398" s="47" t="s">
        <v>338</v>
      </c>
      <c r="N398" s="3" t="str">
        <f t="shared" ca="1" si="84"/>
        <v xml:space="preserve">2 Tahun 11 bulan </v>
      </c>
      <c r="O398" s="36"/>
      <c r="P398" s="4" t="s">
        <v>35</v>
      </c>
      <c r="Q398" s="4" t="str">
        <f t="shared" si="85"/>
        <v>Laki-Laki</v>
      </c>
      <c r="R398" s="4">
        <f t="shared" si="78"/>
        <v>1</v>
      </c>
      <c r="S398" s="4" t="str">
        <f t="shared" si="82"/>
        <v>1</v>
      </c>
      <c r="T398" s="4">
        <f t="shared" si="79"/>
        <v>0</v>
      </c>
      <c r="U398" s="29"/>
      <c r="V398" s="30" t="s">
        <v>50</v>
      </c>
      <c r="W398" s="30"/>
      <c r="X398" s="30"/>
      <c r="Y398" s="30"/>
      <c r="Z398" s="30"/>
      <c r="AA398" s="30"/>
      <c r="AB398" s="29"/>
      <c r="AC398" s="29"/>
      <c r="AD398" s="37">
        <f t="shared" si="87"/>
        <v>28407</v>
      </c>
      <c r="AE398" s="3" t="str">
        <f t="shared" ca="1" si="86"/>
        <v>48 Tahun 10 bulan 23 Hari</v>
      </c>
      <c r="AF398" s="38">
        <f t="shared" si="88"/>
        <v>50345</v>
      </c>
    </row>
    <row r="399" spans="1:32" s="7" customFormat="1" ht="32.15" customHeight="1" x14ac:dyDescent="0.35">
      <c r="A399" s="26">
        <f t="shared" si="77"/>
        <v>374</v>
      </c>
      <c r="B399" s="27" t="s">
        <v>1159</v>
      </c>
      <c r="C399" s="26"/>
      <c r="D399" s="50" t="s">
        <v>1174</v>
      </c>
      <c r="E399" s="24" t="s">
        <v>1183</v>
      </c>
      <c r="F399" s="24" t="s">
        <v>43</v>
      </c>
      <c r="G399" s="4" t="s">
        <v>1184</v>
      </c>
      <c r="H399" s="4" t="s">
        <v>94</v>
      </c>
      <c r="I399" s="33" t="s">
        <v>107</v>
      </c>
      <c r="J399" s="5">
        <v>44561</v>
      </c>
      <c r="K399" s="3" t="str">
        <f t="shared" ca="1" si="83"/>
        <v xml:space="preserve">4 Tahun 8 bulan </v>
      </c>
      <c r="L399" s="30" t="s">
        <v>88</v>
      </c>
      <c r="M399" s="5">
        <v>44561</v>
      </c>
      <c r="N399" s="3" t="str">
        <f t="shared" ca="1" si="84"/>
        <v xml:space="preserve">4 Tahun 8 bulan </v>
      </c>
      <c r="O399" s="4"/>
      <c r="P399" s="4" t="s">
        <v>35</v>
      </c>
      <c r="Q399" s="4" t="str">
        <f t="shared" si="85"/>
        <v>Laki-Laki</v>
      </c>
      <c r="R399" s="4">
        <f t="shared" si="78"/>
        <v>1</v>
      </c>
      <c r="S399" s="4" t="str">
        <f t="shared" si="82"/>
        <v>1</v>
      </c>
      <c r="T399" s="4">
        <f t="shared" si="79"/>
        <v>0</v>
      </c>
      <c r="U399" s="29"/>
      <c r="V399" s="30" t="s">
        <v>50</v>
      </c>
      <c r="W399" s="30"/>
      <c r="X399" s="30"/>
      <c r="Y399" s="30"/>
      <c r="Z399" s="30"/>
      <c r="AA399" s="30"/>
      <c r="AB399" s="29"/>
      <c r="AC399" s="29"/>
      <c r="AD399" s="37">
        <f t="shared" si="87"/>
        <v>24803</v>
      </c>
      <c r="AE399" s="3" t="str">
        <f t="shared" ca="1" si="86"/>
        <v>58 Tahun 9 bulan 5 Hari</v>
      </c>
      <c r="AF399" s="38">
        <f t="shared" si="88"/>
        <v>46722</v>
      </c>
    </row>
    <row r="400" spans="1:32" s="7" customFormat="1" ht="32.15" customHeight="1" x14ac:dyDescent="0.35">
      <c r="A400" s="26">
        <f t="shared" si="77"/>
        <v>375</v>
      </c>
      <c r="B400" s="27" t="s">
        <v>1159</v>
      </c>
      <c r="C400" s="26"/>
      <c r="D400" s="50" t="s">
        <v>1174</v>
      </c>
      <c r="E400" s="93" t="s">
        <v>1185</v>
      </c>
      <c r="F400" s="24" t="s">
        <v>43</v>
      </c>
      <c r="G400" s="94" t="s">
        <v>1186</v>
      </c>
      <c r="H400" s="4" t="s">
        <v>94</v>
      </c>
      <c r="I400" s="25" t="s">
        <v>61</v>
      </c>
      <c r="J400" s="5">
        <v>44561</v>
      </c>
      <c r="K400" s="3" t="str">
        <f t="shared" ca="1" si="83"/>
        <v xml:space="preserve">4 Tahun 8 bulan </v>
      </c>
      <c r="L400" s="30" t="s">
        <v>88</v>
      </c>
      <c r="M400" s="5">
        <v>44561</v>
      </c>
      <c r="N400" s="3" t="str">
        <f t="shared" ca="1" si="84"/>
        <v xml:space="preserve">4 Tahun 8 bulan </v>
      </c>
      <c r="O400" s="56"/>
      <c r="P400" s="4" t="s">
        <v>35</v>
      </c>
      <c r="Q400" s="4" t="str">
        <f t="shared" si="85"/>
        <v>Perempuan</v>
      </c>
      <c r="R400" s="4">
        <f t="shared" si="78"/>
        <v>1</v>
      </c>
      <c r="S400" s="4" t="str">
        <f t="shared" si="82"/>
        <v>1</v>
      </c>
      <c r="T400" s="4">
        <f t="shared" si="79"/>
        <v>0</v>
      </c>
      <c r="U400" s="29"/>
      <c r="V400" s="30"/>
      <c r="W400" s="30"/>
      <c r="X400" s="30"/>
      <c r="Y400" s="30"/>
      <c r="Z400" s="30"/>
      <c r="AA400" s="30"/>
      <c r="AB400" s="29"/>
      <c r="AC400" s="29"/>
      <c r="AD400" s="37">
        <f t="shared" si="87"/>
        <v>29201</v>
      </c>
      <c r="AE400" s="3" t="str">
        <f t="shared" ca="1" si="86"/>
        <v>46 Tahun 8 bulan 20 Hari</v>
      </c>
      <c r="AF400" s="38">
        <f t="shared" si="88"/>
        <v>51136</v>
      </c>
    </row>
    <row r="401" spans="1:32" s="7" customFormat="1" ht="32.15" customHeight="1" x14ac:dyDescent="0.35">
      <c r="A401" s="26">
        <f t="shared" si="77"/>
        <v>376</v>
      </c>
      <c r="B401" s="27" t="s">
        <v>1159</v>
      </c>
      <c r="C401" s="26"/>
      <c r="D401" s="50" t="s">
        <v>1174</v>
      </c>
      <c r="E401" s="24" t="s">
        <v>1187</v>
      </c>
      <c r="F401" s="24" t="s">
        <v>43</v>
      </c>
      <c r="G401" s="3" t="s">
        <v>1188</v>
      </c>
      <c r="H401" s="56" t="s">
        <v>102</v>
      </c>
      <c r="I401" s="33" t="s">
        <v>184</v>
      </c>
      <c r="J401" s="5">
        <v>44561</v>
      </c>
      <c r="K401" s="3" t="str">
        <f t="shared" ca="1" si="83"/>
        <v xml:space="preserve">4 Tahun 8 bulan </v>
      </c>
      <c r="L401" s="30" t="s">
        <v>88</v>
      </c>
      <c r="M401" s="5">
        <v>44561</v>
      </c>
      <c r="N401" s="3" t="str">
        <f t="shared" ca="1" si="84"/>
        <v xml:space="preserve">4 Tahun 8 bulan </v>
      </c>
      <c r="O401" s="4"/>
      <c r="P401" s="4" t="s">
        <v>35</v>
      </c>
      <c r="Q401" s="4" t="str">
        <f t="shared" si="85"/>
        <v>Perempuan</v>
      </c>
      <c r="R401" s="4">
        <f t="shared" si="78"/>
        <v>1</v>
      </c>
      <c r="S401" s="4" t="str">
        <f t="shared" si="82"/>
        <v>1</v>
      </c>
      <c r="T401" s="4">
        <f t="shared" si="79"/>
        <v>0</v>
      </c>
      <c r="U401" s="29"/>
      <c r="V401" s="30"/>
      <c r="W401" s="30"/>
      <c r="X401" s="30"/>
      <c r="Y401" s="30"/>
      <c r="Z401" s="30"/>
      <c r="AA401" s="30"/>
      <c r="AB401" s="29"/>
      <c r="AC401" s="29"/>
      <c r="AD401" s="37">
        <f t="shared" si="87"/>
        <v>30104</v>
      </c>
      <c r="AE401" s="3" t="str">
        <f t="shared" ca="1" si="86"/>
        <v>44 Tahun 2 bulan 30 Hari</v>
      </c>
      <c r="AF401" s="38">
        <f t="shared" si="88"/>
        <v>52048</v>
      </c>
    </row>
    <row r="402" spans="1:32" s="7" customFormat="1" ht="36" customHeight="1" x14ac:dyDescent="0.35">
      <c r="A402" s="26">
        <f t="shared" ref="A402:A465" si="89">A401+1</f>
        <v>377</v>
      </c>
      <c r="B402" s="27" t="s">
        <v>1159</v>
      </c>
      <c r="C402" s="256" t="s">
        <v>1189</v>
      </c>
      <c r="D402" s="257"/>
      <c r="E402" s="24" t="s">
        <v>1419</v>
      </c>
      <c r="F402" s="24" t="s">
        <v>43</v>
      </c>
      <c r="G402" s="3" t="s">
        <v>1420</v>
      </c>
      <c r="H402" s="4" t="s">
        <v>112</v>
      </c>
      <c r="I402" s="33" t="s">
        <v>1421</v>
      </c>
      <c r="J402" s="5">
        <v>46260</v>
      </c>
      <c r="K402" s="3" t="str">
        <f t="shared" ca="1" si="83"/>
        <v xml:space="preserve">0 Tahun 0 bulan </v>
      </c>
      <c r="L402" s="30" t="s">
        <v>346</v>
      </c>
      <c r="M402" s="5">
        <v>45916</v>
      </c>
      <c r="N402" s="3" t="str">
        <f t="shared" ca="1" si="84"/>
        <v xml:space="preserve">0 Tahun 11 bulan </v>
      </c>
      <c r="O402" s="36"/>
      <c r="P402" s="4" t="s">
        <v>35</v>
      </c>
      <c r="Q402" s="4" t="str">
        <f t="shared" si="85"/>
        <v>Laki-Laki</v>
      </c>
      <c r="R402" s="4">
        <f t="shared" si="78"/>
        <v>1</v>
      </c>
      <c r="S402" s="4" t="str">
        <f t="shared" si="82"/>
        <v>1</v>
      </c>
      <c r="T402" s="4">
        <f t="shared" si="79"/>
        <v>0</v>
      </c>
      <c r="U402" s="29"/>
      <c r="V402" s="30"/>
      <c r="W402" s="30"/>
      <c r="X402" s="30"/>
      <c r="Y402" s="30"/>
      <c r="Z402" s="30"/>
      <c r="AA402" s="30"/>
      <c r="AB402" s="29"/>
      <c r="AC402" s="29"/>
      <c r="AD402" s="37">
        <f t="shared" si="87"/>
        <v>29832</v>
      </c>
      <c r="AE402" s="3" t="str">
        <f t="shared" ca="1" si="86"/>
        <v>44 Tahun 11 bulan 29 Hari</v>
      </c>
      <c r="AF402" s="38">
        <f t="shared" si="88"/>
        <v>51775</v>
      </c>
    </row>
    <row r="403" spans="1:32" s="7" customFormat="1" ht="32.15" customHeight="1" x14ac:dyDescent="0.35">
      <c r="A403" s="26">
        <f t="shared" si="89"/>
        <v>378</v>
      </c>
      <c r="B403" s="27" t="s">
        <v>1159</v>
      </c>
      <c r="C403" s="26"/>
      <c r="D403" s="50" t="s">
        <v>1174</v>
      </c>
      <c r="E403" s="39" t="s">
        <v>1194</v>
      </c>
      <c r="F403" s="24" t="s">
        <v>43</v>
      </c>
      <c r="G403" s="25" t="s">
        <v>1195</v>
      </c>
      <c r="H403" s="4" t="s">
        <v>94</v>
      </c>
      <c r="I403" s="25" t="s">
        <v>61</v>
      </c>
      <c r="J403" s="5">
        <v>44561</v>
      </c>
      <c r="K403" s="3" t="str">
        <f t="shared" ca="1" si="83"/>
        <v xml:space="preserve">4 Tahun 8 bulan </v>
      </c>
      <c r="L403" s="30" t="s">
        <v>88</v>
      </c>
      <c r="M403" s="5">
        <v>44561</v>
      </c>
      <c r="N403" s="3" t="str">
        <f t="shared" ca="1" si="84"/>
        <v xml:space="preserve">4 Tahun 8 bulan </v>
      </c>
      <c r="O403" s="35"/>
      <c r="P403" s="4" t="s">
        <v>35</v>
      </c>
      <c r="Q403" s="4" t="str">
        <f t="shared" si="85"/>
        <v/>
      </c>
      <c r="R403" s="4">
        <f t="shared" si="78"/>
        <v>1</v>
      </c>
      <c r="S403" s="4" t="str">
        <f t="shared" si="82"/>
        <v>1</v>
      </c>
      <c r="T403" s="4">
        <f t="shared" si="79"/>
        <v>0</v>
      </c>
      <c r="U403" s="29"/>
      <c r="V403" s="30"/>
      <c r="W403" s="30"/>
      <c r="X403" s="30"/>
      <c r="Y403" s="30"/>
      <c r="Z403" s="30"/>
      <c r="AA403" s="30"/>
      <c r="AB403" s="29"/>
      <c r="AC403" s="29"/>
      <c r="AD403" s="37">
        <f t="shared" si="87"/>
        <v>30343</v>
      </c>
      <c r="AE403" s="3" t="str">
        <f t="shared" ca="1" si="86"/>
        <v>43 Tahun 7 bulan 5 Hari</v>
      </c>
      <c r="AF403" s="38">
        <f t="shared" si="88"/>
        <v>52263</v>
      </c>
    </row>
    <row r="404" spans="1:32" s="7" customFormat="1" ht="32.15" customHeight="1" x14ac:dyDescent="0.35">
      <c r="A404" s="26">
        <f t="shared" si="89"/>
        <v>379</v>
      </c>
      <c r="B404" s="27" t="s">
        <v>1159</v>
      </c>
      <c r="C404" s="26"/>
      <c r="D404" s="50" t="s">
        <v>1174</v>
      </c>
      <c r="E404" s="51" t="s">
        <v>1196</v>
      </c>
      <c r="F404" s="24" t="s">
        <v>43</v>
      </c>
      <c r="G404" s="52" t="s">
        <v>1197</v>
      </c>
      <c r="H404" s="4" t="s">
        <v>662</v>
      </c>
      <c r="I404" s="33" t="s">
        <v>107</v>
      </c>
      <c r="J404" s="5">
        <v>44561</v>
      </c>
      <c r="K404" s="3" t="str">
        <f t="shared" ca="1" si="83"/>
        <v xml:space="preserve">4 Tahun 8 bulan </v>
      </c>
      <c r="L404" s="30" t="s">
        <v>88</v>
      </c>
      <c r="M404" s="5">
        <v>44561</v>
      </c>
      <c r="N404" s="3" t="str">
        <f t="shared" ca="1" si="84"/>
        <v xml:space="preserve">4 Tahun 8 bulan </v>
      </c>
      <c r="O404" s="4"/>
      <c r="P404" s="4" t="s">
        <v>35</v>
      </c>
      <c r="Q404" s="4" t="str">
        <f t="shared" si="85"/>
        <v>Laki-Laki</v>
      </c>
      <c r="R404" s="4">
        <f t="shared" si="78"/>
        <v>1</v>
      </c>
      <c r="S404" s="4" t="str">
        <f t="shared" si="82"/>
        <v>1</v>
      </c>
      <c r="T404" s="4">
        <f t="shared" si="79"/>
        <v>0</v>
      </c>
      <c r="U404" s="29"/>
      <c r="V404" s="30" t="s">
        <v>50</v>
      </c>
      <c r="W404" s="30"/>
      <c r="X404" s="30"/>
      <c r="Y404" s="30"/>
      <c r="Z404" s="30"/>
      <c r="AA404" s="30"/>
      <c r="AB404" s="29"/>
      <c r="AC404" s="29"/>
      <c r="AD404" s="37">
        <f t="shared" si="87"/>
        <v>27035</v>
      </c>
      <c r="AE404" s="3" t="str">
        <f t="shared" ca="1" si="86"/>
        <v>52 Tahun 7 bulan 26 Hari</v>
      </c>
      <c r="AF404" s="38">
        <f t="shared" si="88"/>
        <v>48976</v>
      </c>
    </row>
    <row r="405" spans="1:32" s="7" customFormat="1" ht="32.15" customHeight="1" x14ac:dyDescent="0.35">
      <c r="A405" s="26">
        <f t="shared" si="89"/>
        <v>380</v>
      </c>
      <c r="B405" s="27" t="s">
        <v>1159</v>
      </c>
      <c r="C405" s="26"/>
      <c r="D405" s="50" t="s">
        <v>1174</v>
      </c>
      <c r="E405" s="24" t="s">
        <v>108</v>
      </c>
      <c r="F405" s="24"/>
      <c r="G405" s="4"/>
      <c r="H405" s="4"/>
      <c r="I405" s="33"/>
      <c r="J405" s="49"/>
      <c r="K405" s="3" t="str">
        <f t="shared" ca="1" si="83"/>
        <v/>
      </c>
      <c r="L405" s="30" t="s">
        <v>88</v>
      </c>
      <c r="M405" s="49"/>
      <c r="N405" s="3" t="str">
        <f t="shared" ca="1" si="84"/>
        <v/>
      </c>
      <c r="O405" s="4"/>
      <c r="P405" s="4"/>
      <c r="Q405" s="4" t="str">
        <f t="shared" si="85"/>
        <v/>
      </c>
      <c r="R405" s="4">
        <f t="shared" si="78"/>
        <v>1</v>
      </c>
      <c r="S405" s="4" t="str">
        <f t="shared" si="82"/>
        <v>0</v>
      </c>
      <c r="T405" s="4">
        <f t="shared" si="79"/>
        <v>1</v>
      </c>
      <c r="U405" s="29"/>
      <c r="V405" s="30"/>
      <c r="W405" s="30"/>
      <c r="X405" s="30"/>
      <c r="Y405" s="30"/>
      <c r="Z405" s="30"/>
      <c r="AA405" s="30"/>
      <c r="AB405" s="29"/>
      <c r="AC405" s="29"/>
      <c r="AD405" s="37" t="str">
        <f t="shared" si="87"/>
        <v/>
      </c>
      <c r="AE405" s="3" t="str">
        <f t="shared" ca="1" si="86"/>
        <v/>
      </c>
      <c r="AF405" s="38" t="str">
        <f t="shared" si="88"/>
        <v/>
      </c>
    </row>
    <row r="406" spans="1:32" s="7" customFormat="1" ht="32.15" customHeight="1" x14ac:dyDescent="0.35">
      <c r="A406" s="26"/>
      <c r="B406" s="27" t="s">
        <v>1198</v>
      </c>
      <c r="C406" s="269" t="s">
        <v>1199</v>
      </c>
      <c r="D406" s="270"/>
      <c r="E406" s="24"/>
      <c r="F406" s="24"/>
      <c r="G406" s="4"/>
      <c r="H406" s="4"/>
      <c r="I406" s="33"/>
      <c r="J406" s="5"/>
      <c r="K406" s="3" t="str">
        <f t="shared" ca="1" si="83"/>
        <v/>
      </c>
      <c r="L406" s="30"/>
      <c r="M406" s="5"/>
      <c r="N406" s="3" t="str">
        <f t="shared" ca="1" si="84"/>
        <v/>
      </c>
      <c r="O406" s="4"/>
      <c r="P406" s="4"/>
      <c r="Q406" s="4"/>
      <c r="R406" s="4"/>
      <c r="S406" s="4"/>
      <c r="T406" s="4"/>
      <c r="U406" s="29"/>
      <c r="V406" s="30"/>
      <c r="W406" s="30"/>
      <c r="X406" s="30"/>
      <c r="Y406" s="30"/>
      <c r="Z406" s="29"/>
      <c r="AA406" s="29"/>
      <c r="AB406" s="29"/>
      <c r="AC406" s="29"/>
      <c r="AD406" s="37" t="str">
        <f t="shared" si="87"/>
        <v/>
      </c>
      <c r="AE406" s="3" t="str">
        <f t="shared" ca="1" si="86"/>
        <v/>
      </c>
      <c r="AF406" s="38" t="str">
        <f t="shared" si="88"/>
        <v/>
      </c>
    </row>
    <row r="407" spans="1:32" s="7" customFormat="1" ht="37.5" customHeight="1" x14ac:dyDescent="0.35">
      <c r="A407" s="26">
        <f>A405+1</f>
        <v>381</v>
      </c>
      <c r="B407" s="27" t="s">
        <v>1198</v>
      </c>
      <c r="C407" s="278" t="s">
        <v>1200</v>
      </c>
      <c r="D407" s="279"/>
      <c r="E407" s="24" t="s">
        <v>1201</v>
      </c>
      <c r="F407" s="24" t="s">
        <v>43</v>
      </c>
      <c r="G407" s="3" t="s">
        <v>1202</v>
      </c>
      <c r="H407" s="4" t="s">
        <v>2880</v>
      </c>
      <c r="I407" s="33" t="s">
        <v>1108</v>
      </c>
      <c r="J407" s="5">
        <v>45974</v>
      </c>
      <c r="K407" s="3" t="str">
        <f t="shared" ca="1" si="83"/>
        <v xml:space="preserve">0 Tahun 9 bulan </v>
      </c>
      <c r="L407" s="30" t="s">
        <v>56</v>
      </c>
      <c r="M407" s="5" t="s">
        <v>69</v>
      </c>
      <c r="N407" s="3" t="str">
        <f t="shared" ca="1" si="84"/>
        <v xml:space="preserve">5 Tahun 7 bulan </v>
      </c>
      <c r="O407" s="36" t="s">
        <v>81</v>
      </c>
      <c r="P407" s="4" t="s">
        <v>35</v>
      </c>
      <c r="Q407" s="4" t="str">
        <f t="shared" si="85"/>
        <v>Laki-Laki</v>
      </c>
      <c r="R407" s="4">
        <f>R405</f>
        <v>1</v>
      </c>
      <c r="S407" s="4" t="str">
        <f t="shared" ref="S407:S430" si="90">IF(E407="LOWONG","0","1")</f>
        <v>1</v>
      </c>
      <c r="T407" s="4">
        <f t="shared" si="79"/>
        <v>0</v>
      </c>
      <c r="U407" s="29"/>
      <c r="V407" s="30" t="s">
        <v>50</v>
      </c>
      <c r="W407" s="30"/>
      <c r="X407" s="30"/>
      <c r="Y407" s="30"/>
      <c r="Z407" s="30"/>
      <c r="AA407" s="30"/>
      <c r="AB407" s="29"/>
      <c r="AC407" s="29"/>
      <c r="AD407" s="37">
        <f t="shared" si="87"/>
        <v>26894</v>
      </c>
      <c r="AE407" s="3" t="str">
        <f t="shared" ca="1" si="86"/>
        <v>53 Tahun 0 bulan 14 Hari</v>
      </c>
      <c r="AF407" s="38">
        <f t="shared" si="88"/>
        <v>48823</v>
      </c>
    </row>
    <row r="408" spans="1:32" s="7" customFormat="1" ht="32.15" customHeight="1" x14ac:dyDescent="0.35">
      <c r="A408" s="26">
        <f t="shared" si="89"/>
        <v>382</v>
      </c>
      <c r="B408" s="27" t="s">
        <v>1198</v>
      </c>
      <c r="C408" s="256" t="s">
        <v>1203</v>
      </c>
      <c r="D408" s="257"/>
      <c r="E408" s="51" t="s">
        <v>1204</v>
      </c>
      <c r="F408" s="24" t="s">
        <v>43</v>
      </c>
      <c r="G408" s="4" t="s">
        <v>1205</v>
      </c>
      <c r="H408" s="4" t="s">
        <v>385</v>
      </c>
      <c r="I408" s="4" t="s">
        <v>1206</v>
      </c>
      <c r="J408" s="5">
        <v>45916</v>
      </c>
      <c r="K408" s="3" t="str">
        <f t="shared" ca="1" si="83"/>
        <v xml:space="preserve">0 Tahun 11 bulan </v>
      </c>
      <c r="L408" s="30" t="s">
        <v>79</v>
      </c>
      <c r="M408" s="96">
        <v>45916</v>
      </c>
      <c r="N408" s="3" t="str">
        <f t="shared" ca="1" si="84"/>
        <v xml:space="preserve">0 Tahun 11 bulan </v>
      </c>
      <c r="O408" s="4"/>
      <c r="P408" s="4" t="str">
        <f t="shared" ref="P408" si="91">P423</f>
        <v>Islam</v>
      </c>
      <c r="Q408" s="4" t="str">
        <f t="shared" si="85"/>
        <v>Laki-Laki</v>
      </c>
      <c r="R408" s="4">
        <f t="shared" si="78"/>
        <v>1</v>
      </c>
      <c r="S408" s="4" t="str">
        <f t="shared" si="90"/>
        <v>1</v>
      </c>
      <c r="T408" s="4">
        <f t="shared" si="79"/>
        <v>0</v>
      </c>
      <c r="U408" s="29"/>
      <c r="V408" s="30" t="s">
        <v>50</v>
      </c>
      <c r="W408" s="30"/>
      <c r="X408" s="30"/>
      <c r="Y408" s="30"/>
      <c r="Z408" s="30"/>
      <c r="AA408" s="30"/>
      <c r="AB408" s="29"/>
      <c r="AC408" s="29"/>
      <c r="AD408" s="37">
        <f t="shared" si="87"/>
        <v>27192</v>
      </c>
      <c r="AE408" s="3" t="str">
        <f t="shared" ca="1" si="86"/>
        <v>52 Tahun 2 bulan 20 Hari</v>
      </c>
      <c r="AF408" s="38">
        <f t="shared" si="88"/>
        <v>49126</v>
      </c>
    </row>
    <row r="409" spans="1:32" s="7" customFormat="1" ht="32.15" customHeight="1" x14ac:dyDescent="0.35">
      <c r="A409" s="26">
        <f t="shared" si="89"/>
        <v>383</v>
      </c>
      <c r="B409" s="27" t="s">
        <v>1198</v>
      </c>
      <c r="C409" s="26"/>
      <c r="D409" s="50" t="s">
        <v>1207</v>
      </c>
      <c r="E409" s="51" t="s">
        <v>1208</v>
      </c>
      <c r="F409" s="24" t="s">
        <v>43</v>
      </c>
      <c r="G409" s="52" t="s">
        <v>1209</v>
      </c>
      <c r="H409" s="4" t="s">
        <v>545</v>
      </c>
      <c r="I409" s="33" t="s">
        <v>441</v>
      </c>
      <c r="J409" s="5">
        <v>44561</v>
      </c>
      <c r="K409" s="3" t="str">
        <f t="shared" ca="1" si="83"/>
        <v xml:space="preserve">4 Tahun 8 bulan </v>
      </c>
      <c r="L409" s="30" t="s">
        <v>88</v>
      </c>
      <c r="M409" s="5">
        <v>44561</v>
      </c>
      <c r="N409" s="3" t="str">
        <f t="shared" ca="1" si="84"/>
        <v xml:space="preserve">4 Tahun 8 bulan </v>
      </c>
      <c r="O409" s="4" t="s">
        <v>1210</v>
      </c>
      <c r="P409" s="4" t="s">
        <v>35</v>
      </c>
      <c r="Q409" s="4" t="str">
        <f t="shared" si="85"/>
        <v>Laki-Laki</v>
      </c>
      <c r="R409" s="4">
        <f t="shared" si="78"/>
        <v>1</v>
      </c>
      <c r="S409" s="4" t="str">
        <f t="shared" si="90"/>
        <v>1</v>
      </c>
      <c r="T409" s="4">
        <f t="shared" si="79"/>
        <v>0</v>
      </c>
      <c r="U409" s="29"/>
      <c r="V409" s="30" t="s">
        <v>50</v>
      </c>
      <c r="W409" s="30"/>
      <c r="X409" s="30"/>
      <c r="Y409" s="30"/>
      <c r="Z409" s="30"/>
      <c r="AA409" s="30"/>
      <c r="AB409" s="29"/>
      <c r="AC409" s="29"/>
      <c r="AD409" s="37">
        <f t="shared" si="87"/>
        <v>25884</v>
      </c>
      <c r="AE409" s="3" t="str">
        <f t="shared" ca="1" si="86"/>
        <v>55 Tahun 9 bulan 20 Hari</v>
      </c>
      <c r="AF409" s="38">
        <f t="shared" si="88"/>
        <v>47818</v>
      </c>
    </row>
    <row r="410" spans="1:32" s="7" customFormat="1" ht="32.15" customHeight="1" x14ac:dyDescent="0.35">
      <c r="A410" s="26">
        <f t="shared" si="89"/>
        <v>384</v>
      </c>
      <c r="B410" s="27" t="s">
        <v>1198</v>
      </c>
      <c r="C410" s="26"/>
      <c r="D410" s="50" t="s">
        <v>1211</v>
      </c>
      <c r="E410" s="24" t="s">
        <v>1212</v>
      </c>
      <c r="F410" s="24" t="s">
        <v>43</v>
      </c>
      <c r="G410" s="3" t="s">
        <v>1213</v>
      </c>
      <c r="H410" s="56" t="s">
        <v>1214</v>
      </c>
      <c r="I410" s="33" t="s">
        <v>1215</v>
      </c>
      <c r="J410" s="5">
        <v>46087</v>
      </c>
      <c r="K410" s="90">
        <v>46087</v>
      </c>
      <c r="L410" s="30" t="s">
        <v>200</v>
      </c>
      <c r="M410" s="5">
        <v>46087</v>
      </c>
      <c r="N410" s="3" t="str">
        <f t="shared" ca="1" si="84"/>
        <v xml:space="preserve">0 Tahun 5 bulan </v>
      </c>
      <c r="O410" s="4"/>
      <c r="P410" s="4" t="s">
        <v>35</v>
      </c>
      <c r="Q410" s="4" t="str">
        <f t="shared" si="85"/>
        <v>Perempuan</v>
      </c>
      <c r="R410" s="4">
        <f t="shared" si="78"/>
        <v>1</v>
      </c>
      <c r="S410" s="4" t="str">
        <f t="shared" si="90"/>
        <v>1</v>
      </c>
      <c r="T410" s="4">
        <f t="shared" si="79"/>
        <v>0</v>
      </c>
      <c r="U410" s="29"/>
      <c r="V410" s="30" t="s">
        <v>50</v>
      </c>
      <c r="W410" s="30"/>
      <c r="X410" s="30"/>
      <c r="Y410" s="30"/>
      <c r="Z410" s="30"/>
      <c r="AA410" s="30"/>
      <c r="AB410" s="29"/>
      <c r="AC410" s="29"/>
      <c r="AD410" s="37">
        <f t="shared" si="87"/>
        <v>31582</v>
      </c>
      <c r="AE410" s="3" t="str">
        <f t="shared" ca="1" si="86"/>
        <v>40 Tahun 2 bulan 13 Hari</v>
      </c>
      <c r="AF410" s="38">
        <f t="shared" si="88"/>
        <v>53509</v>
      </c>
    </row>
    <row r="411" spans="1:32" s="7" customFormat="1" ht="32.15" customHeight="1" x14ac:dyDescent="0.35">
      <c r="A411" s="26">
        <f t="shared" si="89"/>
        <v>385</v>
      </c>
      <c r="B411" s="27" t="s">
        <v>1198</v>
      </c>
      <c r="C411" s="26"/>
      <c r="D411" s="50" t="s">
        <v>1216</v>
      </c>
      <c r="E411" s="24" t="s">
        <v>1217</v>
      </c>
      <c r="F411" s="24" t="s">
        <v>43</v>
      </c>
      <c r="G411" s="3" t="s">
        <v>1218</v>
      </c>
      <c r="H411" s="56" t="s">
        <v>159</v>
      </c>
      <c r="I411" s="33" t="s">
        <v>107</v>
      </c>
      <c r="J411" s="5">
        <v>44561</v>
      </c>
      <c r="K411" s="3" t="str">
        <f t="shared" ca="1" si="83"/>
        <v xml:space="preserve">4 Tahun 8 bulan </v>
      </c>
      <c r="L411" s="30" t="s">
        <v>88</v>
      </c>
      <c r="M411" s="5">
        <v>44561</v>
      </c>
      <c r="N411" s="3" t="str">
        <f t="shared" ca="1" si="84"/>
        <v xml:space="preserve">4 Tahun 8 bulan </v>
      </c>
      <c r="O411" s="4"/>
      <c r="P411" s="4" t="s">
        <v>35</v>
      </c>
      <c r="Q411" s="4" t="str">
        <f t="shared" si="85"/>
        <v>Perempuan</v>
      </c>
      <c r="R411" s="4">
        <f t="shared" si="78"/>
        <v>1</v>
      </c>
      <c r="S411" s="4" t="str">
        <f t="shared" si="90"/>
        <v>1</v>
      </c>
      <c r="T411" s="4">
        <f t="shared" si="79"/>
        <v>0</v>
      </c>
      <c r="U411" s="29"/>
      <c r="V411" s="30"/>
      <c r="W411" s="30"/>
      <c r="X411" s="30"/>
      <c r="Y411" s="30"/>
      <c r="Z411" s="30"/>
      <c r="AA411" s="30"/>
      <c r="AB411" s="29"/>
      <c r="AC411" s="29"/>
      <c r="AD411" s="37">
        <f t="shared" si="87"/>
        <v>29107</v>
      </c>
      <c r="AE411" s="3" t="str">
        <f t="shared" ca="1" si="86"/>
        <v>46 Tahun 11 bulan 23 Hari</v>
      </c>
      <c r="AF411" s="38">
        <f t="shared" si="88"/>
        <v>51044</v>
      </c>
    </row>
    <row r="412" spans="1:32" s="7" customFormat="1" ht="32.15" customHeight="1" x14ac:dyDescent="0.35">
      <c r="A412" s="26">
        <f t="shared" si="89"/>
        <v>386</v>
      </c>
      <c r="B412" s="27" t="s">
        <v>1198</v>
      </c>
      <c r="C412" s="256" t="s">
        <v>1219</v>
      </c>
      <c r="D412" s="257"/>
      <c r="E412" s="51" t="s">
        <v>1220</v>
      </c>
      <c r="F412" s="24" t="s">
        <v>43</v>
      </c>
      <c r="G412" s="52" t="s">
        <v>1221</v>
      </c>
      <c r="H412" s="4" t="s">
        <v>1222</v>
      </c>
      <c r="I412" s="33" t="s">
        <v>1223</v>
      </c>
      <c r="J412" s="5" t="s">
        <v>98</v>
      </c>
      <c r="K412" s="3" t="str">
        <f t="shared" ca="1" si="83"/>
        <v xml:space="preserve">3 Tahun 0 bulan </v>
      </c>
      <c r="L412" s="30" t="s">
        <v>346</v>
      </c>
      <c r="M412" s="5" t="s">
        <v>98</v>
      </c>
      <c r="N412" s="3" t="str">
        <f t="shared" ca="1" si="84"/>
        <v xml:space="preserve">3 Tahun 0 bulan </v>
      </c>
      <c r="O412" s="56"/>
      <c r="P412" s="4" t="s">
        <v>35</v>
      </c>
      <c r="Q412" s="4" t="str">
        <f t="shared" si="85"/>
        <v>Laki-Laki</v>
      </c>
      <c r="R412" s="4">
        <f t="shared" ref="R412:R471" si="92">R411</f>
        <v>1</v>
      </c>
      <c r="S412" s="4" t="str">
        <f t="shared" si="90"/>
        <v>1</v>
      </c>
      <c r="T412" s="4">
        <f t="shared" si="79"/>
        <v>0</v>
      </c>
      <c r="U412" s="29"/>
      <c r="V412" s="30" t="s">
        <v>50</v>
      </c>
      <c r="W412" s="30"/>
      <c r="X412" s="30"/>
      <c r="Y412" s="30"/>
      <c r="Z412" s="30"/>
      <c r="AA412" s="30"/>
      <c r="AB412" s="29"/>
      <c r="AC412" s="29"/>
      <c r="AD412" s="37">
        <f t="shared" si="87"/>
        <v>28198</v>
      </c>
      <c r="AE412" s="3" t="str">
        <f t="shared" ca="1" si="86"/>
        <v>49 Tahun 5 bulan 18 Hari</v>
      </c>
      <c r="AF412" s="38">
        <f t="shared" si="88"/>
        <v>50131</v>
      </c>
    </row>
    <row r="413" spans="1:32" s="7" customFormat="1" ht="32.15" customHeight="1" x14ac:dyDescent="0.35">
      <c r="A413" s="26">
        <f t="shared" si="89"/>
        <v>387</v>
      </c>
      <c r="B413" s="27" t="s">
        <v>1198</v>
      </c>
      <c r="C413" s="26"/>
      <c r="D413" s="50" t="s">
        <v>1224</v>
      </c>
      <c r="E413" s="39" t="s">
        <v>1225</v>
      </c>
      <c r="F413" s="24" t="s">
        <v>43</v>
      </c>
      <c r="G413" s="25" t="s">
        <v>1226</v>
      </c>
      <c r="H413" s="4" t="s">
        <v>1227</v>
      </c>
      <c r="I413" s="25" t="s">
        <v>1228</v>
      </c>
      <c r="J413" s="5">
        <v>44561</v>
      </c>
      <c r="K413" s="3" t="str">
        <f t="shared" ca="1" si="83"/>
        <v xml:space="preserve">4 Tahun 8 bulan </v>
      </c>
      <c r="L413" s="30" t="s">
        <v>88</v>
      </c>
      <c r="M413" s="5">
        <v>44561</v>
      </c>
      <c r="N413" s="3" t="str">
        <f t="shared" ca="1" si="84"/>
        <v xml:space="preserve">4 Tahun 8 bulan </v>
      </c>
      <c r="O413" s="35"/>
      <c r="P413" s="4" t="s">
        <v>35</v>
      </c>
      <c r="Q413" s="4" t="str">
        <f t="shared" si="85"/>
        <v>Perempuan</v>
      </c>
      <c r="R413" s="4">
        <f t="shared" si="92"/>
        <v>1</v>
      </c>
      <c r="S413" s="4" t="str">
        <f t="shared" si="90"/>
        <v>1</v>
      </c>
      <c r="T413" s="4">
        <f t="shared" si="79"/>
        <v>0</v>
      </c>
      <c r="U413" s="29"/>
      <c r="V413" s="30"/>
      <c r="W413" s="30"/>
      <c r="X413" s="30"/>
      <c r="Y413" s="30"/>
      <c r="Z413" s="30"/>
      <c r="AA413" s="30"/>
      <c r="AB413" s="29"/>
      <c r="AC413" s="29"/>
      <c r="AD413" s="37">
        <f t="shared" si="87"/>
        <v>30630</v>
      </c>
      <c r="AE413" s="3" t="str">
        <f t="shared" ca="1" si="86"/>
        <v>42 Tahun 9 bulan 22 Hari</v>
      </c>
      <c r="AF413" s="38">
        <f t="shared" si="88"/>
        <v>52566</v>
      </c>
    </row>
    <row r="414" spans="1:32" s="7" customFormat="1" ht="32.15" customHeight="1" x14ac:dyDescent="0.35">
      <c r="A414" s="26">
        <f t="shared" si="89"/>
        <v>388</v>
      </c>
      <c r="B414" s="27" t="s">
        <v>1198</v>
      </c>
      <c r="C414" s="26"/>
      <c r="D414" s="50" t="s">
        <v>1229</v>
      </c>
      <c r="E414" s="97" t="s">
        <v>1230</v>
      </c>
      <c r="F414" s="24" t="s">
        <v>43</v>
      </c>
      <c r="G414" s="86" t="s">
        <v>1231</v>
      </c>
      <c r="H414" s="98" t="s">
        <v>188</v>
      </c>
      <c r="I414" s="33" t="s">
        <v>859</v>
      </c>
      <c r="J414" s="5">
        <v>44561</v>
      </c>
      <c r="K414" s="3" t="str">
        <f t="shared" ca="1" si="83"/>
        <v xml:space="preserve">4 Tahun 8 bulan </v>
      </c>
      <c r="L414" s="30" t="s">
        <v>88</v>
      </c>
      <c r="M414" s="5">
        <v>44561</v>
      </c>
      <c r="N414" s="3" t="str">
        <f t="shared" ca="1" si="84"/>
        <v xml:space="preserve">4 Tahun 8 bulan </v>
      </c>
      <c r="O414" s="56"/>
      <c r="P414" s="4" t="s">
        <v>35</v>
      </c>
      <c r="Q414" s="4" t="str">
        <f t="shared" si="85"/>
        <v>Laki-Laki</v>
      </c>
      <c r="R414" s="4">
        <f t="shared" si="92"/>
        <v>1</v>
      </c>
      <c r="S414" s="4" t="str">
        <f t="shared" si="90"/>
        <v>1</v>
      </c>
      <c r="T414" s="4">
        <f t="shared" si="79"/>
        <v>0</v>
      </c>
      <c r="U414" s="29"/>
      <c r="V414" s="30" t="s">
        <v>50</v>
      </c>
      <c r="W414" s="30"/>
      <c r="X414" s="30"/>
      <c r="Y414" s="30"/>
      <c r="Z414" s="30"/>
      <c r="AA414" s="30"/>
      <c r="AB414" s="29"/>
      <c r="AC414" s="29"/>
      <c r="AD414" s="37">
        <f t="shared" si="87"/>
        <v>28670</v>
      </c>
      <c r="AE414" s="3" t="str">
        <f t="shared" ca="1" si="86"/>
        <v>48 Tahun 2 bulan 3 Hari</v>
      </c>
      <c r="AF414" s="38">
        <f t="shared" si="88"/>
        <v>50587</v>
      </c>
    </row>
    <row r="415" spans="1:32" s="7" customFormat="1" ht="32.15" customHeight="1" x14ac:dyDescent="0.35">
      <c r="A415" s="26">
        <f t="shared" si="89"/>
        <v>389</v>
      </c>
      <c r="B415" s="27" t="s">
        <v>1198</v>
      </c>
      <c r="C415" s="256" t="s">
        <v>1232</v>
      </c>
      <c r="D415" s="257"/>
      <c r="E415" s="39" t="s">
        <v>1245</v>
      </c>
      <c r="F415" s="24" t="s">
        <v>43</v>
      </c>
      <c r="G415" s="25" t="s">
        <v>1246</v>
      </c>
      <c r="H415" s="4" t="s">
        <v>1247</v>
      </c>
      <c r="I415" s="25" t="s">
        <v>441</v>
      </c>
      <c r="J415" s="5">
        <v>46198</v>
      </c>
      <c r="K415" s="3" t="str">
        <f t="shared" ca="1" si="83"/>
        <v xml:space="preserve">0 Tahun 2 bulan </v>
      </c>
      <c r="L415" s="30" t="s">
        <v>346</v>
      </c>
      <c r="M415" s="5">
        <v>46198</v>
      </c>
      <c r="N415" s="3" t="str">
        <f t="shared" ca="1" si="84"/>
        <v xml:space="preserve">0 Tahun 2 bulan </v>
      </c>
      <c r="O415" s="4"/>
      <c r="P415" s="4" t="s">
        <v>35</v>
      </c>
      <c r="Q415" s="4" t="str">
        <f t="shared" si="85"/>
        <v>Laki-Laki</v>
      </c>
      <c r="R415" s="4">
        <f t="shared" si="92"/>
        <v>1</v>
      </c>
      <c r="S415" s="4" t="str">
        <f t="shared" si="90"/>
        <v>1</v>
      </c>
      <c r="T415" s="4">
        <f t="shared" si="79"/>
        <v>0</v>
      </c>
      <c r="U415" s="29"/>
      <c r="V415" s="30" t="s">
        <v>50</v>
      </c>
      <c r="W415" s="30"/>
      <c r="X415" s="30"/>
      <c r="Y415" s="30"/>
      <c r="Z415" s="30"/>
      <c r="AA415" s="30"/>
      <c r="AB415" s="29"/>
      <c r="AC415" s="29"/>
      <c r="AD415" s="37">
        <f t="shared" si="87"/>
        <v>29811</v>
      </c>
      <c r="AE415" s="3" t="str">
        <f t="shared" ca="1" si="86"/>
        <v>45 Tahun 0 bulan 19 Hari</v>
      </c>
      <c r="AF415" s="38">
        <f t="shared" si="88"/>
        <v>51745</v>
      </c>
    </row>
    <row r="416" spans="1:32" s="7" customFormat="1" ht="32.15" customHeight="1" x14ac:dyDescent="0.35">
      <c r="A416" s="26">
        <f t="shared" si="89"/>
        <v>390</v>
      </c>
      <c r="B416" s="27" t="s">
        <v>1198</v>
      </c>
      <c r="C416" s="26"/>
      <c r="D416" s="50" t="s">
        <v>1224</v>
      </c>
      <c r="E416" s="24" t="s">
        <v>1234</v>
      </c>
      <c r="F416" s="24" t="s">
        <v>43</v>
      </c>
      <c r="G416" s="4" t="s">
        <v>1235</v>
      </c>
      <c r="H416" s="4" t="s">
        <v>662</v>
      </c>
      <c r="I416" s="33" t="s">
        <v>441</v>
      </c>
      <c r="J416" s="5">
        <v>44561</v>
      </c>
      <c r="K416" s="3" t="str">
        <f t="shared" ca="1" si="83"/>
        <v xml:space="preserve">4 Tahun 8 bulan </v>
      </c>
      <c r="L416" s="30" t="s">
        <v>88</v>
      </c>
      <c r="M416" s="5">
        <v>44561</v>
      </c>
      <c r="N416" s="3" t="str">
        <f t="shared" ca="1" si="84"/>
        <v xml:space="preserve">4 Tahun 8 bulan </v>
      </c>
      <c r="O416" s="4"/>
      <c r="P416" s="4" t="s">
        <v>35</v>
      </c>
      <c r="Q416" s="4" t="str">
        <f t="shared" si="85"/>
        <v>Laki-Laki</v>
      </c>
      <c r="R416" s="4">
        <f t="shared" si="92"/>
        <v>1</v>
      </c>
      <c r="S416" s="4" t="str">
        <f t="shared" si="90"/>
        <v>1</v>
      </c>
      <c r="T416" s="4">
        <f t="shared" si="79"/>
        <v>0</v>
      </c>
      <c r="U416" s="29"/>
      <c r="V416" s="30" t="s">
        <v>50</v>
      </c>
      <c r="W416" s="30"/>
      <c r="X416" s="30"/>
      <c r="Y416" s="30"/>
      <c r="Z416" s="30"/>
      <c r="AA416" s="30"/>
      <c r="AB416" s="29"/>
      <c r="AC416" s="29"/>
      <c r="AD416" s="37">
        <f t="shared" si="87"/>
        <v>28137</v>
      </c>
      <c r="AE416" s="3" t="str">
        <f t="shared" ca="1" si="86"/>
        <v>49 Tahun 7 bulan 20 Hari</v>
      </c>
      <c r="AF416" s="38">
        <f t="shared" si="88"/>
        <v>50072</v>
      </c>
    </row>
    <row r="417" spans="1:32" s="7" customFormat="1" ht="32.15" customHeight="1" x14ac:dyDescent="0.35">
      <c r="A417" s="26">
        <f t="shared" si="89"/>
        <v>391</v>
      </c>
      <c r="B417" s="27" t="s">
        <v>1198</v>
      </c>
      <c r="C417" s="26"/>
      <c r="D417" s="50" t="s">
        <v>1224</v>
      </c>
      <c r="E417" s="93" t="s">
        <v>1236</v>
      </c>
      <c r="F417" s="24" t="s">
        <v>43</v>
      </c>
      <c r="G417" s="94" t="s">
        <v>1237</v>
      </c>
      <c r="H417" s="98" t="s">
        <v>1238</v>
      </c>
      <c r="I417" s="25" t="s">
        <v>1239</v>
      </c>
      <c r="J417" s="5">
        <v>44561</v>
      </c>
      <c r="K417" s="3" t="str">
        <f t="shared" ca="1" si="83"/>
        <v xml:space="preserve">4 Tahun 8 bulan </v>
      </c>
      <c r="L417" s="30" t="s">
        <v>88</v>
      </c>
      <c r="M417" s="5">
        <v>44561</v>
      </c>
      <c r="N417" s="3" t="str">
        <f t="shared" ca="1" si="84"/>
        <v xml:space="preserve">4 Tahun 8 bulan </v>
      </c>
      <c r="O417" s="56"/>
      <c r="P417" s="4" t="s">
        <v>35</v>
      </c>
      <c r="Q417" s="4" t="str">
        <f t="shared" si="85"/>
        <v>Perempuan</v>
      </c>
      <c r="R417" s="4">
        <f t="shared" si="92"/>
        <v>1</v>
      </c>
      <c r="S417" s="4" t="str">
        <f t="shared" si="90"/>
        <v>1</v>
      </c>
      <c r="T417" s="4">
        <f t="shared" si="79"/>
        <v>0</v>
      </c>
      <c r="U417" s="29"/>
      <c r="V417" s="30"/>
      <c r="W417" s="30"/>
      <c r="X417" s="30"/>
      <c r="Y417" s="30"/>
      <c r="Z417" s="30"/>
      <c r="AA417" s="30"/>
      <c r="AB417" s="29"/>
      <c r="AC417" s="29"/>
      <c r="AD417" s="37">
        <f t="shared" si="87"/>
        <v>27247</v>
      </c>
      <c r="AE417" s="3" t="str">
        <f t="shared" ca="1" si="86"/>
        <v>52 Tahun 0 bulan 26 Hari</v>
      </c>
      <c r="AF417" s="38">
        <f t="shared" si="88"/>
        <v>49188</v>
      </c>
    </row>
    <row r="418" spans="1:32" s="7" customFormat="1" ht="32.15" customHeight="1" x14ac:dyDescent="0.35">
      <c r="A418" s="26">
        <f t="shared" si="89"/>
        <v>392</v>
      </c>
      <c r="B418" s="27" t="s">
        <v>1198</v>
      </c>
      <c r="C418" s="26"/>
      <c r="D418" s="50" t="s">
        <v>1229</v>
      </c>
      <c r="E418" s="93" t="s">
        <v>108</v>
      </c>
      <c r="F418" s="93"/>
      <c r="G418" s="94"/>
      <c r="H418" s="98"/>
      <c r="I418" s="25"/>
      <c r="J418" s="49"/>
      <c r="K418" s="3" t="str">
        <f t="shared" ca="1" si="83"/>
        <v/>
      </c>
      <c r="L418" s="30" t="s">
        <v>88</v>
      </c>
      <c r="M418" s="49"/>
      <c r="N418" s="3" t="str">
        <f t="shared" ca="1" si="84"/>
        <v/>
      </c>
      <c r="O418" s="56"/>
      <c r="P418" s="4"/>
      <c r="Q418" s="4" t="str">
        <f t="shared" si="85"/>
        <v/>
      </c>
      <c r="R418" s="4">
        <f t="shared" si="92"/>
        <v>1</v>
      </c>
      <c r="S418" s="4" t="str">
        <f t="shared" si="90"/>
        <v>0</v>
      </c>
      <c r="T418" s="4">
        <f t="shared" si="79"/>
        <v>1</v>
      </c>
      <c r="U418" s="29"/>
      <c r="V418" s="30"/>
      <c r="W418" s="30"/>
      <c r="X418" s="30"/>
      <c r="Y418" s="30"/>
      <c r="Z418" s="30"/>
      <c r="AA418" s="30"/>
      <c r="AB418" s="29"/>
      <c r="AC418" s="29"/>
      <c r="AD418" s="37" t="str">
        <f t="shared" si="87"/>
        <v/>
      </c>
      <c r="AE418" s="3" t="str">
        <f t="shared" ca="1" si="86"/>
        <v/>
      </c>
      <c r="AF418" s="38" t="str">
        <f t="shared" si="88"/>
        <v/>
      </c>
    </row>
    <row r="419" spans="1:32" s="7" customFormat="1" ht="32.15" customHeight="1" x14ac:dyDescent="0.35">
      <c r="A419" s="26">
        <f t="shared" si="89"/>
        <v>393</v>
      </c>
      <c r="B419" s="27" t="s">
        <v>1198</v>
      </c>
      <c r="C419" s="256" t="s">
        <v>1240</v>
      </c>
      <c r="D419" s="257"/>
      <c r="E419" s="24" t="s">
        <v>2253</v>
      </c>
      <c r="F419" s="24" t="s">
        <v>43</v>
      </c>
      <c r="G419" s="4" t="s">
        <v>2254</v>
      </c>
      <c r="H419" s="4" t="s">
        <v>231</v>
      </c>
      <c r="I419" s="33" t="s">
        <v>251</v>
      </c>
      <c r="J419" s="5">
        <v>46260</v>
      </c>
      <c r="K419" s="3" t="str">
        <f t="shared" ca="1" si="83"/>
        <v xml:space="preserve">0 Tahun 0 bulan </v>
      </c>
      <c r="L419" s="30" t="s">
        <v>346</v>
      </c>
      <c r="M419" s="5"/>
      <c r="N419" s="3" t="str">
        <f t="shared" ca="1" si="84"/>
        <v/>
      </c>
      <c r="O419" s="4"/>
      <c r="P419" s="4" t="s">
        <v>35</v>
      </c>
      <c r="Q419" s="4" t="s">
        <v>591</v>
      </c>
      <c r="R419" s="4">
        <f t="shared" si="92"/>
        <v>1</v>
      </c>
      <c r="S419" s="4" t="str">
        <f t="shared" si="90"/>
        <v>1</v>
      </c>
      <c r="T419" s="4">
        <f t="shared" ref="T419:T490" si="93">R419-S419</f>
        <v>0</v>
      </c>
      <c r="U419" s="29"/>
      <c r="V419" s="30" t="s">
        <v>50</v>
      </c>
      <c r="W419" s="30"/>
      <c r="X419" s="30"/>
      <c r="Y419" s="30"/>
      <c r="Z419" s="30"/>
      <c r="AA419" s="30"/>
      <c r="AB419" s="29"/>
      <c r="AC419" s="29"/>
      <c r="AD419" s="37">
        <f t="shared" si="87"/>
        <v>25746</v>
      </c>
      <c r="AE419" s="3" t="str">
        <f t="shared" ca="1" si="86"/>
        <v>56 Tahun 2 bulan 5 Hari</v>
      </c>
      <c r="AF419" s="38">
        <f t="shared" si="88"/>
        <v>47665</v>
      </c>
    </row>
    <row r="420" spans="1:32" s="7" customFormat="1" ht="32.15" customHeight="1" x14ac:dyDescent="0.35">
      <c r="A420" s="26">
        <f t="shared" si="89"/>
        <v>394</v>
      </c>
      <c r="B420" s="27" t="s">
        <v>1198</v>
      </c>
      <c r="C420" s="26"/>
      <c r="D420" s="50" t="s">
        <v>1244</v>
      </c>
      <c r="E420" s="97" t="s">
        <v>108</v>
      </c>
      <c r="F420" s="24"/>
      <c r="G420" s="86"/>
      <c r="H420" s="98"/>
      <c r="I420" s="25"/>
      <c r="J420" s="5"/>
      <c r="K420" s="3" t="str">
        <f t="shared" ca="1" si="83"/>
        <v/>
      </c>
      <c r="L420" s="30" t="s">
        <v>88</v>
      </c>
      <c r="M420" s="5"/>
      <c r="N420" s="3" t="str">
        <f t="shared" ca="1" si="84"/>
        <v/>
      </c>
      <c r="O420" s="56"/>
      <c r="P420" s="4"/>
      <c r="Q420" s="4" t="str">
        <f t="shared" si="85"/>
        <v/>
      </c>
      <c r="R420" s="4">
        <f t="shared" si="92"/>
        <v>1</v>
      </c>
      <c r="S420" s="4" t="str">
        <f t="shared" si="90"/>
        <v>0</v>
      </c>
      <c r="T420" s="4">
        <f t="shared" si="93"/>
        <v>1</v>
      </c>
      <c r="U420" s="29"/>
      <c r="V420" s="30" t="s">
        <v>50</v>
      </c>
      <c r="W420" s="30"/>
      <c r="X420" s="30"/>
      <c r="Y420" s="30"/>
      <c r="Z420" s="30"/>
      <c r="AA420" s="30"/>
      <c r="AB420" s="29"/>
      <c r="AC420" s="29"/>
      <c r="AD420" s="37" t="str">
        <f t="shared" si="87"/>
        <v/>
      </c>
      <c r="AE420" s="3" t="str">
        <f t="shared" ca="1" si="86"/>
        <v/>
      </c>
      <c r="AF420" s="38" t="str">
        <f t="shared" si="88"/>
        <v/>
      </c>
    </row>
    <row r="421" spans="1:32" s="7" customFormat="1" ht="32.15" customHeight="1" x14ac:dyDescent="0.35">
      <c r="A421" s="26">
        <f t="shared" si="89"/>
        <v>395</v>
      </c>
      <c r="B421" s="27" t="s">
        <v>1198</v>
      </c>
      <c r="C421" s="26"/>
      <c r="D421" s="50" t="s">
        <v>1244</v>
      </c>
      <c r="E421" s="97" t="s">
        <v>108</v>
      </c>
      <c r="F421" s="97"/>
      <c r="G421" s="86"/>
      <c r="H421" s="4"/>
      <c r="I421" s="36"/>
      <c r="J421" s="49"/>
      <c r="K421" s="3" t="str">
        <f t="shared" ca="1" si="83"/>
        <v/>
      </c>
      <c r="L421" s="30" t="s">
        <v>88</v>
      </c>
      <c r="M421" s="49"/>
      <c r="N421" s="3" t="str">
        <f t="shared" ca="1" si="84"/>
        <v/>
      </c>
      <c r="O421" s="56"/>
      <c r="P421" s="4"/>
      <c r="Q421" s="4" t="str">
        <f t="shared" si="85"/>
        <v/>
      </c>
      <c r="R421" s="4">
        <f t="shared" si="92"/>
        <v>1</v>
      </c>
      <c r="S421" s="4" t="str">
        <f t="shared" si="90"/>
        <v>0</v>
      </c>
      <c r="T421" s="4">
        <f t="shared" si="93"/>
        <v>1</v>
      </c>
      <c r="U421" s="29"/>
      <c r="V421" s="30"/>
      <c r="W421" s="30"/>
      <c r="X421" s="30"/>
      <c r="Y421" s="30"/>
      <c r="Z421" s="30"/>
      <c r="AA421" s="30"/>
      <c r="AB421" s="29"/>
      <c r="AC421" s="29"/>
      <c r="AD421" s="37" t="str">
        <f t="shared" si="87"/>
        <v/>
      </c>
      <c r="AE421" s="3" t="str">
        <f t="shared" ca="1" si="86"/>
        <v/>
      </c>
      <c r="AF421" s="38" t="str">
        <f t="shared" si="88"/>
        <v/>
      </c>
    </row>
    <row r="422" spans="1:32" s="7" customFormat="1" ht="32.15" customHeight="1" x14ac:dyDescent="0.35">
      <c r="A422" s="26">
        <f t="shared" si="89"/>
        <v>396</v>
      </c>
      <c r="B422" s="27" t="s">
        <v>1198</v>
      </c>
      <c r="C422" s="26"/>
      <c r="D422" s="50" t="s">
        <v>1248</v>
      </c>
      <c r="E422" s="24" t="s">
        <v>108</v>
      </c>
      <c r="F422" s="24"/>
      <c r="G422" s="4"/>
      <c r="H422" s="4"/>
      <c r="I422" s="33"/>
      <c r="J422" s="49"/>
      <c r="K422" s="3" t="str">
        <f t="shared" ca="1" si="83"/>
        <v/>
      </c>
      <c r="L422" s="30" t="s">
        <v>88</v>
      </c>
      <c r="M422" s="95"/>
      <c r="N422" s="3" t="str">
        <f t="shared" ca="1" si="84"/>
        <v/>
      </c>
      <c r="O422" s="4"/>
      <c r="P422" s="4"/>
      <c r="Q422" s="4" t="str">
        <f t="shared" si="85"/>
        <v/>
      </c>
      <c r="R422" s="4">
        <f t="shared" si="92"/>
        <v>1</v>
      </c>
      <c r="S422" s="4" t="str">
        <f t="shared" si="90"/>
        <v>0</v>
      </c>
      <c r="T422" s="4">
        <f t="shared" si="93"/>
        <v>1</v>
      </c>
      <c r="U422" s="29"/>
      <c r="V422" s="30" t="s">
        <v>50</v>
      </c>
      <c r="W422" s="30"/>
      <c r="X422" s="30"/>
      <c r="Y422" s="30"/>
      <c r="Z422" s="30"/>
      <c r="AA422" s="30"/>
      <c r="AB422" s="29"/>
      <c r="AC422" s="29"/>
      <c r="AD422" s="37" t="str">
        <f t="shared" si="87"/>
        <v/>
      </c>
      <c r="AE422" s="3" t="str">
        <f t="shared" ca="1" si="86"/>
        <v/>
      </c>
      <c r="AF422" s="38" t="str">
        <f t="shared" si="88"/>
        <v/>
      </c>
    </row>
    <row r="423" spans="1:32" s="7" customFormat="1" ht="32.15" customHeight="1" x14ac:dyDescent="0.35">
      <c r="A423" s="26">
        <f t="shared" si="89"/>
        <v>397</v>
      </c>
      <c r="B423" s="27" t="s">
        <v>1198</v>
      </c>
      <c r="C423" s="256" t="s">
        <v>1249</v>
      </c>
      <c r="D423" s="257"/>
      <c r="E423" s="51" t="s">
        <v>64</v>
      </c>
      <c r="F423" s="24" t="s">
        <v>43</v>
      </c>
      <c r="G423" s="59" t="s">
        <v>65</v>
      </c>
      <c r="H423" s="4" t="s">
        <v>2985</v>
      </c>
      <c r="I423" s="33" t="s">
        <v>242</v>
      </c>
      <c r="J423" s="5">
        <v>46260</v>
      </c>
      <c r="K423" s="3" t="str">
        <f t="shared" ca="1" si="83"/>
        <v xml:space="preserve">0 Tahun 0 bulan </v>
      </c>
      <c r="L423" s="30" t="s">
        <v>346</v>
      </c>
      <c r="M423" s="5" t="s">
        <v>2986</v>
      </c>
      <c r="N423" s="3" t="str">
        <f t="shared" ca="1" si="84"/>
        <v xml:space="preserve">5 Tahun 8 bulan </v>
      </c>
      <c r="O423" s="4"/>
      <c r="P423" s="4" t="s">
        <v>35</v>
      </c>
      <c r="Q423" s="4" t="str">
        <f t="shared" si="85"/>
        <v>Laki-Laki</v>
      </c>
      <c r="R423" s="4">
        <f t="shared" si="92"/>
        <v>1</v>
      </c>
      <c r="S423" s="4" t="str">
        <f t="shared" si="90"/>
        <v>1</v>
      </c>
      <c r="T423" s="4">
        <f t="shared" si="93"/>
        <v>0</v>
      </c>
      <c r="U423" s="29"/>
      <c r="V423" s="30" t="s">
        <v>50</v>
      </c>
      <c r="W423" s="30"/>
      <c r="X423" s="30"/>
      <c r="Y423" s="30"/>
      <c r="Z423" s="30"/>
      <c r="AA423" s="30"/>
      <c r="AB423" s="29"/>
      <c r="AC423" s="29"/>
      <c r="AD423" s="37">
        <f t="shared" si="87"/>
        <v>27633</v>
      </c>
      <c r="AE423" s="3" t="str">
        <f t="shared" ca="1" si="86"/>
        <v>51 Tahun 0 bulan 5 Hari</v>
      </c>
      <c r="AF423" s="38">
        <f t="shared" si="88"/>
        <v>49553</v>
      </c>
    </row>
    <row r="424" spans="1:32" s="7" customFormat="1" ht="32.15" customHeight="1" x14ac:dyDescent="0.35">
      <c r="A424" s="26">
        <f t="shared" si="89"/>
        <v>398</v>
      </c>
      <c r="B424" s="27" t="s">
        <v>1198</v>
      </c>
      <c r="C424" s="26"/>
      <c r="D424" s="50" t="s">
        <v>1251</v>
      </c>
      <c r="E424" s="51" t="s">
        <v>1252</v>
      </c>
      <c r="F424" s="24" t="s">
        <v>43</v>
      </c>
      <c r="G424" s="59" t="s">
        <v>1253</v>
      </c>
      <c r="H424" s="4" t="s">
        <v>1254</v>
      </c>
      <c r="I424" s="33" t="s">
        <v>441</v>
      </c>
      <c r="J424" s="5" t="s">
        <v>87</v>
      </c>
      <c r="K424" s="3" t="str">
        <f t="shared" ca="1" si="83"/>
        <v xml:space="preserve">4 Tahun 8 bulan </v>
      </c>
      <c r="L424" s="30" t="s">
        <v>88</v>
      </c>
      <c r="M424" s="5">
        <v>44561</v>
      </c>
      <c r="N424" s="3" t="str">
        <f t="shared" ca="1" si="84"/>
        <v xml:space="preserve">4 Tahun 8 bulan </v>
      </c>
      <c r="O424" s="4"/>
      <c r="P424" s="4" t="s">
        <v>35</v>
      </c>
      <c r="Q424" s="4" t="str">
        <f t="shared" si="85"/>
        <v>Perempuan</v>
      </c>
      <c r="R424" s="4">
        <f t="shared" si="92"/>
        <v>1</v>
      </c>
      <c r="S424" s="4" t="str">
        <f t="shared" si="90"/>
        <v>1</v>
      </c>
      <c r="T424" s="4">
        <f t="shared" si="93"/>
        <v>0</v>
      </c>
      <c r="U424" s="29"/>
      <c r="V424" s="30"/>
      <c r="W424" s="30"/>
      <c r="X424" s="30"/>
      <c r="Y424" s="30"/>
      <c r="Z424" s="30"/>
      <c r="AA424" s="30"/>
      <c r="AB424" s="29"/>
      <c r="AC424" s="29"/>
      <c r="AD424" s="37">
        <f t="shared" si="87"/>
        <v>27505</v>
      </c>
      <c r="AE424" s="3" t="str">
        <f t="shared" ca="1" si="86"/>
        <v>51 Tahun 4 bulan 11 Hari</v>
      </c>
      <c r="AF424" s="38">
        <f t="shared" si="88"/>
        <v>49430</v>
      </c>
    </row>
    <row r="425" spans="1:32" s="7" customFormat="1" ht="35.25" customHeight="1" x14ac:dyDescent="0.35">
      <c r="A425" s="26">
        <f t="shared" si="89"/>
        <v>399</v>
      </c>
      <c r="B425" s="27" t="s">
        <v>1198</v>
      </c>
      <c r="C425" s="26"/>
      <c r="D425" s="50" t="s">
        <v>1251</v>
      </c>
      <c r="E425" s="24" t="s">
        <v>1255</v>
      </c>
      <c r="F425" s="24" t="s">
        <v>43</v>
      </c>
      <c r="G425" s="4" t="s">
        <v>1256</v>
      </c>
      <c r="H425" s="4" t="s">
        <v>1257</v>
      </c>
      <c r="I425" s="33" t="s">
        <v>1258</v>
      </c>
      <c r="J425" s="5" t="s">
        <v>87</v>
      </c>
      <c r="K425" s="3" t="str">
        <f t="shared" ca="1" si="83"/>
        <v xml:space="preserve">4 Tahun 8 bulan </v>
      </c>
      <c r="L425" s="30" t="s">
        <v>88</v>
      </c>
      <c r="M425" s="5">
        <v>44561</v>
      </c>
      <c r="N425" s="3" t="str">
        <f t="shared" ca="1" si="84"/>
        <v xml:space="preserve">4 Tahun 8 bulan </v>
      </c>
      <c r="O425" s="4"/>
      <c r="P425" s="4" t="s">
        <v>35</v>
      </c>
      <c r="Q425" s="4" t="str">
        <f t="shared" si="85"/>
        <v>Laki-Laki</v>
      </c>
      <c r="R425" s="4">
        <f t="shared" si="92"/>
        <v>1</v>
      </c>
      <c r="S425" s="4" t="str">
        <f t="shared" si="90"/>
        <v>1</v>
      </c>
      <c r="T425" s="4">
        <f t="shared" si="93"/>
        <v>0</v>
      </c>
      <c r="U425" s="29"/>
      <c r="V425" s="30" t="s">
        <v>50</v>
      </c>
      <c r="W425" s="30"/>
      <c r="X425" s="30"/>
      <c r="Y425" s="30"/>
      <c r="Z425" s="30"/>
      <c r="AA425" s="30"/>
      <c r="AB425" s="29"/>
      <c r="AC425" s="29"/>
      <c r="AD425" s="37">
        <f t="shared" si="87"/>
        <v>28752</v>
      </c>
      <c r="AE425" s="3" t="str">
        <f t="shared" ca="1" si="86"/>
        <v>47 Tahun 11 bulan 13 Hari</v>
      </c>
      <c r="AF425" s="38">
        <f t="shared" si="88"/>
        <v>50679</v>
      </c>
    </row>
    <row r="426" spans="1:32" s="7" customFormat="1" ht="32.15" customHeight="1" x14ac:dyDescent="0.35">
      <c r="A426" s="26">
        <f t="shared" si="89"/>
        <v>400</v>
      </c>
      <c r="B426" s="27" t="s">
        <v>1198</v>
      </c>
      <c r="C426" s="26"/>
      <c r="D426" s="50" t="s">
        <v>1251</v>
      </c>
      <c r="E426" s="39" t="s">
        <v>108</v>
      </c>
      <c r="F426" s="39"/>
      <c r="G426" s="25"/>
      <c r="H426" s="4"/>
      <c r="I426" s="33"/>
      <c r="J426" s="49"/>
      <c r="K426" s="3" t="str">
        <f t="shared" ca="1" si="83"/>
        <v/>
      </c>
      <c r="L426" s="30" t="s">
        <v>88</v>
      </c>
      <c r="M426" s="49"/>
      <c r="N426" s="3" t="str">
        <f t="shared" ca="1" si="84"/>
        <v/>
      </c>
      <c r="O426" s="35"/>
      <c r="P426" s="4"/>
      <c r="Q426" s="4" t="str">
        <f t="shared" si="85"/>
        <v/>
      </c>
      <c r="R426" s="4">
        <f t="shared" si="92"/>
        <v>1</v>
      </c>
      <c r="S426" s="4" t="str">
        <f t="shared" si="90"/>
        <v>0</v>
      </c>
      <c r="T426" s="4">
        <f t="shared" si="93"/>
        <v>1</v>
      </c>
      <c r="U426" s="29"/>
      <c r="V426" s="30"/>
      <c r="W426" s="30"/>
      <c r="X426" s="30"/>
      <c r="Y426" s="30"/>
      <c r="Z426" s="30"/>
      <c r="AA426" s="30"/>
      <c r="AB426" s="29"/>
      <c r="AC426" s="29"/>
      <c r="AD426" s="37" t="str">
        <f t="shared" si="87"/>
        <v/>
      </c>
      <c r="AE426" s="3" t="str">
        <f t="shared" ca="1" si="86"/>
        <v/>
      </c>
      <c r="AF426" s="38" t="str">
        <f t="shared" si="88"/>
        <v/>
      </c>
    </row>
    <row r="427" spans="1:32" s="7" customFormat="1" ht="32.15" customHeight="1" x14ac:dyDescent="0.35">
      <c r="A427" s="26">
        <f t="shared" si="89"/>
        <v>401</v>
      </c>
      <c r="B427" s="27" t="s">
        <v>1198</v>
      </c>
      <c r="C427" s="256" t="s">
        <v>1259</v>
      </c>
      <c r="D427" s="257"/>
      <c r="E427" s="97" t="s">
        <v>640</v>
      </c>
      <c r="F427" s="24" t="s">
        <v>43</v>
      </c>
      <c r="G427" s="99" t="s">
        <v>641</v>
      </c>
      <c r="H427" s="4" t="s">
        <v>419</v>
      </c>
      <c r="I427" s="36" t="s">
        <v>1961</v>
      </c>
      <c r="J427" s="5">
        <v>46087</v>
      </c>
      <c r="K427" s="3" t="str">
        <f t="shared" ca="1" si="83"/>
        <v xml:space="preserve">0 Tahun 5 bulan </v>
      </c>
      <c r="L427" s="30" t="s">
        <v>346</v>
      </c>
      <c r="M427" s="5">
        <v>46087</v>
      </c>
      <c r="N427" s="3" t="str">
        <f t="shared" ca="1" si="84"/>
        <v xml:space="preserve">0 Tahun 5 bulan </v>
      </c>
      <c r="O427" s="56"/>
      <c r="P427" s="4" t="s">
        <v>35</v>
      </c>
      <c r="Q427" s="4" t="str">
        <f t="shared" si="85"/>
        <v>Laki-Laki</v>
      </c>
      <c r="R427" s="4">
        <f t="shared" si="92"/>
        <v>1</v>
      </c>
      <c r="S427" s="4" t="str">
        <f t="shared" si="90"/>
        <v>1</v>
      </c>
      <c r="T427" s="4">
        <f t="shared" si="93"/>
        <v>0</v>
      </c>
      <c r="U427" s="29"/>
      <c r="V427" s="30" t="s">
        <v>50</v>
      </c>
      <c r="W427" s="30"/>
      <c r="X427" s="30"/>
      <c r="Y427" s="30"/>
      <c r="Z427" s="30"/>
      <c r="AA427" s="30"/>
      <c r="AB427" s="29"/>
      <c r="AC427" s="29"/>
      <c r="AD427" s="37">
        <f t="shared" si="87"/>
        <v>30022</v>
      </c>
      <c r="AE427" s="3" t="str">
        <f t="shared" ca="1" si="86"/>
        <v>44 Tahun 5 bulan 20 Hari</v>
      </c>
      <c r="AF427" s="38">
        <f t="shared" si="88"/>
        <v>51957</v>
      </c>
    </row>
    <row r="428" spans="1:32" s="7" customFormat="1" ht="32.15" customHeight="1" x14ac:dyDescent="0.35">
      <c r="A428" s="26">
        <f t="shared" si="89"/>
        <v>402</v>
      </c>
      <c r="B428" s="27" t="s">
        <v>1198</v>
      </c>
      <c r="C428" s="26"/>
      <c r="D428" s="50" t="s">
        <v>1261</v>
      </c>
      <c r="E428" s="24" t="s">
        <v>1262</v>
      </c>
      <c r="F428" s="24" t="s">
        <v>43</v>
      </c>
      <c r="G428" s="3" t="s">
        <v>1260</v>
      </c>
      <c r="H428" s="4" t="s">
        <v>1263</v>
      </c>
      <c r="I428" s="33" t="s">
        <v>1264</v>
      </c>
      <c r="J428" s="5" t="s">
        <v>87</v>
      </c>
      <c r="K428" s="3" t="str">
        <f t="shared" ca="1" si="83"/>
        <v xml:space="preserve">4 Tahun 8 bulan </v>
      </c>
      <c r="L428" s="30" t="s">
        <v>88</v>
      </c>
      <c r="M428" s="5" t="s">
        <v>87</v>
      </c>
      <c r="N428" s="3" t="str">
        <f t="shared" ca="1" si="84"/>
        <v xml:space="preserve">4 Tahun 8 bulan </v>
      </c>
      <c r="O428" s="4"/>
      <c r="P428" s="4" t="s">
        <v>35</v>
      </c>
      <c r="Q428" s="4" t="str">
        <f t="shared" si="85"/>
        <v>Laki-Laki</v>
      </c>
      <c r="R428" s="4">
        <f t="shared" si="92"/>
        <v>1</v>
      </c>
      <c r="S428" s="4" t="str">
        <f t="shared" si="90"/>
        <v>1</v>
      </c>
      <c r="T428" s="4">
        <f t="shared" si="93"/>
        <v>0</v>
      </c>
      <c r="U428" s="29"/>
      <c r="V428" s="30" t="s">
        <v>50</v>
      </c>
      <c r="W428" s="30"/>
      <c r="X428" s="30"/>
      <c r="Y428" s="30"/>
      <c r="Z428" s="30"/>
      <c r="AA428" s="30"/>
      <c r="AB428" s="29"/>
      <c r="AC428" s="29"/>
      <c r="AD428" s="37">
        <f t="shared" si="87"/>
        <v>26486</v>
      </c>
      <c r="AE428" s="3" t="str">
        <f t="shared" ca="1" si="86"/>
        <v>54 Tahun 1 bulan 26 Hari</v>
      </c>
      <c r="AF428" s="38">
        <f t="shared" si="88"/>
        <v>48427</v>
      </c>
    </row>
    <row r="429" spans="1:32" s="7" customFormat="1" ht="32.15" customHeight="1" x14ac:dyDescent="0.35">
      <c r="A429" s="26">
        <f t="shared" si="89"/>
        <v>403</v>
      </c>
      <c r="B429" s="27" t="s">
        <v>1198</v>
      </c>
      <c r="C429" s="26"/>
      <c r="D429" s="50" t="s">
        <v>1265</v>
      </c>
      <c r="E429" s="24" t="s">
        <v>1266</v>
      </c>
      <c r="F429" s="24" t="s">
        <v>43</v>
      </c>
      <c r="G429" s="3" t="s">
        <v>1267</v>
      </c>
      <c r="H429" s="4" t="s">
        <v>1268</v>
      </c>
      <c r="I429" s="33" t="s">
        <v>1269</v>
      </c>
      <c r="J429" s="5" t="s">
        <v>87</v>
      </c>
      <c r="K429" s="3" t="str">
        <f t="shared" ca="1" si="83"/>
        <v xml:space="preserve">4 Tahun 8 bulan </v>
      </c>
      <c r="L429" s="30" t="s">
        <v>88</v>
      </c>
      <c r="M429" s="5" t="s">
        <v>87</v>
      </c>
      <c r="N429" s="3" t="str">
        <f t="shared" ca="1" si="84"/>
        <v xml:space="preserve">4 Tahun 8 bulan </v>
      </c>
      <c r="O429" s="4"/>
      <c r="P429" s="4" t="s">
        <v>35</v>
      </c>
      <c r="Q429" s="4" t="str">
        <f t="shared" si="85"/>
        <v/>
      </c>
      <c r="R429" s="4">
        <f t="shared" si="92"/>
        <v>1</v>
      </c>
      <c r="S429" s="4" t="str">
        <f t="shared" si="90"/>
        <v>1</v>
      </c>
      <c r="T429" s="4">
        <f t="shared" si="93"/>
        <v>0</v>
      </c>
      <c r="U429" s="29"/>
      <c r="V429" s="30" t="s">
        <v>50</v>
      </c>
      <c r="W429" s="30"/>
      <c r="X429" s="30"/>
      <c r="Y429" s="30"/>
      <c r="Z429" s="30"/>
      <c r="AA429" s="30"/>
      <c r="AB429" s="29"/>
      <c r="AC429" s="29"/>
      <c r="AD429" s="37">
        <f t="shared" si="87"/>
        <v>29270</v>
      </c>
      <c r="AE429" s="3" t="str">
        <f t="shared" ca="1" si="86"/>
        <v>46 Tahun 6 bulan 13 Hari</v>
      </c>
      <c r="AF429" s="38">
        <f t="shared" si="88"/>
        <v>51196</v>
      </c>
    </row>
    <row r="430" spans="1:32" s="7" customFormat="1" ht="32.15" customHeight="1" x14ac:dyDescent="0.35">
      <c r="A430" s="26">
        <f t="shared" si="89"/>
        <v>404</v>
      </c>
      <c r="B430" s="27" t="s">
        <v>1198</v>
      </c>
      <c r="C430" s="26"/>
      <c r="D430" s="50" t="s">
        <v>1261</v>
      </c>
      <c r="E430" s="51" t="s">
        <v>108</v>
      </c>
      <c r="F430" s="51"/>
      <c r="G430" s="59"/>
      <c r="H430" s="4"/>
      <c r="I430" s="33"/>
      <c r="J430" s="49"/>
      <c r="K430" s="3" t="str">
        <f t="shared" ca="1" si="83"/>
        <v/>
      </c>
      <c r="L430" s="30" t="s">
        <v>88</v>
      </c>
      <c r="M430" s="49"/>
      <c r="N430" s="3" t="str">
        <f t="shared" ca="1" si="84"/>
        <v/>
      </c>
      <c r="O430" s="4"/>
      <c r="P430" s="4"/>
      <c r="Q430" s="4" t="str">
        <f t="shared" si="85"/>
        <v/>
      </c>
      <c r="R430" s="4">
        <f t="shared" si="92"/>
        <v>1</v>
      </c>
      <c r="S430" s="4" t="str">
        <f t="shared" si="90"/>
        <v>0</v>
      </c>
      <c r="T430" s="4">
        <f t="shared" si="93"/>
        <v>1</v>
      </c>
      <c r="U430" s="29"/>
      <c r="V430" s="30"/>
      <c r="W430" s="30"/>
      <c r="X430" s="30"/>
      <c r="Y430" s="30"/>
      <c r="Z430" s="30"/>
      <c r="AA430" s="30"/>
      <c r="AB430" s="29"/>
      <c r="AC430" s="29"/>
      <c r="AD430" s="37" t="str">
        <f t="shared" si="87"/>
        <v/>
      </c>
      <c r="AE430" s="3" t="str">
        <f t="shared" ca="1" si="86"/>
        <v/>
      </c>
      <c r="AF430" s="38" t="str">
        <f t="shared" si="88"/>
        <v/>
      </c>
    </row>
    <row r="431" spans="1:32" s="7" customFormat="1" ht="32.15" customHeight="1" x14ac:dyDescent="0.35">
      <c r="A431" s="26"/>
      <c r="B431" s="27" t="s">
        <v>1270</v>
      </c>
      <c r="C431" s="280" t="s">
        <v>1271</v>
      </c>
      <c r="D431" s="281"/>
      <c r="E431" s="24"/>
      <c r="F431" s="24"/>
      <c r="G431" s="4"/>
      <c r="H431" s="4"/>
      <c r="I431" s="33"/>
      <c r="J431" s="5"/>
      <c r="K431" s="3" t="str">
        <f t="shared" ca="1" si="83"/>
        <v/>
      </c>
      <c r="L431" s="30"/>
      <c r="M431" s="5"/>
      <c r="N431" s="3" t="str">
        <f t="shared" ca="1" si="84"/>
        <v/>
      </c>
      <c r="O431" s="4"/>
      <c r="P431" s="4"/>
      <c r="Q431" s="4" t="str">
        <f t="shared" si="85"/>
        <v/>
      </c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37" t="str">
        <f t="shared" si="87"/>
        <v/>
      </c>
      <c r="AE431" s="3" t="str">
        <f t="shared" ca="1" si="86"/>
        <v/>
      </c>
      <c r="AF431" s="38" t="str">
        <f t="shared" si="88"/>
        <v/>
      </c>
    </row>
    <row r="432" spans="1:32" s="7" customFormat="1" ht="32.15" customHeight="1" x14ac:dyDescent="0.35">
      <c r="A432" s="26">
        <f>A430+1</f>
        <v>405</v>
      </c>
      <c r="B432" s="27" t="s">
        <v>1270</v>
      </c>
      <c r="C432" s="278" t="s">
        <v>1272</v>
      </c>
      <c r="D432" s="279"/>
      <c r="E432" s="24" t="s">
        <v>1277</v>
      </c>
      <c r="F432" s="24" t="s">
        <v>71</v>
      </c>
      <c r="G432" s="3" t="s">
        <v>1278</v>
      </c>
      <c r="H432" s="4" t="s">
        <v>112</v>
      </c>
      <c r="I432" s="33" t="s">
        <v>1279</v>
      </c>
      <c r="J432" s="5">
        <v>46260</v>
      </c>
      <c r="K432" s="3" t="str">
        <f t="shared" ca="1" si="83"/>
        <v xml:space="preserve">0 Tahun 0 bulan </v>
      </c>
      <c r="L432" s="30" t="s">
        <v>56</v>
      </c>
      <c r="M432" s="5">
        <v>46260</v>
      </c>
      <c r="N432" s="3" t="str">
        <f t="shared" ca="1" si="84"/>
        <v xml:space="preserve">0 Tahun 0 bulan </v>
      </c>
      <c r="O432" s="4" t="s">
        <v>155</v>
      </c>
      <c r="P432" s="4" t="s">
        <v>35</v>
      </c>
      <c r="Q432" s="4" t="str">
        <f t="shared" si="85"/>
        <v>Laki-Laki</v>
      </c>
      <c r="R432" s="4">
        <f>R430</f>
        <v>1</v>
      </c>
      <c r="S432" s="4" t="str">
        <f t="shared" ref="S432:S452" si="94">IF(E432="LOWONG","0","1")</f>
        <v>1</v>
      </c>
      <c r="T432" s="4">
        <f t="shared" si="93"/>
        <v>0</v>
      </c>
      <c r="U432" s="29"/>
      <c r="V432" s="30" t="s">
        <v>50</v>
      </c>
      <c r="W432" s="30"/>
      <c r="X432" s="30"/>
      <c r="Y432" s="30"/>
      <c r="Z432" s="30"/>
      <c r="AA432" s="30"/>
      <c r="AB432" s="29"/>
      <c r="AC432" s="29"/>
      <c r="AD432" s="37">
        <f t="shared" si="87"/>
        <v>27922</v>
      </c>
      <c r="AE432" s="3" t="str">
        <f t="shared" ca="1" si="86"/>
        <v>50 Tahun 2 bulan 21 Hari</v>
      </c>
      <c r="AF432" s="38">
        <f t="shared" si="88"/>
        <v>49857</v>
      </c>
    </row>
    <row r="433" spans="1:32" s="7" customFormat="1" ht="32.15" customHeight="1" x14ac:dyDescent="0.35">
      <c r="A433" s="26">
        <f t="shared" si="89"/>
        <v>406</v>
      </c>
      <c r="B433" s="27" t="s">
        <v>1270</v>
      </c>
      <c r="C433" s="256" t="s">
        <v>1276</v>
      </c>
      <c r="D433" s="257"/>
      <c r="E433" s="24" t="s">
        <v>1277</v>
      </c>
      <c r="F433" s="24" t="s">
        <v>43</v>
      </c>
      <c r="G433" s="3" t="s">
        <v>1278</v>
      </c>
      <c r="H433" s="4" t="s">
        <v>112</v>
      </c>
      <c r="I433" s="33" t="s">
        <v>1279</v>
      </c>
      <c r="J433" s="5" t="s">
        <v>369</v>
      </c>
      <c r="K433" s="3" t="str">
        <f t="shared" ca="1" si="83"/>
        <v xml:space="preserve">3 Tahun 11 bulan </v>
      </c>
      <c r="L433" s="30" t="s">
        <v>79</v>
      </c>
      <c r="M433" s="5" t="s">
        <v>369</v>
      </c>
      <c r="N433" s="3" t="str">
        <f t="shared" ca="1" si="84"/>
        <v xml:space="preserve">3 Tahun 11 bulan </v>
      </c>
      <c r="O433" s="4" t="s">
        <v>155</v>
      </c>
      <c r="P433" s="4" t="s">
        <v>35</v>
      </c>
      <c r="Q433" s="4" t="str">
        <f t="shared" si="85"/>
        <v>Laki-Laki</v>
      </c>
      <c r="R433" s="4">
        <f t="shared" si="92"/>
        <v>1</v>
      </c>
      <c r="S433" s="4" t="str">
        <f t="shared" si="94"/>
        <v>1</v>
      </c>
      <c r="T433" s="4">
        <f t="shared" si="93"/>
        <v>0</v>
      </c>
      <c r="U433" s="29"/>
      <c r="V433" s="30" t="s">
        <v>50</v>
      </c>
      <c r="W433" s="30"/>
      <c r="X433" s="30"/>
      <c r="Y433" s="30"/>
      <c r="Z433" s="30"/>
      <c r="AA433" s="30"/>
      <c r="AB433" s="29"/>
      <c r="AC433" s="29"/>
      <c r="AD433" s="37">
        <f t="shared" si="87"/>
        <v>27922</v>
      </c>
      <c r="AE433" s="3" t="str">
        <f t="shared" ca="1" si="86"/>
        <v>50 Tahun 2 bulan 21 Hari</v>
      </c>
      <c r="AF433" s="38">
        <f t="shared" si="88"/>
        <v>49857</v>
      </c>
    </row>
    <row r="434" spans="1:32" s="7" customFormat="1" ht="32.15" customHeight="1" x14ac:dyDescent="0.35">
      <c r="A434" s="26">
        <f t="shared" si="89"/>
        <v>407</v>
      </c>
      <c r="B434" s="27" t="s">
        <v>1270</v>
      </c>
      <c r="C434" s="26"/>
      <c r="D434" s="50" t="s">
        <v>1280</v>
      </c>
      <c r="E434" s="100" t="s">
        <v>108</v>
      </c>
      <c r="F434" s="24"/>
      <c r="G434" s="4"/>
      <c r="H434" s="4"/>
      <c r="I434" s="4"/>
      <c r="J434" s="5"/>
      <c r="K434" s="3" t="str">
        <f t="shared" ca="1" si="83"/>
        <v/>
      </c>
      <c r="L434" s="30" t="s">
        <v>88</v>
      </c>
      <c r="M434" s="5"/>
      <c r="N434" s="3" t="str">
        <f t="shared" ca="1" si="84"/>
        <v/>
      </c>
      <c r="O434" s="4"/>
      <c r="P434" s="4" t="s">
        <v>35</v>
      </c>
      <c r="Q434" s="4" t="str">
        <f t="shared" si="85"/>
        <v/>
      </c>
      <c r="R434" s="4">
        <f t="shared" si="92"/>
        <v>1</v>
      </c>
      <c r="S434" s="4" t="str">
        <f t="shared" si="94"/>
        <v>0</v>
      </c>
      <c r="T434" s="4">
        <f t="shared" si="93"/>
        <v>1</v>
      </c>
      <c r="U434" s="29"/>
      <c r="V434" s="30" t="s">
        <v>50</v>
      </c>
      <c r="W434" s="30"/>
      <c r="X434" s="30"/>
      <c r="Y434" s="30"/>
      <c r="Z434" s="30"/>
      <c r="AA434" s="30"/>
      <c r="AB434" s="29"/>
      <c r="AC434" s="29"/>
      <c r="AD434" s="37" t="str">
        <f t="shared" si="87"/>
        <v/>
      </c>
      <c r="AE434" s="3" t="str">
        <f t="shared" ca="1" si="86"/>
        <v/>
      </c>
      <c r="AF434" s="38" t="str">
        <f t="shared" si="88"/>
        <v/>
      </c>
    </row>
    <row r="435" spans="1:32" s="7" customFormat="1" ht="32.15" customHeight="1" x14ac:dyDescent="0.35">
      <c r="A435" s="26">
        <f t="shared" si="89"/>
        <v>408</v>
      </c>
      <c r="B435" s="27" t="s">
        <v>1270</v>
      </c>
      <c r="C435" s="26"/>
      <c r="D435" s="50" t="s">
        <v>1284</v>
      </c>
      <c r="E435" s="24" t="s">
        <v>1285</v>
      </c>
      <c r="F435" s="24" t="s">
        <v>43</v>
      </c>
      <c r="G435" s="4" t="s">
        <v>2970</v>
      </c>
      <c r="H435" s="4" t="s">
        <v>2971</v>
      </c>
      <c r="I435" s="36" t="s">
        <v>46</v>
      </c>
      <c r="J435" s="5">
        <v>45993</v>
      </c>
      <c r="K435" s="3" t="str">
        <f t="shared" ca="1" si="83"/>
        <v xml:space="preserve">0 Tahun 8 bulan </v>
      </c>
      <c r="L435" s="30" t="s">
        <v>200</v>
      </c>
      <c r="M435" s="5">
        <v>45993</v>
      </c>
      <c r="N435" s="3" t="str">
        <f t="shared" ca="1" si="84"/>
        <v xml:space="preserve">0 Tahun 8 bulan </v>
      </c>
      <c r="O435" s="4"/>
      <c r="P435" s="4" t="s">
        <v>35</v>
      </c>
      <c r="Q435" s="4" t="str">
        <f t="shared" si="85"/>
        <v>Perempuan</v>
      </c>
      <c r="R435" s="4">
        <f t="shared" si="92"/>
        <v>1</v>
      </c>
      <c r="S435" s="4" t="str">
        <f t="shared" si="94"/>
        <v>1</v>
      </c>
      <c r="T435" s="4">
        <f t="shared" si="93"/>
        <v>0</v>
      </c>
      <c r="U435" s="29"/>
      <c r="V435" s="30" t="s">
        <v>50</v>
      </c>
      <c r="W435" s="30"/>
      <c r="X435" s="30"/>
      <c r="Y435" s="30"/>
      <c r="Z435" s="30"/>
      <c r="AA435" s="30"/>
      <c r="AB435" s="29"/>
      <c r="AC435" s="29"/>
      <c r="AD435" s="37">
        <f t="shared" si="87"/>
        <v>30115</v>
      </c>
      <c r="AE435" s="3" t="str">
        <f t="shared" ca="1" si="86"/>
        <v>44 Tahun 2 bulan 19 Hari</v>
      </c>
      <c r="AF435" s="38">
        <f t="shared" si="88"/>
        <v>52048</v>
      </c>
    </row>
    <row r="436" spans="1:32" s="7" customFormat="1" ht="32.15" customHeight="1" x14ac:dyDescent="0.35">
      <c r="A436" s="26">
        <f t="shared" si="89"/>
        <v>409</v>
      </c>
      <c r="B436" s="27" t="s">
        <v>1270</v>
      </c>
      <c r="C436" s="26"/>
      <c r="D436" s="50" t="s">
        <v>1286</v>
      </c>
      <c r="E436" s="24" t="s">
        <v>1287</v>
      </c>
      <c r="F436" s="24" t="s">
        <v>43</v>
      </c>
      <c r="G436" s="3" t="s">
        <v>1288</v>
      </c>
      <c r="H436" s="56" t="s">
        <v>891</v>
      </c>
      <c r="I436" s="33" t="s">
        <v>368</v>
      </c>
      <c r="J436" s="5">
        <v>44561</v>
      </c>
      <c r="K436" s="3" t="str">
        <f t="shared" ca="1" si="83"/>
        <v xml:space="preserve">4 Tahun 8 bulan </v>
      </c>
      <c r="L436" s="30" t="s">
        <v>88</v>
      </c>
      <c r="M436" s="5">
        <v>44561</v>
      </c>
      <c r="N436" s="3" t="str">
        <f t="shared" ca="1" si="84"/>
        <v xml:space="preserve">4 Tahun 8 bulan </v>
      </c>
      <c r="O436" s="4"/>
      <c r="P436" s="4" t="s">
        <v>35</v>
      </c>
      <c r="Q436" s="4" t="str">
        <f t="shared" si="85"/>
        <v>Perempuan</v>
      </c>
      <c r="R436" s="4">
        <f t="shared" si="92"/>
        <v>1</v>
      </c>
      <c r="S436" s="4" t="str">
        <f t="shared" si="94"/>
        <v>1</v>
      </c>
      <c r="T436" s="4">
        <f t="shared" si="93"/>
        <v>0</v>
      </c>
      <c r="U436" s="29"/>
      <c r="V436" s="30"/>
      <c r="W436" s="30"/>
      <c r="X436" s="30"/>
      <c r="Y436" s="30"/>
      <c r="Z436" s="30"/>
      <c r="AA436" s="30"/>
      <c r="AB436" s="29"/>
      <c r="AC436" s="29"/>
      <c r="AD436" s="37">
        <f t="shared" si="87"/>
        <v>29951</v>
      </c>
      <c r="AE436" s="3" t="str">
        <f t="shared" ca="1" si="86"/>
        <v>44 Tahun 8 bulan 1 Hari</v>
      </c>
      <c r="AF436" s="38">
        <f t="shared" si="88"/>
        <v>51867</v>
      </c>
    </row>
    <row r="437" spans="1:32" s="7" customFormat="1" ht="32.15" customHeight="1" x14ac:dyDescent="0.35">
      <c r="A437" s="26">
        <f t="shared" si="89"/>
        <v>410</v>
      </c>
      <c r="B437" s="27" t="s">
        <v>1270</v>
      </c>
      <c r="C437" s="256" t="s">
        <v>1289</v>
      </c>
      <c r="D437" s="257"/>
      <c r="E437" s="39" t="s">
        <v>1290</v>
      </c>
      <c r="F437" s="24" t="s">
        <v>43</v>
      </c>
      <c r="G437" s="40" t="s">
        <v>1291</v>
      </c>
      <c r="H437" s="4" t="s">
        <v>1275</v>
      </c>
      <c r="I437" s="25" t="s">
        <v>1292</v>
      </c>
      <c r="J437" s="5" t="s">
        <v>98</v>
      </c>
      <c r="K437" s="3" t="str">
        <f t="shared" ca="1" si="83"/>
        <v xml:space="preserve">3 Tahun 0 bulan </v>
      </c>
      <c r="L437" s="30" t="s">
        <v>346</v>
      </c>
      <c r="M437" s="5" t="s">
        <v>98</v>
      </c>
      <c r="N437" s="3" t="str">
        <f t="shared" ca="1" si="84"/>
        <v xml:space="preserve">3 Tahun 0 bulan </v>
      </c>
      <c r="O437" s="56"/>
      <c r="P437" s="4"/>
      <c r="Q437" s="4" t="str">
        <f t="shared" si="85"/>
        <v>Laki-Laki</v>
      </c>
      <c r="R437" s="4">
        <f t="shared" si="92"/>
        <v>1</v>
      </c>
      <c r="S437" s="4" t="str">
        <f t="shared" si="94"/>
        <v>1</v>
      </c>
      <c r="T437" s="4">
        <f t="shared" si="93"/>
        <v>0</v>
      </c>
      <c r="U437" s="29"/>
      <c r="V437" s="30"/>
      <c r="W437" s="30"/>
      <c r="X437" s="30"/>
      <c r="Y437" s="30"/>
      <c r="Z437" s="30"/>
      <c r="AA437" s="30"/>
      <c r="AB437" s="29"/>
      <c r="AC437" s="29"/>
      <c r="AD437" s="37">
        <f t="shared" si="87"/>
        <v>28335</v>
      </c>
      <c r="AE437" s="3" t="str">
        <f t="shared" ca="1" si="86"/>
        <v>49 Tahun 1 bulan 3 Hari</v>
      </c>
      <c r="AF437" s="38">
        <f t="shared" si="88"/>
        <v>50253</v>
      </c>
    </row>
    <row r="438" spans="1:32" s="7" customFormat="1" ht="32.15" customHeight="1" x14ac:dyDescent="0.35">
      <c r="A438" s="26">
        <f t="shared" si="89"/>
        <v>411</v>
      </c>
      <c r="B438" s="27" t="s">
        <v>1270</v>
      </c>
      <c r="C438" s="26"/>
      <c r="D438" s="50" t="s">
        <v>1293</v>
      </c>
      <c r="E438" s="24" t="s">
        <v>108</v>
      </c>
      <c r="F438" s="24"/>
      <c r="G438" s="3"/>
      <c r="H438" s="4"/>
      <c r="I438" s="33"/>
      <c r="J438" s="49"/>
      <c r="K438" s="3" t="str">
        <f t="shared" ca="1" si="83"/>
        <v/>
      </c>
      <c r="L438" s="30" t="s">
        <v>88</v>
      </c>
      <c r="M438" s="49"/>
      <c r="N438" s="3" t="str">
        <f t="shared" ca="1" si="84"/>
        <v/>
      </c>
      <c r="O438" s="4"/>
      <c r="P438" s="4"/>
      <c r="Q438" s="4" t="str">
        <f t="shared" si="85"/>
        <v/>
      </c>
      <c r="R438" s="4">
        <f t="shared" si="92"/>
        <v>1</v>
      </c>
      <c r="S438" s="4" t="str">
        <f t="shared" si="94"/>
        <v>0</v>
      </c>
      <c r="T438" s="4">
        <f t="shared" si="93"/>
        <v>1</v>
      </c>
      <c r="U438" s="29"/>
      <c r="V438" s="30"/>
      <c r="W438" s="30"/>
      <c r="X438" s="30"/>
      <c r="Y438" s="30"/>
      <c r="Z438" s="30"/>
      <c r="AA438" s="30"/>
      <c r="AB438" s="29"/>
      <c r="AC438" s="29"/>
      <c r="AD438" s="37" t="str">
        <f t="shared" si="87"/>
        <v/>
      </c>
      <c r="AE438" s="3" t="str">
        <f t="shared" ca="1" si="86"/>
        <v/>
      </c>
      <c r="AF438" s="38" t="str">
        <f t="shared" si="88"/>
        <v/>
      </c>
    </row>
    <row r="439" spans="1:32" s="7" customFormat="1" ht="32.15" customHeight="1" x14ac:dyDescent="0.35">
      <c r="A439" s="26">
        <f t="shared" si="89"/>
        <v>412</v>
      </c>
      <c r="B439" s="27" t="s">
        <v>1270</v>
      </c>
      <c r="C439" s="26"/>
      <c r="D439" s="50" t="s">
        <v>1293</v>
      </c>
      <c r="E439" s="39" t="s">
        <v>1294</v>
      </c>
      <c r="F439" s="24" t="s">
        <v>43</v>
      </c>
      <c r="G439" s="25" t="s">
        <v>1295</v>
      </c>
      <c r="H439" s="4" t="s">
        <v>1296</v>
      </c>
      <c r="I439" s="25" t="s">
        <v>1297</v>
      </c>
      <c r="J439" s="5" t="s">
        <v>87</v>
      </c>
      <c r="K439" s="3" t="str">
        <f t="shared" ca="1" si="83"/>
        <v xml:space="preserve">4 Tahun 8 bulan </v>
      </c>
      <c r="L439" s="30" t="s">
        <v>88</v>
      </c>
      <c r="M439" s="5">
        <v>44561</v>
      </c>
      <c r="N439" s="3" t="str">
        <f t="shared" ca="1" si="84"/>
        <v xml:space="preserve">4 Tahun 8 bulan </v>
      </c>
      <c r="O439" s="35"/>
      <c r="P439" s="4" t="s">
        <v>35</v>
      </c>
      <c r="Q439" s="4" t="str">
        <f t="shared" si="85"/>
        <v>Perempuan</v>
      </c>
      <c r="R439" s="4">
        <f t="shared" si="92"/>
        <v>1</v>
      </c>
      <c r="S439" s="4" t="str">
        <f t="shared" si="94"/>
        <v>1</v>
      </c>
      <c r="T439" s="4">
        <f t="shared" si="93"/>
        <v>0</v>
      </c>
      <c r="U439" s="29"/>
      <c r="V439" s="30"/>
      <c r="W439" s="30"/>
      <c r="X439" s="30"/>
      <c r="Y439" s="30"/>
      <c r="Z439" s="30"/>
      <c r="AA439" s="30"/>
      <c r="AB439" s="29"/>
      <c r="AC439" s="29"/>
      <c r="AD439" s="37">
        <f t="shared" si="87"/>
        <v>28789</v>
      </c>
      <c r="AE439" s="3" t="str">
        <f t="shared" ca="1" si="86"/>
        <v>47 Tahun 10 bulan 6 Hari</v>
      </c>
      <c r="AF439" s="38">
        <f t="shared" si="88"/>
        <v>50710</v>
      </c>
    </row>
    <row r="440" spans="1:32" s="7" customFormat="1" ht="32.15" customHeight="1" x14ac:dyDescent="0.35">
      <c r="A440" s="26">
        <f t="shared" si="89"/>
        <v>413</v>
      </c>
      <c r="B440" s="27" t="s">
        <v>1270</v>
      </c>
      <c r="C440" s="26"/>
      <c r="D440" s="50" t="s">
        <v>1298</v>
      </c>
      <c r="E440" s="39" t="s">
        <v>1299</v>
      </c>
      <c r="F440" s="24" t="s">
        <v>43</v>
      </c>
      <c r="G440" s="25" t="s">
        <v>1300</v>
      </c>
      <c r="H440" s="4" t="s">
        <v>159</v>
      </c>
      <c r="I440" s="25" t="s">
        <v>107</v>
      </c>
      <c r="J440" s="5" t="s">
        <v>87</v>
      </c>
      <c r="K440" s="3" t="str">
        <f t="shared" ca="1" si="83"/>
        <v xml:space="preserve">4 Tahun 8 bulan </v>
      </c>
      <c r="L440" s="30" t="s">
        <v>88</v>
      </c>
      <c r="M440" s="5">
        <v>44561</v>
      </c>
      <c r="N440" s="3" t="str">
        <f t="shared" ca="1" si="84"/>
        <v xml:space="preserve">4 Tahun 8 bulan </v>
      </c>
      <c r="O440" s="35"/>
      <c r="P440" s="4" t="s">
        <v>35</v>
      </c>
      <c r="Q440" s="4" t="str">
        <f t="shared" si="85"/>
        <v>Laki-Laki</v>
      </c>
      <c r="R440" s="4">
        <f t="shared" si="92"/>
        <v>1</v>
      </c>
      <c r="S440" s="4" t="str">
        <f t="shared" si="94"/>
        <v>1</v>
      </c>
      <c r="T440" s="4">
        <f t="shared" si="93"/>
        <v>0</v>
      </c>
      <c r="U440" s="29"/>
      <c r="V440" s="30" t="s">
        <v>50</v>
      </c>
      <c r="W440" s="30"/>
      <c r="X440" s="30"/>
      <c r="Y440" s="30"/>
      <c r="Z440" s="30"/>
      <c r="AA440" s="30"/>
      <c r="AB440" s="29"/>
      <c r="AC440" s="29"/>
      <c r="AD440" s="37">
        <f t="shared" si="87"/>
        <v>31614</v>
      </c>
      <c r="AE440" s="3" t="str">
        <f t="shared" ca="1" si="86"/>
        <v>40 Tahun 1 bulan 11 Hari</v>
      </c>
      <c r="AF440" s="38">
        <f t="shared" si="88"/>
        <v>53540</v>
      </c>
    </row>
    <row r="441" spans="1:32" s="7" customFormat="1" ht="32.15" customHeight="1" x14ac:dyDescent="0.35">
      <c r="A441" s="26">
        <f t="shared" si="89"/>
        <v>414</v>
      </c>
      <c r="B441" s="27" t="s">
        <v>1270</v>
      </c>
      <c r="C441" s="256" t="s">
        <v>1301</v>
      </c>
      <c r="D441" s="257"/>
      <c r="E441" s="24" t="s">
        <v>1302</v>
      </c>
      <c r="F441" s="24" t="s">
        <v>43</v>
      </c>
      <c r="G441" s="3" t="s">
        <v>1303</v>
      </c>
      <c r="H441" s="4" t="s">
        <v>1304</v>
      </c>
      <c r="I441" s="33" t="s">
        <v>1305</v>
      </c>
      <c r="J441" s="5" t="s">
        <v>98</v>
      </c>
      <c r="K441" s="3" t="str">
        <f t="shared" ca="1" si="83"/>
        <v xml:space="preserve">3 Tahun 0 bulan </v>
      </c>
      <c r="L441" s="30" t="s">
        <v>346</v>
      </c>
      <c r="M441" s="5" t="s">
        <v>98</v>
      </c>
      <c r="N441" s="3" t="str">
        <f t="shared" ca="1" si="84"/>
        <v xml:space="preserve">3 Tahun 0 bulan </v>
      </c>
      <c r="O441" s="35"/>
      <c r="P441" s="4" t="s">
        <v>35</v>
      </c>
      <c r="Q441" s="4" t="str">
        <f t="shared" si="85"/>
        <v>Laki-Laki</v>
      </c>
      <c r="R441" s="4">
        <f t="shared" si="92"/>
        <v>1</v>
      </c>
      <c r="S441" s="4" t="str">
        <f t="shared" si="94"/>
        <v>1</v>
      </c>
      <c r="T441" s="4">
        <f t="shared" si="93"/>
        <v>0</v>
      </c>
      <c r="U441" s="29"/>
      <c r="V441" s="30" t="s">
        <v>50</v>
      </c>
      <c r="W441" s="30"/>
      <c r="X441" s="30"/>
      <c r="Y441" s="30"/>
      <c r="Z441" s="30"/>
      <c r="AA441" s="30"/>
      <c r="AB441" s="29"/>
      <c r="AC441" s="29"/>
      <c r="AD441" s="37">
        <f t="shared" si="87"/>
        <v>27881</v>
      </c>
      <c r="AE441" s="3" t="str">
        <f t="shared" ca="1" si="86"/>
        <v>50 Tahun 4 bulan 0 Hari</v>
      </c>
      <c r="AF441" s="38">
        <f t="shared" si="88"/>
        <v>49827</v>
      </c>
    </row>
    <row r="442" spans="1:32" s="7" customFormat="1" ht="32.15" customHeight="1" x14ac:dyDescent="0.35">
      <c r="A442" s="26">
        <f t="shared" si="89"/>
        <v>415</v>
      </c>
      <c r="B442" s="27" t="s">
        <v>1270</v>
      </c>
      <c r="C442" s="26"/>
      <c r="D442" s="50" t="s">
        <v>1306</v>
      </c>
      <c r="E442" s="39" t="s">
        <v>1307</v>
      </c>
      <c r="F442" s="24" t="s">
        <v>43</v>
      </c>
      <c r="G442" s="25" t="s">
        <v>1308</v>
      </c>
      <c r="H442" s="4" t="s">
        <v>554</v>
      </c>
      <c r="I442" s="25" t="s">
        <v>138</v>
      </c>
      <c r="J442" s="5">
        <v>44561</v>
      </c>
      <c r="K442" s="3" t="str">
        <f t="shared" ca="1" si="83"/>
        <v xml:space="preserve">4 Tahun 8 bulan </v>
      </c>
      <c r="L442" s="30" t="s">
        <v>88</v>
      </c>
      <c r="M442" s="5">
        <v>44561</v>
      </c>
      <c r="N442" s="3" t="str">
        <f t="shared" ca="1" si="84"/>
        <v xml:space="preserve">4 Tahun 8 bulan </v>
      </c>
      <c r="O442" s="35"/>
      <c r="P442" s="4" t="s">
        <v>35</v>
      </c>
      <c r="Q442" s="4" t="str">
        <f t="shared" si="85"/>
        <v/>
      </c>
      <c r="R442" s="4">
        <f t="shared" si="92"/>
        <v>1</v>
      </c>
      <c r="S442" s="4" t="str">
        <f t="shared" si="94"/>
        <v>1</v>
      </c>
      <c r="T442" s="4">
        <f t="shared" si="93"/>
        <v>0</v>
      </c>
      <c r="U442" s="29"/>
      <c r="V442" s="30" t="s">
        <v>50</v>
      </c>
      <c r="W442" s="30"/>
      <c r="X442" s="30"/>
      <c r="Y442" s="30"/>
      <c r="Z442" s="30"/>
      <c r="AA442" s="30"/>
      <c r="AB442" s="29"/>
      <c r="AC442" s="29"/>
      <c r="AD442" s="37">
        <f t="shared" si="87"/>
        <v>32315</v>
      </c>
      <c r="AE442" s="3" t="str">
        <f t="shared" ca="1" si="86"/>
        <v>38 Tahun 2 bulan 11 Hari</v>
      </c>
      <c r="AF442" s="38">
        <f t="shared" si="88"/>
        <v>54240</v>
      </c>
    </row>
    <row r="443" spans="1:32" s="7" customFormat="1" ht="32.15" customHeight="1" x14ac:dyDescent="0.35">
      <c r="A443" s="26">
        <f t="shared" si="89"/>
        <v>416</v>
      </c>
      <c r="B443" s="27" t="s">
        <v>1270</v>
      </c>
      <c r="C443" s="26"/>
      <c r="D443" s="50" t="s">
        <v>1309</v>
      </c>
      <c r="E443" s="93" t="s">
        <v>1310</v>
      </c>
      <c r="F443" s="24" t="s">
        <v>43</v>
      </c>
      <c r="G443" s="94" t="s">
        <v>1311</v>
      </c>
      <c r="H443" s="98" t="s">
        <v>554</v>
      </c>
      <c r="I443" s="25" t="s">
        <v>107</v>
      </c>
      <c r="J443" s="5">
        <v>44561</v>
      </c>
      <c r="K443" s="3" t="str">
        <f t="shared" ca="1" si="83"/>
        <v xml:space="preserve">4 Tahun 8 bulan </v>
      </c>
      <c r="L443" s="30" t="s">
        <v>88</v>
      </c>
      <c r="M443" s="5">
        <v>44561</v>
      </c>
      <c r="N443" s="3" t="str">
        <f t="shared" ca="1" si="84"/>
        <v xml:space="preserve">4 Tahun 8 bulan </v>
      </c>
      <c r="O443" s="56"/>
      <c r="P443" s="4" t="s">
        <v>35</v>
      </c>
      <c r="Q443" s="4" t="str">
        <f t="shared" si="85"/>
        <v>Laki-Laki</v>
      </c>
      <c r="R443" s="4">
        <f t="shared" si="92"/>
        <v>1</v>
      </c>
      <c r="S443" s="4" t="str">
        <f t="shared" si="94"/>
        <v>1</v>
      </c>
      <c r="T443" s="4">
        <f t="shared" si="93"/>
        <v>0</v>
      </c>
      <c r="U443" s="29"/>
      <c r="V443" s="30" t="s">
        <v>50</v>
      </c>
      <c r="W443" s="30"/>
      <c r="X443" s="30"/>
      <c r="Y443" s="30"/>
      <c r="Z443" s="30"/>
      <c r="AA443" s="30"/>
      <c r="AB443" s="29"/>
      <c r="AC443" s="29"/>
      <c r="AD443" s="37">
        <f t="shared" si="87"/>
        <v>30276</v>
      </c>
      <c r="AE443" s="3" t="str">
        <f t="shared" ca="1" si="86"/>
        <v>43 Tahun 9 bulan 11 Hari</v>
      </c>
      <c r="AF443" s="38">
        <f t="shared" si="88"/>
        <v>52201</v>
      </c>
    </row>
    <row r="444" spans="1:32" s="7" customFormat="1" ht="32.15" customHeight="1" x14ac:dyDescent="0.35">
      <c r="A444" s="26">
        <f t="shared" si="89"/>
        <v>417</v>
      </c>
      <c r="B444" s="27" t="s">
        <v>1270</v>
      </c>
      <c r="C444" s="26"/>
      <c r="D444" s="50" t="s">
        <v>1312</v>
      </c>
      <c r="E444" s="39" t="s">
        <v>1313</v>
      </c>
      <c r="F444" s="24" t="s">
        <v>43</v>
      </c>
      <c r="G444" s="25" t="s">
        <v>1314</v>
      </c>
      <c r="H444" s="4" t="s">
        <v>1315</v>
      </c>
      <c r="I444" s="25" t="s">
        <v>441</v>
      </c>
      <c r="J444" s="5">
        <v>44561</v>
      </c>
      <c r="K444" s="3" t="str">
        <f t="shared" ca="1" si="83"/>
        <v xml:space="preserve">4 Tahun 8 bulan </v>
      </c>
      <c r="L444" s="30" t="s">
        <v>88</v>
      </c>
      <c r="M444" s="5">
        <v>44561</v>
      </c>
      <c r="N444" s="3" t="str">
        <f t="shared" ca="1" si="84"/>
        <v xml:space="preserve">4 Tahun 8 bulan </v>
      </c>
      <c r="O444" s="35"/>
      <c r="P444" s="4" t="s">
        <v>35</v>
      </c>
      <c r="Q444" s="4" t="str">
        <f t="shared" si="85"/>
        <v>Laki-Laki</v>
      </c>
      <c r="R444" s="4">
        <f t="shared" si="92"/>
        <v>1</v>
      </c>
      <c r="S444" s="4" t="str">
        <f t="shared" si="94"/>
        <v>1</v>
      </c>
      <c r="T444" s="4">
        <f t="shared" si="93"/>
        <v>0</v>
      </c>
      <c r="U444" s="29"/>
      <c r="V444" s="30" t="s">
        <v>50</v>
      </c>
      <c r="W444" s="30"/>
      <c r="X444" s="30"/>
      <c r="Y444" s="30"/>
      <c r="Z444" s="30"/>
      <c r="AA444" s="30"/>
      <c r="AB444" s="29"/>
      <c r="AC444" s="29"/>
      <c r="AD444" s="37">
        <f t="shared" si="87"/>
        <v>26731</v>
      </c>
      <c r="AE444" s="3" t="str">
        <f t="shared" ca="1" si="86"/>
        <v>53 Tahun 5 bulan 24 Hari</v>
      </c>
      <c r="AF444" s="38">
        <f t="shared" si="88"/>
        <v>48670</v>
      </c>
    </row>
    <row r="445" spans="1:32" s="7" customFormat="1" ht="32.15" customHeight="1" x14ac:dyDescent="0.35">
      <c r="A445" s="26">
        <f t="shared" si="89"/>
        <v>418</v>
      </c>
      <c r="B445" s="27" t="s">
        <v>1270</v>
      </c>
      <c r="C445" s="256" t="s">
        <v>1316</v>
      </c>
      <c r="D445" s="257"/>
      <c r="E445" s="39" t="s">
        <v>1317</v>
      </c>
      <c r="F445" s="24" t="s">
        <v>43</v>
      </c>
      <c r="G445" s="25" t="s">
        <v>1318</v>
      </c>
      <c r="H445" s="4" t="s">
        <v>1179</v>
      </c>
      <c r="I445" s="25" t="s">
        <v>415</v>
      </c>
      <c r="J445" s="5">
        <v>45916</v>
      </c>
      <c r="K445" s="3" t="str">
        <f t="shared" ca="1" si="83"/>
        <v xml:space="preserve">0 Tahun 11 bulan </v>
      </c>
      <c r="L445" s="30" t="s">
        <v>346</v>
      </c>
      <c r="M445" s="5">
        <v>45916</v>
      </c>
      <c r="N445" s="3" t="str">
        <f t="shared" ca="1" si="84"/>
        <v xml:space="preserve">0 Tahun 11 bulan </v>
      </c>
      <c r="O445" s="35"/>
      <c r="P445" s="4" t="s">
        <v>35</v>
      </c>
      <c r="Q445" s="4" t="str">
        <f t="shared" si="85"/>
        <v>Laki-Laki</v>
      </c>
      <c r="R445" s="4">
        <f t="shared" si="92"/>
        <v>1</v>
      </c>
      <c r="S445" s="4" t="str">
        <f t="shared" si="94"/>
        <v>1</v>
      </c>
      <c r="T445" s="4">
        <f t="shared" si="93"/>
        <v>0</v>
      </c>
      <c r="U445" s="29"/>
      <c r="V445" s="30" t="s">
        <v>50</v>
      </c>
      <c r="W445" s="30"/>
      <c r="X445" s="30"/>
      <c r="Y445" s="30"/>
      <c r="Z445" s="30"/>
      <c r="AA445" s="30"/>
      <c r="AB445" s="29"/>
      <c r="AC445" s="29"/>
      <c r="AD445" s="37">
        <f t="shared" si="87"/>
        <v>27834</v>
      </c>
      <c r="AE445" s="3" t="str">
        <f t="shared" ca="1" si="86"/>
        <v>50 Tahun 5 bulan 17 Hari</v>
      </c>
      <c r="AF445" s="38">
        <f t="shared" si="88"/>
        <v>49766</v>
      </c>
    </row>
    <row r="446" spans="1:32" s="7" customFormat="1" ht="32.15" customHeight="1" x14ac:dyDescent="0.35">
      <c r="A446" s="26">
        <f t="shared" si="89"/>
        <v>419</v>
      </c>
      <c r="B446" s="27" t="s">
        <v>1270</v>
      </c>
      <c r="C446" s="26"/>
      <c r="D446" s="50" t="s">
        <v>1319</v>
      </c>
      <c r="E446" s="39" t="s">
        <v>1320</v>
      </c>
      <c r="F446" s="24" t="s">
        <v>43</v>
      </c>
      <c r="G446" s="25" t="s">
        <v>1321</v>
      </c>
      <c r="H446" s="4" t="s">
        <v>584</v>
      </c>
      <c r="I446" s="25" t="s">
        <v>1322</v>
      </c>
      <c r="J446" s="5">
        <v>44561</v>
      </c>
      <c r="K446" s="3" t="str">
        <f t="shared" ca="1" si="83"/>
        <v xml:space="preserve">4 Tahun 8 bulan </v>
      </c>
      <c r="L446" s="30" t="s">
        <v>88</v>
      </c>
      <c r="M446" s="5">
        <v>44561</v>
      </c>
      <c r="N446" s="3" t="str">
        <f t="shared" ca="1" si="84"/>
        <v xml:space="preserve">4 Tahun 8 bulan </v>
      </c>
      <c r="O446" s="35"/>
      <c r="P446" s="4" t="s">
        <v>35</v>
      </c>
      <c r="Q446" s="4" t="str">
        <f t="shared" si="85"/>
        <v>Laki-Laki</v>
      </c>
      <c r="R446" s="4">
        <f t="shared" si="92"/>
        <v>1</v>
      </c>
      <c r="S446" s="4" t="str">
        <f t="shared" si="94"/>
        <v>1</v>
      </c>
      <c r="T446" s="4">
        <f t="shared" si="93"/>
        <v>0</v>
      </c>
      <c r="U446" s="29"/>
      <c r="V446" s="30" t="s">
        <v>50</v>
      </c>
      <c r="W446" s="30"/>
      <c r="X446" s="30"/>
      <c r="Y446" s="30"/>
      <c r="Z446" s="30"/>
      <c r="AA446" s="30"/>
      <c r="AB446" s="29"/>
      <c r="AC446" s="29"/>
      <c r="AD446" s="37">
        <f t="shared" si="87"/>
        <v>31215</v>
      </c>
      <c r="AE446" s="3" t="str">
        <f t="shared" ca="1" si="86"/>
        <v>41 Tahun 2 bulan 15 Hari</v>
      </c>
      <c r="AF446" s="38">
        <f t="shared" si="88"/>
        <v>53144</v>
      </c>
    </row>
    <row r="447" spans="1:32" s="7" customFormat="1" ht="32.15" customHeight="1" x14ac:dyDescent="0.35">
      <c r="A447" s="26">
        <f t="shared" si="89"/>
        <v>420</v>
      </c>
      <c r="B447" s="27" t="s">
        <v>1270</v>
      </c>
      <c r="C447" s="26"/>
      <c r="D447" s="50" t="s">
        <v>1323</v>
      </c>
      <c r="E447" s="39" t="s">
        <v>1324</v>
      </c>
      <c r="F447" s="24" t="s">
        <v>43</v>
      </c>
      <c r="G447" s="25" t="s">
        <v>1325</v>
      </c>
      <c r="H447" s="4" t="s">
        <v>687</v>
      </c>
      <c r="I447" s="25" t="s">
        <v>589</v>
      </c>
      <c r="J447" s="5">
        <v>44561</v>
      </c>
      <c r="K447" s="3" t="str">
        <f t="shared" ca="1" si="83"/>
        <v xml:space="preserve">4 Tahun 8 bulan </v>
      </c>
      <c r="L447" s="30" t="s">
        <v>88</v>
      </c>
      <c r="M447" s="5">
        <v>44561</v>
      </c>
      <c r="N447" s="3" t="str">
        <f t="shared" ca="1" si="84"/>
        <v xml:space="preserve">4 Tahun 8 bulan </v>
      </c>
      <c r="O447" s="35"/>
      <c r="P447" s="4" t="s">
        <v>35</v>
      </c>
      <c r="Q447" s="4" t="str">
        <f t="shared" si="85"/>
        <v>Laki-Laki</v>
      </c>
      <c r="R447" s="4">
        <f t="shared" si="92"/>
        <v>1</v>
      </c>
      <c r="S447" s="4" t="str">
        <f t="shared" si="94"/>
        <v>1</v>
      </c>
      <c r="T447" s="4">
        <f t="shared" si="93"/>
        <v>0</v>
      </c>
      <c r="U447" s="29"/>
      <c r="V447" s="30" t="s">
        <v>50</v>
      </c>
      <c r="W447" s="30"/>
      <c r="X447" s="30"/>
      <c r="Y447" s="30"/>
      <c r="Z447" s="30"/>
      <c r="AA447" s="30"/>
      <c r="AB447" s="29"/>
      <c r="AC447" s="29"/>
      <c r="AD447" s="37">
        <f t="shared" si="87"/>
        <v>26879</v>
      </c>
      <c r="AE447" s="3" t="str">
        <f t="shared" ca="1" si="86"/>
        <v>53 Tahun 0 bulan 29 Hari</v>
      </c>
      <c r="AF447" s="38">
        <f t="shared" si="88"/>
        <v>48823</v>
      </c>
    </row>
    <row r="448" spans="1:32" s="7" customFormat="1" ht="32.15" customHeight="1" x14ac:dyDescent="0.35">
      <c r="A448" s="26">
        <f t="shared" si="89"/>
        <v>421</v>
      </c>
      <c r="B448" s="27" t="s">
        <v>1270</v>
      </c>
      <c r="C448" s="26"/>
      <c r="D448" s="50" t="s">
        <v>1309</v>
      </c>
      <c r="E448" s="39" t="s">
        <v>1326</v>
      </c>
      <c r="F448" s="24" t="s">
        <v>43</v>
      </c>
      <c r="G448" s="25" t="s">
        <v>1327</v>
      </c>
      <c r="H448" s="4" t="s">
        <v>1328</v>
      </c>
      <c r="I448" s="25" t="s">
        <v>1329</v>
      </c>
      <c r="J448" s="5">
        <v>44561</v>
      </c>
      <c r="K448" s="3" t="str">
        <f t="shared" ca="1" si="83"/>
        <v xml:space="preserve">4 Tahun 8 bulan </v>
      </c>
      <c r="L448" s="30" t="s">
        <v>88</v>
      </c>
      <c r="M448" s="5">
        <v>44561</v>
      </c>
      <c r="N448" s="3" t="str">
        <f t="shared" ca="1" si="84"/>
        <v xml:space="preserve">4 Tahun 8 bulan </v>
      </c>
      <c r="O448" s="35"/>
      <c r="P448" s="4" t="s">
        <v>35</v>
      </c>
      <c r="Q448" s="4" t="str">
        <f t="shared" si="85"/>
        <v>Laki-Laki</v>
      </c>
      <c r="R448" s="4">
        <f t="shared" si="92"/>
        <v>1</v>
      </c>
      <c r="S448" s="4" t="str">
        <f t="shared" si="94"/>
        <v>1</v>
      </c>
      <c r="T448" s="4">
        <f t="shared" si="93"/>
        <v>0</v>
      </c>
      <c r="U448" s="29"/>
      <c r="V448" s="30" t="s">
        <v>50</v>
      </c>
      <c r="W448" s="30"/>
      <c r="X448" s="30"/>
      <c r="Y448" s="30"/>
      <c r="Z448" s="30"/>
      <c r="AA448" s="30"/>
      <c r="AB448" s="29"/>
      <c r="AC448" s="29"/>
      <c r="AD448" s="37">
        <f t="shared" si="87"/>
        <v>28094</v>
      </c>
      <c r="AE448" s="3" t="str">
        <f t="shared" ca="1" si="86"/>
        <v>49 Tahun 9 bulan 2 Hari</v>
      </c>
      <c r="AF448" s="38">
        <f t="shared" si="88"/>
        <v>50010</v>
      </c>
    </row>
    <row r="449" spans="1:32" s="7" customFormat="1" ht="32.15" customHeight="1" x14ac:dyDescent="0.35">
      <c r="A449" s="26">
        <f t="shared" si="89"/>
        <v>422</v>
      </c>
      <c r="B449" s="27" t="s">
        <v>1270</v>
      </c>
      <c r="C449" s="256" t="s">
        <v>1330</v>
      </c>
      <c r="D449" s="257"/>
      <c r="E449" s="24" t="s">
        <v>1331</v>
      </c>
      <c r="F449" s="24" t="s">
        <v>43</v>
      </c>
      <c r="G449" s="4" t="s">
        <v>1332</v>
      </c>
      <c r="H449" s="56" t="s">
        <v>313</v>
      </c>
      <c r="I449" s="33" t="s">
        <v>46</v>
      </c>
      <c r="J449" s="5" t="s">
        <v>369</v>
      </c>
      <c r="K449" s="3" t="str">
        <f t="shared" ca="1" si="83"/>
        <v xml:space="preserve">3 Tahun 11 bulan </v>
      </c>
      <c r="L449" s="30" t="s">
        <v>346</v>
      </c>
      <c r="M449" s="5" t="s">
        <v>369</v>
      </c>
      <c r="N449" s="3" t="str">
        <f t="shared" ca="1" si="84"/>
        <v xml:space="preserve">3 Tahun 11 bulan </v>
      </c>
      <c r="O449" s="4"/>
      <c r="P449" s="4"/>
      <c r="Q449" s="4" t="str">
        <f t="shared" si="85"/>
        <v>Laki-Laki</v>
      </c>
      <c r="R449" s="4">
        <f t="shared" si="92"/>
        <v>1</v>
      </c>
      <c r="S449" s="4" t="str">
        <f t="shared" si="94"/>
        <v>1</v>
      </c>
      <c r="T449" s="4">
        <f t="shared" si="93"/>
        <v>0</v>
      </c>
      <c r="U449" s="29"/>
      <c r="V449" s="30"/>
      <c r="W449" s="30"/>
      <c r="X449" s="30"/>
      <c r="Y449" s="30"/>
      <c r="Z449" s="30"/>
      <c r="AA449" s="30"/>
      <c r="AB449" s="29"/>
      <c r="AC449" s="29"/>
      <c r="AD449" s="37">
        <f t="shared" si="87"/>
        <v>31436</v>
      </c>
      <c r="AE449" s="3" t="str">
        <f t="shared" ca="1" si="86"/>
        <v>40 Tahun 7 bulan 8 Hari</v>
      </c>
      <c r="AF449" s="38">
        <f t="shared" si="88"/>
        <v>53359</v>
      </c>
    </row>
    <row r="450" spans="1:32" s="7" customFormat="1" ht="32.15" customHeight="1" x14ac:dyDescent="0.35">
      <c r="A450" s="26">
        <f t="shared" si="89"/>
        <v>423</v>
      </c>
      <c r="B450" s="27" t="s">
        <v>1270</v>
      </c>
      <c r="C450" s="26"/>
      <c r="D450" s="50" t="s">
        <v>1333</v>
      </c>
      <c r="E450" s="24" t="s">
        <v>1334</v>
      </c>
      <c r="F450" s="24" t="s">
        <v>43</v>
      </c>
      <c r="G450" s="4" t="s">
        <v>1335</v>
      </c>
      <c r="H450" s="4" t="s">
        <v>1336</v>
      </c>
      <c r="I450" s="33" t="s">
        <v>1337</v>
      </c>
      <c r="J450" s="5">
        <v>44561</v>
      </c>
      <c r="K450" s="3" t="str">
        <f t="shared" ca="1" si="83"/>
        <v xml:space="preserve">4 Tahun 8 bulan </v>
      </c>
      <c r="L450" s="30" t="s">
        <v>88</v>
      </c>
      <c r="M450" s="5">
        <v>44561</v>
      </c>
      <c r="N450" s="3" t="str">
        <f t="shared" ca="1" si="84"/>
        <v xml:space="preserve">4 Tahun 8 bulan </v>
      </c>
      <c r="O450" s="4"/>
      <c r="P450" s="4" t="s">
        <v>35</v>
      </c>
      <c r="Q450" s="4" t="str">
        <f t="shared" si="85"/>
        <v>Laki-Laki</v>
      </c>
      <c r="R450" s="4">
        <f t="shared" si="92"/>
        <v>1</v>
      </c>
      <c r="S450" s="4" t="str">
        <f t="shared" si="94"/>
        <v>1</v>
      </c>
      <c r="T450" s="4">
        <f t="shared" si="93"/>
        <v>0</v>
      </c>
      <c r="U450" s="29"/>
      <c r="V450" s="30" t="s">
        <v>50</v>
      </c>
      <c r="W450" s="30"/>
      <c r="X450" s="30"/>
      <c r="Y450" s="30"/>
      <c r="Z450" s="30"/>
      <c r="AA450" s="30"/>
      <c r="AB450" s="29"/>
      <c r="AC450" s="29"/>
      <c r="AD450" s="37">
        <f t="shared" si="87"/>
        <v>29911</v>
      </c>
      <c r="AE450" s="3" t="str">
        <f t="shared" ca="1" si="86"/>
        <v>44 Tahun 9 bulan 11 Hari</v>
      </c>
      <c r="AF450" s="38">
        <f t="shared" si="88"/>
        <v>51836</v>
      </c>
    </row>
    <row r="451" spans="1:32" s="7" customFormat="1" ht="32.15" customHeight="1" x14ac:dyDescent="0.35">
      <c r="A451" s="26">
        <f t="shared" si="89"/>
        <v>424</v>
      </c>
      <c r="B451" s="27" t="s">
        <v>1270</v>
      </c>
      <c r="C451" s="26"/>
      <c r="D451" s="50" t="s">
        <v>1333</v>
      </c>
      <c r="E451" s="93" t="s">
        <v>1338</v>
      </c>
      <c r="F451" s="24" t="s">
        <v>43</v>
      </c>
      <c r="G451" s="94" t="s">
        <v>1339</v>
      </c>
      <c r="H451" s="98" t="s">
        <v>414</v>
      </c>
      <c r="I451" s="25" t="s">
        <v>441</v>
      </c>
      <c r="J451" s="5">
        <v>44561</v>
      </c>
      <c r="K451" s="3" t="str">
        <f t="shared" ca="1" si="83"/>
        <v xml:space="preserve">4 Tahun 8 bulan </v>
      </c>
      <c r="L451" s="30" t="s">
        <v>88</v>
      </c>
      <c r="M451" s="5">
        <v>44561</v>
      </c>
      <c r="N451" s="3" t="str">
        <f t="shared" ca="1" si="84"/>
        <v xml:space="preserve">4 Tahun 8 bulan </v>
      </c>
      <c r="O451" s="56"/>
      <c r="P451" s="4" t="s">
        <v>35</v>
      </c>
      <c r="Q451" s="4" t="str">
        <f t="shared" si="85"/>
        <v>Laki-Laki</v>
      </c>
      <c r="R451" s="4">
        <f t="shared" si="92"/>
        <v>1</v>
      </c>
      <c r="S451" s="4" t="str">
        <f t="shared" si="94"/>
        <v>1</v>
      </c>
      <c r="T451" s="4">
        <f t="shared" si="93"/>
        <v>0</v>
      </c>
      <c r="U451" s="29"/>
      <c r="V451" s="30" t="s">
        <v>50</v>
      </c>
      <c r="W451" s="30"/>
      <c r="X451" s="30"/>
      <c r="Y451" s="30"/>
      <c r="Z451" s="30"/>
      <c r="AA451" s="30"/>
      <c r="AB451" s="29"/>
      <c r="AC451" s="29"/>
      <c r="AD451" s="37">
        <f t="shared" si="87"/>
        <v>27956</v>
      </c>
      <c r="AE451" s="3" t="str">
        <f t="shared" ca="1" si="86"/>
        <v>50 Tahun 1 bulan 17 Hari</v>
      </c>
      <c r="AF451" s="38">
        <f t="shared" si="88"/>
        <v>49888</v>
      </c>
    </row>
    <row r="452" spans="1:32" s="7" customFormat="1" ht="32.15" customHeight="1" x14ac:dyDescent="0.35">
      <c r="A452" s="26">
        <f t="shared" si="89"/>
        <v>425</v>
      </c>
      <c r="B452" s="27" t="s">
        <v>1270</v>
      </c>
      <c r="C452" s="26"/>
      <c r="D452" s="50" t="s">
        <v>1340</v>
      </c>
      <c r="E452" s="24" t="s">
        <v>1341</v>
      </c>
      <c r="F452" s="24" t="s">
        <v>43</v>
      </c>
      <c r="G452" s="4" t="s">
        <v>1342</v>
      </c>
      <c r="H452" s="4" t="s">
        <v>414</v>
      </c>
      <c r="I452" s="33" t="s">
        <v>86</v>
      </c>
      <c r="J452" s="5">
        <v>44561</v>
      </c>
      <c r="K452" s="3" t="str">
        <f t="shared" ca="1" si="83"/>
        <v xml:space="preserve">4 Tahun 8 bulan </v>
      </c>
      <c r="L452" s="30" t="s">
        <v>88</v>
      </c>
      <c r="M452" s="5">
        <v>44561</v>
      </c>
      <c r="N452" s="3" t="str">
        <f t="shared" ca="1" si="84"/>
        <v xml:space="preserve">4 Tahun 8 bulan </v>
      </c>
      <c r="O452" s="4"/>
      <c r="P452" s="4" t="s">
        <v>35</v>
      </c>
      <c r="Q452" s="4" t="str">
        <f t="shared" si="85"/>
        <v>Laki-Laki</v>
      </c>
      <c r="R452" s="4">
        <f t="shared" si="92"/>
        <v>1</v>
      </c>
      <c r="S452" s="4" t="str">
        <f t="shared" si="94"/>
        <v>1</v>
      </c>
      <c r="T452" s="4">
        <f t="shared" si="93"/>
        <v>0</v>
      </c>
      <c r="U452" s="29"/>
      <c r="V452" s="30" t="s">
        <v>50</v>
      </c>
      <c r="W452" s="30"/>
      <c r="X452" s="30"/>
      <c r="Y452" s="30"/>
      <c r="Z452" s="30"/>
      <c r="AA452" s="30"/>
      <c r="AB452" s="29"/>
      <c r="AC452" s="29"/>
      <c r="AD452" s="37">
        <f t="shared" si="87"/>
        <v>28615</v>
      </c>
      <c r="AE452" s="3" t="str">
        <f t="shared" ca="1" si="86"/>
        <v>48 Tahun 3 bulan 27 Hari</v>
      </c>
      <c r="AF452" s="38">
        <f t="shared" si="88"/>
        <v>50557</v>
      </c>
    </row>
    <row r="453" spans="1:32" s="7" customFormat="1" ht="32.15" customHeight="1" x14ac:dyDescent="0.35">
      <c r="A453" s="26"/>
      <c r="B453" s="27" t="s">
        <v>1343</v>
      </c>
      <c r="C453" s="280" t="s">
        <v>1344</v>
      </c>
      <c r="D453" s="281"/>
      <c r="E453" s="271" t="str">
        <f ca="1">IF(J453="","",CONCATENATE(DATEDIF(J453,NOW(),"Y")," Tahun ",DATEDIF(J453,NOW(),"YM")," bulan "))</f>
        <v/>
      </c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  <c r="AB453" s="272"/>
      <c r="AC453" s="272"/>
      <c r="AD453" s="272"/>
      <c r="AE453" s="272"/>
      <c r="AF453" s="273"/>
    </row>
    <row r="454" spans="1:32" s="7" customFormat="1" ht="32.15" customHeight="1" x14ac:dyDescent="0.35">
      <c r="A454" s="26">
        <f>A452+1</f>
        <v>426</v>
      </c>
      <c r="B454" s="27" t="s">
        <v>1343</v>
      </c>
      <c r="C454" s="278" t="s">
        <v>1345</v>
      </c>
      <c r="D454" s="279"/>
      <c r="E454" s="24" t="s">
        <v>2877</v>
      </c>
      <c r="F454" s="24" t="s">
        <v>43</v>
      </c>
      <c r="G454" s="3" t="s">
        <v>2878</v>
      </c>
      <c r="H454" s="3" t="s">
        <v>598</v>
      </c>
      <c r="I454" s="3"/>
      <c r="J454" s="66"/>
      <c r="K454" s="3" t="str">
        <f t="shared" ca="1" si="83"/>
        <v/>
      </c>
      <c r="L454" s="30" t="s">
        <v>56</v>
      </c>
      <c r="M454" s="5"/>
      <c r="N454" s="3" t="str">
        <f t="shared" ca="1" si="84"/>
        <v/>
      </c>
      <c r="O454" s="36"/>
      <c r="P454" s="4" t="s">
        <v>35</v>
      </c>
      <c r="Q454" s="4" t="str">
        <f t="shared" si="85"/>
        <v>Laki-Laki</v>
      </c>
      <c r="R454" s="4">
        <f>R452</f>
        <v>1</v>
      </c>
      <c r="S454" s="4" t="str">
        <f t="shared" ref="S454:S467" si="95">IF(E454="LOWONG","0","1")</f>
        <v>1</v>
      </c>
      <c r="T454" s="4">
        <f t="shared" si="93"/>
        <v>0</v>
      </c>
      <c r="U454" s="29"/>
      <c r="V454" s="30" t="s">
        <v>50</v>
      </c>
      <c r="W454" s="30"/>
      <c r="X454" s="30"/>
      <c r="Y454" s="30"/>
      <c r="Z454" s="30"/>
      <c r="AA454" s="30"/>
      <c r="AB454" s="29"/>
      <c r="AC454" s="29"/>
      <c r="AD454" s="37">
        <f t="shared" si="87"/>
        <v>25686</v>
      </c>
      <c r="AE454" s="3" t="str">
        <f t="shared" ca="1" si="86"/>
        <v>56 Tahun 4 bulan 4 Hari</v>
      </c>
      <c r="AF454" s="38">
        <f t="shared" si="88"/>
        <v>47604</v>
      </c>
    </row>
    <row r="455" spans="1:32" s="7" customFormat="1" ht="32.15" customHeight="1" x14ac:dyDescent="0.35">
      <c r="A455" s="26">
        <f t="shared" si="89"/>
        <v>427</v>
      </c>
      <c r="B455" s="27" t="s">
        <v>1343</v>
      </c>
      <c r="C455" s="256" t="s">
        <v>1346</v>
      </c>
      <c r="D455" s="257"/>
      <c r="E455" s="58" t="s">
        <v>1347</v>
      </c>
      <c r="F455" s="24" t="s">
        <v>43</v>
      </c>
      <c r="G455" s="4" t="s">
        <v>2839</v>
      </c>
      <c r="H455" s="4" t="s">
        <v>231</v>
      </c>
      <c r="I455" s="33" t="s">
        <v>759</v>
      </c>
      <c r="J455" s="5">
        <v>45993</v>
      </c>
      <c r="K455" s="3" t="str">
        <f t="shared" ref="K455:K518" ca="1" si="96">IF(J455="","",CONCATENATE(DATEDIF(J455,NOW(),"Y")," Tahun ",DATEDIF(J455,NOW(),"YM")," bulan "))</f>
        <v xml:space="preserve">0 Tahun 8 bulan </v>
      </c>
      <c r="L455" s="30" t="s">
        <v>79</v>
      </c>
      <c r="M455" s="5"/>
      <c r="N455" s="3" t="str">
        <f t="shared" ref="N455:N493" ca="1" si="97">IF(M455="","",CONCATENATE(DATEDIF(M455,NOW(),"Y")," Tahun ",DATEDIF(M455,NOW(),"YM")," bulan "))</f>
        <v/>
      </c>
      <c r="O455" s="4"/>
      <c r="P455" s="4" t="s">
        <v>35</v>
      </c>
      <c r="Q455" s="4" t="str">
        <f t="shared" ref="Q455:Q518" si="98">CONCATENATE(IF(MID(G455,17,1)="1","Laki-Laki",IF(MID(G455,17,1)="2","Perempuan",)))</f>
        <v>Laki-Laki</v>
      </c>
      <c r="R455" s="4">
        <f t="shared" si="92"/>
        <v>1</v>
      </c>
      <c r="S455" s="4" t="str">
        <f t="shared" si="95"/>
        <v>1</v>
      </c>
      <c r="T455" s="4">
        <f t="shared" si="93"/>
        <v>0</v>
      </c>
      <c r="U455" s="29"/>
      <c r="V455" s="30" t="s">
        <v>50</v>
      </c>
      <c r="W455" s="30"/>
      <c r="X455" s="30"/>
      <c r="Y455" s="30"/>
      <c r="Z455" s="30"/>
      <c r="AA455" s="30"/>
      <c r="AB455" s="29"/>
      <c r="AC455" s="29"/>
      <c r="AD455" s="37">
        <f t="shared" si="87"/>
        <v>25385</v>
      </c>
      <c r="AE455" s="3" t="str">
        <f t="shared" ref="AE455:AE518" ca="1" si="99">IF(TRIM(AD455)="", "", CONCATENATE(DATEDIF(AD455,NOW(),"Y")," Tahun ",DATEDIF(AD455,NOW(),"YM")," bulan ",DATEDIF(AD455,NOW(),"MD")," Hari"))</f>
        <v>57 Tahun 2 bulan 0 Hari</v>
      </c>
      <c r="AF455" s="38">
        <f t="shared" si="88"/>
        <v>47331</v>
      </c>
    </row>
    <row r="456" spans="1:32" s="7" customFormat="1" ht="32.15" customHeight="1" x14ac:dyDescent="0.35">
      <c r="A456" s="26">
        <f t="shared" si="89"/>
        <v>428</v>
      </c>
      <c r="B456" s="27" t="s">
        <v>1343</v>
      </c>
      <c r="C456" s="26"/>
      <c r="D456" s="50" t="s">
        <v>1348</v>
      </c>
      <c r="E456" s="51" t="s">
        <v>603</v>
      </c>
      <c r="F456" s="24" t="s">
        <v>43</v>
      </c>
      <c r="G456" s="33" t="s">
        <v>604</v>
      </c>
      <c r="H456" s="4" t="s">
        <v>241</v>
      </c>
      <c r="I456" s="33" t="s">
        <v>86</v>
      </c>
      <c r="J456" s="5">
        <v>46198</v>
      </c>
      <c r="K456" s="3" t="str">
        <f t="shared" ca="1" si="96"/>
        <v xml:space="preserve">0 Tahun 2 bulan </v>
      </c>
      <c r="L456" s="30" t="s">
        <v>200</v>
      </c>
      <c r="M456" s="5">
        <v>42957</v>
      </c>
      <c r="N456" s="3" t="str">
        <f t="shared" ca="1" si="97"/>
        <v xml:space="preserve">9 Tahun 0 bulan </v>
      </c>
      <c r="O456" s="4"/>
      <c r="P456" s="4" t="s">
        <v>35</v>
      </c>
      <c r="Q456" s="4" t="str">
        <f t="shared" si="98"/>
        <v>Perempuan</v>
      </c>
      <c r="R456" s="4">
        <f t="shared" si="92"/>
        <v>1</v>
      </c>
      <c r="S456" s="4" t="str">
        <f t="shared" si="95"/>
        <v>1</v>
      </c>
      <c r="T456" s="4">
        <f t="shared" si="93"/>
        <v>0</v>
      </c>
      <c r="U456" s="29"/>
      <c r="V456" s="30"/>
      <c r="W456" s="30"/>
      <c r="X456" s="30"/>
      <c r="Y456" s="30"/>
      <c r="Z456" s="30"/>
      <c r="AA456" s="30"/>
      <c r="AB456" s="29"/>
      <c r="AC456" s="29"/>
      <c r="AD456" s="37">
        <f t="shared" ref="AD456:AD519" si="100">IF(TRIM(G456)="", "", DATE(LEFT(G456,4),MID(G456,5,2),MID(G456,7,2)))</f>
        <v>29742</v>
      </c>
      <c r="AE456" s="3" t="str">
        <f t="shared" ca="1" si="99"/>
        <v>45 Tahun 2 bulan 27 Hari</v>
      </c>
      <c r="AF456" s="38">
        <f t="shared" ref="AF456:AF519" si="101">IF(TRIM(AD456)="","",DATE(YEAR(AD456)+60,MONTH(AD456)+1,1))</f>
        <v>51683</v>
      </c>
    </row>
    <row r="457" spans="1:32" s="7" customFormat="1" ht="32.15" customHeight="1" x14ac:dyDescent="0.35">
      <c r="A457" s="26">
        <f t="shared" si="89"/>
        <v>429</v>
      </c>
      <c r="B457" s="27" t="s">
        <v>1343</v>
      </c>
      <c r="C457" s="26"/>
      <c r="D457" s="50" t="s">
        <v>1351</v>
      </c>
      <c r="E457" s="24" t="s">
        <v>1352</v>
      </c>
      <c r="F457" s="24" t="s">
        <v>43</v>
      </c>
      <c r="G457" s="4" t="s">
        <v>1353</v>
      </c>
      <c r="H457" s="56" t="s">
        <v>1031</v>
      </c>
      <c r="I457" s="33" t="s">
        <v>86</v>
      </c>
      <c r="J457" s="5" t="s">
        <v>87</v>
      </c>
      <c r="K457" s="3" t="str">
        <f t="shared" ca="1" si="96"/>
        <v xml:space="preserve">4 Tahun 8 bulan </v>
      </c>
      <c r="L457" s="30" t="s">
        <v>88</v>
      </c>
      <c r="M457" s="5">
        <v>44561</v>
      </c>
      <c r="N457" s="3" t="str">
        <f t="shared" ca="1" si="97"/>
        <v xml:space="preserve">4 Tahun 8 bulan </v>
      </c>
      <c r="O457" s="4"/>
      <c r="P457" s="4" t="s">
        <v>35</v>
      </c>
      <c r="Q457" s="4" t="str">
        <f t="shared" si="98"/>
        <v>Perempuan</v>
      </c>
      <c r="R457" s="4">
        <f t="shared" si="92"/>
        <v>1</v>
      </c>
      <c r="S457" s="4" t="str">
        <f t="shared" si="95"/>
        <v>1</v>
      </c>
      <c r="T457" s="4">
        <f t="shared" si="93"/>
        <v>0</v>
      </c>
      <c r="U457" s="29"/>
      <c r="V457" s="30"/>
      <c r="W457" s="30"/>
      <c r="X457" s="30"/>
      <c r="Y457" s="30"/>
      <c r="Z457" s="30"/>
      <c r="AA457" s="30"/>
      <c r="AB457" s="29"/>
      <c r="AC457" s="29"/>
      <c r="AD457" s="37">
        <f t="shared" si="100"/>
        <v>28616</v>
      </c>
      <c r="AE457" s="3" t="str">
        <f t="shared" ca="1" si="99"/>
        <v>48 Tahun 3 bulan 26 Hari</v>
      </c>
      <c r="AF457" s="38">
        <f t="shared" si="101"/>
        <v>50557</v>
      </c>
    </row>
    <row r="458" spans="1:32" s="7" customFormat="1" ht="32.15" customHeight="1" x14ac:dyDescent="0.35">
      <c r="A458" s="26">
        <f t="shared" si="89"/>
        <v>430</v>
      </c>
      <c r="B458" s="27" t="s">
        <v>1343</v>
      </c>
      <c r="C458" s="26"/>
      <c r="D458" s="50" t="s">
        <v>1354</v>
      </c>
      <c r="E458" s="39" t="s">
        <v>1355</v>
      </c>
      <c r="F458" s="24" t="s">
        <v>43</v>
      </c>
      <c r="G458" s="25" t="s">
        <v>1356</v>
      </c>
      <c r="H458" s="4" t="s">
        <v>662</v>
      </c>
      <c r="I458" s="33" t="s">
        <v>86</v>
      </c>
      <c r="J458" s="5" t="s">
        <v>87</v>
      </c>
      <c r="K458" s="3" t="str">
        <f t="shared" ca="1" si="96"/>
        <v xml:space="preserve">4 Tahun 8 bulan </v>
      </c>
      <c r="L458" s="30" t="s">
        <v>88</v>
      </c>
      <c r="M458" s="5">
        <v>44561</v>
      </c>
      <c r="N458" s="3" t="str">
        <f t="shared" ca="1" si="97"/>
        <v xml:space="preserve">4 Tahun 8 bulan </v>
      </c>
      <c r="O458" s="4"/>
      <c r="P458" s="4" t="s">
        <v>968</v>
      </c>
      <c r="Q458" s="4" t="str">
        <f t="shared" si="98"/>
        <v>Perempuan</v>
      </c>
      <c r="R458" s="4">
        <f t="shared" si="92"/>
        <v>1</v>
      </c>
      <c r="S458" s="4" t="str">
        <f t="shared" si="95"/>
        <v>1</v>
      </c>
      <c r="T458" s="4">
        <f t="shared" si="93"/>
        <v>0</v>
      </c>
      <c r="U458" s="29"/>
      <c r="V458" s="30"/>
      <c r="W458" s="30"/>
      <c r="X458" s="30"/>
      <c r="Y458" s="30"/>
      <c r="Z458" s="30"/>
      <c r="AA458" s="30"/>
      <c r="AB458" s="29"/>
      <c r="AC458" s="29"/>
      <c r="AD458" s="37">
        <f t="shared" si="100"/>
        <v>30513</v>
      </c>
      <c r="AE458" s="3" t="str">
        <f t="shared" ca="1" si="99"/>
        <v>43 Tahun 1 bulan 16 Hari</v>
      </c>
      <c r="AF458" s="38">
        <f t="shared" si="101"/>
        <v>52444</v>
      </c>
    </row>
    <row r="459" spans="1:32" s="7" customFormat="1" ht="32.15" customHeight="1" x14ac:dyDescent="0.35">
      <c r="A459" s="26">
        <f t="shared" si="89"/>
        <v>431</v>
      </c>
      <c r="B459" s="27" t="s">
        <v>1343</v>
      </c>
      <c r="C459" s="256" t="s">
        <v>1357</v>
      </c>
      <c r="D459" s="257"/>
      <c r="E459" s="58" t="s">
        <v>1358</v>
      </c>
      <c r="F459" s="24" t="s">
        <v>43</v>
      </c>
      <c r="G459" s="40" t="s">
        <v>2846</v>
      </c>
      <c r="H459" s="4" t="s">
        <v>396</v>
      </c>
      <c r="I459" s="33" t="s">
        <v>2847</v>
      </c>
      <c r="J459" s="5">
        <v>45993</v>
      </c>
      <c r="K459" s="3" t="str">
        <f t="shared" ca="1" si="96"/>
        <v xml:space="preserve">0 Tahun 8 bulan </v>
      </c>
      <c r="L459" s="30" t="s">
        <v>346</v>
      </c>
      <c r="M459" s="5"/>
      <c r="N459" s="3" t="str">
        <f t="shared" ca="1" si="97"/>
        <v/>
      </c>
      <c r="O459" s="29"/>
      <c r="P459" s="4" t="s">
        <v>35</v>
      </c>
      <c r="Q459" s="4" t="str">
        <f t="shared" si="98"/>
        <v>Laki-Laki</v>
      </c>
      <c r="R459" s="4">
        <f t="shared" si="92"/>
        <v>1</v>
      </c>
      <c r="S459" s="4" t="str">
        <f t="shared" si="95"/>
        <v>1</v>
      </c>
      <c r="T459" s="4">
        <f t="shared" si="93"/>
        <v>0</v>
      </c>
      <c r="U459" s="29"/>
      <c r="V459" s="30" t="s">
        <v>50</v>
      </c>
      <c r="W459" s="30"/>
      <c r="X459" s="30"/>
      <c r="Y459" s="30"/>
      <c r="Z459" s="30"/>
      <c r="AA459" s="30"/>
      <c r="AB459" s="29"/>
      <c r="AC459" s="29"/>
      <c r="AD459" s="37">
        <f t="shared" si="100"/>
        <v>25427</v>
      </c>
      <c r="AE459" s="3" t="str">
        <f t="shared" ca="1" si="99"/>
        <v>57 Tahun 0 bulan 20 Hari</v>
      </c>
      <c r="AF459" s="38">
        <f t="shared" si="101"/>
        <v>47362</v>
      </c>
    </row>
    <row r="460" spans="1:32" s="7" customFormat="1" ht="32.15" customHeight="1" x14ac:dyDescent="0.35">
      <c r="A460" s="26">
        <f t="shared" si="89"/>
        <v>432</v>
      </c>
      <c r="B460" s="27" t="s">
        <v>1343</v>
      </c>
      <c r="C460" s="26"/>
      <c r="D460" s="50" t="s">
        <v>1359</v>
      </c>
      <c r="E460" s="24" t="s">
        <v>1360</v>
      </c>
      <c r="F460" s="24" t="s">
        <v>43</v>
      </c>
      <c r="G460" s="3" t="s">
        <v>1361</v>
      </c>
      <c r="H460" s="4" t="s">
        <v>554</v>
      </c>
      <c r="I460" s="41" t="s">
        <v>67</v>
      </c>
      <c r="J460" s="5">
        <v>44561</v>
      </c>
      <c r="K460" s="3" t="str">
        <f t="shared" ca="1" si="96"/>
        <v xml:space="preserve">4 Tahun 8 bulan </v>
      </c>
      <c r="L460" s="30" t="s">
        <v>88</v>
      </c>
      <c r="M460" s="5">
        <v>44561</v>
      </c>
      <c r="N460" s="3" t="str">
        <f t="shared" ca="1" si="97"/>
        <v xml:space="preserve">4 Tahun 8 bulan </v>
      </c>
      <c r="O460" s="4"/>
      <c r="P460" s="4"/>
      <c r="Q460" s="4" t="str">
        <f t="shared" si="98"/>
        <v>Laki-Laki</v>
      </c>
      <c r="R460" s="4">
        <f t="shared" si="92"/>
        <v>1</v>
      </c>
      <c r="S460" s="4" t="str">
        <f t="shared" si="95"/>
        <v>1</v>
      </c>
      <c r="T460" s="4">
        <f t="shared" si="93"/>
        <v>0</v>
      </c>
      <c r="U460" s="29"/>
      <c r="V460" s="30" t="s">
        <v>50</v>
      </c>
      <c r="W460" s="30"/>
      <c r="X460" s="30"/>
      <c r="Y460" s="30"/>
      <c r="Z460" s="30"/>
      <c r="AA460" s="30"/>
      <c r="AB460" s="29"/>
      <c r="AC460" s="29"/>
      <c r="AD460" s="37">
        <f t="shared" si="100"/>
        <v>29954</v>
      </c>
      <c r="AE460" s="3" t="str">
        <f t="shared" ca="1" si="99"/>
        <v>44 Tahun 7 bulan 29 Hari</v>
      </c>
      <c r="AF460" s="38">
        <f t="shared" si="101"/>
        <v>51898</v>
      </c>
    </row>
    <row r="461" spans="1:32" s="7" customFormat="1" ht="32.15" customHeight="1" x14ac:dyDescent="0.35">
      <c r="A461" s="26">
        <f t="shared" si="89"/>
        <v>433</v>
      </c>
      <c r="B461" s="27" t="s">
        <v>1343</v>
      </c>
      <c r="C461" s="26"/>
      <c r="D461" s="50" t="s">
        <v>1359</v>
      </c>
      <c r="E461" s="45" t="s">
        <v>1362</v>
      </c>
      <c r="F461" s="24" t="s">
        <v>43</v>
      </c>
      <c r="G461" s="44" t="s">
        <v>1363</v>
      </c>
      <c r="H461" s="36" t="s">
        <v>1364</v>
      </c>
      <c r="I461" s="36" t="s">
        <v>86</v>
      </c>
      <c r="J461" s="5" t="s">
        <v>87</v>
      </c>
      <c r="K461" s="3" t="str">
        <f t="shared" ca="1" si="96"/>
        <v xml:space="preserve">4 Tahun 8 bulan </v>
      </c>
      <c r="L461" s="30" t="s">
        <v>88</v>
      </c>
      <c r="M461" s="5">
        <v>44561</v>
      </c>
      <c r="N461" s="3" t="str">
        <f t="shared" ca="1" si="97"/>
        <v xml:space="preserve">4 Tahun 8 bulan </v>
      </c>
      <c r="O461" s="36"/>
      <c r="P461" s="4" t="s">
        <v>35</v>
      </c>
      <c r="Q461" s="4" t="str">
        <f t="shared" si="98"/>
        <v>Laki-Laki</v>
      </c>
      <c r="R461" s="4">
        <f t="shared" si="92"/>
        <v>1</v>
      </c>
      <c r="S461" s="4" t="str">
        <f t="shared" si="95"/>
        <v>1</v>
      </c>
      <c r="T461" s="4">
        <f t="shared" si="93"/>
        <v>0</v>
      </c>
      <c r="U461" s="29"/>
      <c r="V461" s="30" t="s">
        <v>50</v>
      </c>
      <c r="W461" s="30"/>
      <c r="X461" s="30"/>
      <c r="Y461" s="30"/>
      <c r="Z461" s="30"/>
      <c r="AA461" s="30"/>
      <c r="AB461" s="29"/>
      <c r="AC461" s="29"/>
      <c r="AD461" s="37">
        <f t="shared" si="100"/>
        <v>28169</v>
      </c>
      <c r="AE461" s="3" t="str">
        <f t="shared" ca="1" si="99"/>
        <v>49 Tahun 6 bulan 19 Hari</v>
      </c>
      <c r="AF461" s="38">
        <f t="shared" si="101"/>
        <v>50100</v>
      </c>
    </row>
    <row r="462" spans="1:32" s="7" customFormat="1" ht="32.15" customHeight="1" x14ac:dyDescent="0.35">
      <c r="A462" s="26">
        <f t="shared" si="89"/>
        <v>434</v>
      </c>
      <c r="B462" s="27" t="s">
        <v>1343</v>
      </c>
      <c r="C462" s="256" t="s">
        <v>1365</v>
      </c>
      <c r="D462" s="257"/>
      <c r="E462" s="24" t="s">
        <v>3051</v>
      </c>
      <c r="F462" s="24" t="s">
        <v>43</v>
      </c>
      <c r="G462" s="3" t="s">
        <v>3052</v>
      </c>
      <c r="H462" s="4" t="s">
        <v>231</v>
      </c>
      <c r="I462" s="33" t="s">
        <v>184</v>
      </c>
      <c r="J462" s="5">
        <v>46260</v>
      </c>
      <c r="K462" s="3" t="str">
        <f t="shared" ca="1" si="96"/>
        <v xml:space="preserve">0 Tahun 0 bulan </v>
      </c>
      <c r="L462" s="30" t="s">
        <v>346</v>
      </c>
      <c r="M462" s="5" t="s">
        <v>751</v>
      </c>
      <c r="N462" s="3" t="str">
        <f t="shared" ca="1" si="97"/>
        <v xml:space="preserve">5 Tahun 0 bulan </v>
      </c>
      <c r="O462" s="4"/>
      <c r="P462" s="4" t="s">
        <v>35</v>
      </c>
      <c r="Q462" s="4" t="str">
        <f t="shared" si="98"/>
        <v>Laki-Laki</v>
      </c>
      <c r="R462" s="4">
        <f t="shared" si="92"/>
        <v>1</v>
      </c>
      <c r="S462" s="4" t="str">
        <f t="shared" si="95"/>
        <v>1</v>
      </c>
      <c r="T462" s="4">
        <f t="shared" si="93"/>
        <v>0</v>
      </c>
      <c r="U462" s="29"/>
      <c r="V462" s="30" t="s">
        <v>50</v>
      </c>
      <c r="W462" s="30"/>
      <c r="X462" s="30"/>
      <c r="Y462" s="30"/>
      <c r="Z462" s="30"/>
      <c r="AA462" s="30"/>
      <c r="AB462" s="29"/>
      <c r="AC462" s="29"/>
      <c r="AD462" s="37">
        <f t="shared" si="100"/>
        <v>27677</v>
      </c>
      <c r="AE462" s="3" t="str">
        <f t="shared" ca="1" si="99"/>
        <v>50 Tahun 10 bulan 22 Hari</v>
      </c>
      <c r="AF462" s="38">
        <f t="shared" si="101"/>
        <v>49614</v>
      </c>
    </row>
    <row r="463" spans="1:32" s="7" customFormat="1" ht="32.15" customHeight="1" x14ac:dyDescent="0.35">
      <c r="A463" s="26">
        <f t="shared" si="89"/>
        <v>435</v>
      </c>
      <c r="B463" s="27" t="s">
        <v>1343</v>
      </c>
      <c r="C463" s="26"/>
      <c r="D463" s="50" t="s">
        <v>1366</v>
      </c>
      <c r="E463" s="24" t="s">
        <v>108</v>
      </c>
      <c r="F463" s="24"/>
      <c r="G463" s="59"/>
      <c r="H463" s="4"/>
      <c r="I463" s="33"/>
      <c r="J463" s="84"/>
      <c r="K463" s="3" t="str">
        <f t="shared" ca="1" si="96"/>
        <v/>
      </c>
      <c r="L463" s="30" t="s">
        <v>88</v>
      </c>
      <c r="M463" s="49"/>
      <c r="N463" s="3" t="str">
        <f t="shared" ca="1" si="97"/>
        <v/>
      </c>
      <c r="O463" s="4"/>
      <c r="P463" s="4"/>
      <c r="Q463" s="4" t="str">
        <f t="shared" si="98"/>
        <v/>
      </c>
      <c r="R463" s="4">
        <f t="shared" si="92"/>
        <v>1</v>
      </c>
      <c r="S463" s="4" t="str">
        <f t="shared" si="95"/>
        <v>0</v>
      </c>
      <c r="T463" s="4">
        <f t="shared" si="93"/>
        <v>1</v>
      </c>
      <c r="U463" s="29"/>
      <c r="V463" s="30"/>
      <c r="W463" s="30"/>
      <c r="X463" s="30"/>
      <c r="Y463" s="30"/>
      <c r="Z463" s="30"/>
      <c r="AA463" s="30"/>
      <c r="AB463" s="29"/>
      <c r="AC463" s="29"/>
      <c r="AD463" s="37" t="str">
        <f t="shared" si="100"/>
        <v/>
      </c>
      <c r="AE463" s="3" t="str">
        <f t="shared" ca="1" si="99"/>
        <v/>
      </c>
      <c r="AF463" s="38" t="str">
        <f t="shared" si="101"/>
        <v/>
      </c>
    </row>
    <row r="464" spans="1:32" s="7" customFormat="1" ht="32.15" customHeight="1" x14ac:dyDescent="0.35">
      <c r="A464" s="26">
        <f t="shared" si="89"/>
        <v>436</v>
      </c>
      <c r="B464" s="27" t="s">
        <v>1343</v>
      </c>
      <c r="C464" s="26"/>
      <c r="D464" s="50" t="s">
        <v>1366</v>
      </c>
      <c r="E464" s="24" t="s">
        <v>108</v>
      </c>
      <c r="F464" s="24"/>
      <c r="G464" s="3"/>
      <c r="H464" s="4"/>
      <c r="I464" s="4"/>
      <c r="J464" s="49"/>
      <c r="K464" s="3" t="str">
        <f t="shared" ca="1" si="96"/>
        <v/>
      </c>
      <c r="L464" s="30" t="s">
        <v>88</v>
      </c>
      <c r="M464" s="49"/>
      <c r="N464" s="3" t="str">
        <f t="shared" ca="1" si="97"/>
        <v/>
      </c>
      <c r="O464" s="36"/>
      <c r="P464" s="4"/>
      <c r="Q464" s="4" t="str">
        <f t="shared" si="98"/>
        <v/>
      </c>
      <c r="R464" s="4">
        <f t="shared" si="92"/>
        <v>1</v>
      </c>
      <c r="S464" s="4" t="str">
        <f t="shared" si="95"/>
        <v>0</v>
      </c>
      <c r="T464" s="4">
        <f t="shared" si="93"/>
        <v>1</v>
      </c>
      <c r="U464" s="29"/>
      <c r="V464" s="30"/>
      <c r="W464" s="30"/>
      <c r="X464" s="30"/>
      <c r="Y464" s="30"/>
      <c r="Z464" s="30"/>
      <c r="AA464" s="30"/>
      <c r="AB464" s="29"/>
      <c r="AC464" s="29"/>
      <c r="AD464" s="37" t="str">
        <f t="shared" si="100"/>
        <v/>
      </c>
      <c r="AE464" s="3" t="str">
        <f t="shared" ca="1" si="99"/>
        <v/>
      </c>
      <c r="AF464" s="38" t="str">
        <f t="shared" si="101"/>
        <v/>
      </c>
    </row>
    <row r="465" spans="1:32" s="7" customFormat="1" ht="32.15" customHeight="1" x14ac:dyDescent="0.35">
      <c r="A465" s="26">
        <f t="shared" si="89"/>
        <v>437</v>
      </c>
      <c r="B465" s="27" t="s">
        <v>1343</v>
      </c>
      <c r="C465" s="256" t="s">
        <v>1367</v>
      </c>
      <c r="D465" s="257"/>
      <c r="E465" s="24" t="s">
        <v>1368</v>
      </c>
      <c r="F465" s="24" t="s">
        <v>43</v>
      </c>
      <c r="G465" s="3" t="s">
        <v>1369</v>
      </c>
      <c r="H465" s="4" t="s">
        <v>887</v>
      </c>
      <c r="I465" s="4" t="s">
        <v>1370</v>
      </c>
      <c r="J465" s="5" t="s">
        <v>275</v>
      </c>
      <c r="K465" s="3" t="str">
        <f t="shared" ca="1" si="96"/>
        <v xml:space="preserve">5 Tahun 10 bulan </v>
      </c>
      <c r="L465" s="30" t="s">
        <v>346</v>
      </c>
      <c r="M465" s="5" t="s">
        <v>275</v>
      </c>
      <c r="N465" s="3" t="str">
        <f t="shared" ca="1" si="97"/>
        <v xml:space="preserve">5 Tahun 10 bulan </v>
      </c>
      <c r="O465" s="4"/>
      <c r="P465" s="4" t="s">
        <v>35</v>
      </c>
      <c r="Q465" s="4" t="str">
        <f t="shared" si="98"/>
        <v>Laki-Laki</v>
      </c>
      <c r="R465" s="4">
        <f t="shared" si="92"/>
        <v>1</v>
      </c>
      <c r="S465" s="4" t="str">
        <f t="shared" si="95"/>
        <v>1</v>
      </c>
      <c r="T465" s="4">
        <f t="shared" si="93"/>
        <v>0</v>
      </c>
      <c r="U465" s="29"/>
      <c r="V465" s="30" t="s">
        <v>50</v>
      </c>
      <c r="W465" s="30"/>
      <c r="X465" s="30"/>
      <c r="Y465" s="30"/>
      <c r="Z465" s="30"/>
      <c r="AA465" s="30"/>
      <c r="AB465" s="29"/>
      <c r="AC465" s="29"/>
      <c r="AD465" s="37">
        <f t="shared" si="100"/>
        <v>28702</v>
      </c>
      <c r="AE465" s="3" t="str">
        <f t="shared" ca="1" si="99"/>
        <v>48 Tahun 1 bulan 1 Hari</v>
      </c>
      <c r="AF465" s="38">
        <f t="shared" si="101"/>
        <v>50618</v>
      </c>
    </row>
    <row r="466" spans="1:32" s="7" customFormat="1" ht="32.15" customHeight="1" x14ac:dyDescent="0.35">
      <c r="A466" s="26">
        <f t="shared" ref="A466:A529" si="102">A465+1</f>
        <v>438</v>
      </c>
      <c r="B466" s="27" t="s">
        <v>1343</v>
      </c>
      <c r="C466" s="26"/>
      <c r="D466" s="50" t="s">
        <v>1371</v>
      </c>
      <c r="E466" s="24" t="s">
        <v>1372</v>
      </c>
      <c r="F466" s="24" t="s">
        <v>43</v>
      </c>
      <c r="G466" s="4" t="s">
        <v>1373</v>
      </c>
      <c r="H466" s="4" t="s">
        <v>1374</v>
      </c>
      <c r="I466" s="33" t="s">
        <v>86</v>
      </c>
      <c r="J466" s="5">
        <v>44561</v>
      </c>
      <c r="K466" s="3" t="str">
        <f t="shared" ca="1" si="96"/>
        <v xml:space="preserve">4 Tahun 8 bulan </v>
      </c>
      <c r="L466" s="30" t="s">
        <v>88</v>
      </c>
      <c r="M466" s="5">
        <v>44561</v>
      </c>
      <c r="N466" s="3" t="str">
        <f t="shared" ca="1" si="97"/>
        <v xml:space="preserve">4 Tahun 8 bulan </v>
      </c>
      <c r="O466" s="4"/>
      <c r="P466" s="4" t="s">
        <v>35</v>
      </c>
      <c r="Q466" s="4" t="str">
        <f t="shared" si="98"/>
        <v>Laki-Laki</v>
      </c>
      <c r="R466" s="4">
        <f t="shared" si="92"/>
        <v>1</v>
      </c>
      <c r="S466" s="4" t="str">
        <f t="shared" si="95"/>
        <v>1</v>
      </c>
      <c r="T466" s="4">
        <f t="shared" si="93"/>
        <v>0</v>
      </c>
      <c r="U466" s="29"/>
      <c r="V466" s="30" t="s">
        <v>50</v>
      </c>
      <c r="W466" s="30"/>
      <c r="X466" s="30"/>
      <c r="Y466" s="30"/>
      <c r="Z466" s="30"/>
      <c r="AA466" s="30"/>
      <c r="AB466" s="29"/>
      <c r="AC466" s="29"/>
      <c r="AD466" s="37">
        <f t="shared" si="100"/>
        <v>24762</v>
      </c>
      <c r="AE466" s="3" t="str">
        <f t="shared" ca="1" si="99"/>
        <v>58 Tahun 10 bulan 15 Hari</v>
      </c>
      <c r="AF466" s="38">
        <f t="shared" si="101"/>
        <v>46692</v>
      </c>
    </row>
    <row r="467" spans="1:32" s="7" customFormat="1" ht="32.15" customHeight="1" x14ac:dyDescent="0.35">
      <c r="A467" s="26">
        <f t="shared" si="102"/>
        <v>439</v>
      </c>
      <c r="B467" s="27" t="s">
        <v>1343</v>
      </c>
      <c r="C467" s="26"/>
      <c r="D467" s="50" t="s">
        <v>1359</v>
      </c>
      <c r="E467" s="51" t="s">
        <v>1375</v>
      </c>
      <c r="F467" s="24" t="s">
        <v>43</v>
      </c>
      <c r="G467" s="52" t="s">
        <v>1376</v>
      </c>
      <c r="H467" s="4" t="s">
        <v>279</v>
      </c>
      <c r="I467" s="33" t="s">
        <v>86</v>
      </c>
      <c r="J467" s="5">
        <v>44561</v>
      </c>
      <c r="K467" s="3" t="str">
        <f t="shared" ca="1" si="96"/>
        <v xml:space="preserve">4 Tahun 8 bulan </v>
      </c>
      <c r="L467" s="30" t="s">
        <v>88</v>
      </c>
      <c r="M467" s="5">
        <v>44561</v>
      </c>
      <c r="N467" s="3" t="str">
        <f t="shared" ca="1" si="97"/>
        <v xml:space="preserve">4 Tahun 8 bulan </v>
      </c>
      <c r="O467" s="4"/>
      <c r="P467" s="4" t="s">
        <v>35</v>
      </c>
      <c r="Q467" s="4" t="str">
        <f t="shared" si="98"/>
        <v>Laki-Laki</v>
      </c>
      <c r="R467" s="4">
        <f t="shared" si="92"/>
        <v>1</v>
      </c>
      <c r="S467" s="4" t="str">
        <f t="shared" si="95"/>
        <v>1</v>
      </c>
      <c r="T467" s="4">
        <f t="shared" si="93"/>
        <v>0</v>
      </c>
      <c r="U467" s="29"/>
      <c r="V467" s="30" t="s">
        <v>50</v>
      </c>
      <c r="W467" s="30"/>
      <c r="X467" s="30"/>
      <c r="Y467" s="30"/>
      <c r="Z467" s="30"/>
      <c r="AA467" s="30"/>
      <c r="AB467" s="29"/>
      <c r="AC467" s="29"/>
      <c r="AD467" s="37">
        <f t="shared" si="100"/>
        <v>26364</v>
      </c>
      <c r="AE467" s="3" t="str">
        <f t="shared" ca="1" si="99"/>
        <v>54 Tahun 5 bulan 26 Hari</v>
      </c>
      <c r="AF467" s="38">
        <f t="shared" si="101"/>
        <v>48305</v>
      </c>
    </row>
    <row r="468" spans="1:32" s="7" customFormat="1" ht="32.15" customHeight="1" x14ac:dyDescent="0.35">
      <c r="A468" s="26"/>
      <c r="B468" s="32" t="s">
        <v>1377</v>
      </c>
      <c r="C468" s="280" t="s">
        <v>1378</v>
      </c>
      <c r="D468" s="281"/>
      <c r="E468" s="271" t="str">
        <f ca="1">IF(J468="","",CONCATENATE(DATEDIF(J468,NOW(),"Y")," Tahun ",DATEDIF(J468,NOW(),"YM")," bulan "))</f>
        <v/>
      </c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  <c r="AB468" s="272"/>
      <c r="AC468" s="272"/>
      <c r="AD468" s="272"/>
      <c r="AE468" s="272"/>
      <c r="AF468" s="273"/>
    </row>
    <row r="469" spans="1:32" s="7" customFormat="1" ht="32.15" customHeight="1" x14ac:dyDescent="0.35">
      <c r="A469" s="26">
        <f>A467+1</f>
        <v>440</v>
      </c>
      <c r="B469" s="32" t="s">
        <v>1377</v>
      </c>
      <c r="C469" s="278" t="s">
        <v>1379</v>
      </c>
      <c r="D469" s="279"/>
      <c r="E469" s="24" t="s">
        <v>1380</v>
      </c>
      <c r="F469" s="24" t="s">
        <v>43</v>
      </c>
      <c r="G469" s="3" t="s">
        <v>1381</v>
      </c>
      <c r="H469" s="4" t="s">
        <v>60</v>
      </c>
      <c r="I469" s="33" t="s">
        <v>46</v>
      </c>
      <c r="J469" s="5" t="s">
        <v>652</v>
      </c>
      <c r="K469" s="3" t="str">
        <f t="shared" ca="1" si="96"/>
        <v xml:space="preserve">2 Tahun 11 bulan </v>
      </c>
      <c r="L469" s="30" t="s">
        <v>56</v>
      </c>
      <c r="M469" s="5" t="s">
        <v>652</v>
      </c>
      <c r="N469" s="3" t="str">
        <f t="shared" ca="1" si="97"/>
        <v xml:space="preserve">2 Tahun 11 bulan </v>
      </c>
      <c r="O469" s="36" t="s">
        <v>81</v>
      </c>
      <c r="P469" s="4" t="s">
        <v>35</v>
      </c>
      <c r="Q469" s="4" t="str">
        <f t="shared" si="98"/>
        <v>Laki-Laki</v>
      </c>
      <c r="R469" s="4">
        <f>R467</f>
        <v>1</v>
      </c>
      <c r="S469" s="4" t="str">
        <f>IF(E469="LOWONG","0","1")</f>
        <v>1</v>
      </c>
      <c r="T469" s="4">
        <f t="shared" si="93"/>
        <v>0</v>
      </c>
      <c r="U469" s="29"/>
      <c r="V469" s="30" t="s">
        <v>50</v>
      </c>
      <c r="W469" s="30"/>
      <c r="X469" s="30"/>
      <c r="Y469" s="30"/>
      <c r="Z469" s="30"/>
      <c r="AA469" s="30"/>
      <c r="AB469" s="29"/>
      <c r="AC469" s="29"/>
      <c r="AD469" s="37">
        <f t="shared" si="100"/>
        <v>28257</v>
      </c>
      <c r="AE469" s="3" t="str">
        <f t="shared" ca="1" si="99"/>
        <v>49 Tahun 3 bulan 20 Hari</v>
      </c>
      <c r="AF469" s="38">
        <f t="shared" si="101"/>
        <v>50192</v>
      </c>
    </row>
    <row r="470" spans="1:32" s="7" customFormat="1" ht="32.15" customHeight="1" x14ac:dyDescent="0.35">
      <c r="A470" s="26">
        <f t="shared" si="102"/>
        <v>441</v>
      </c>
      <c r="B470" s="32" t="s">
        <v>1377</v>
      </c>
      <c r="C470" s="256" t="s">
        <v>1382</v>
      </c>
      <c r="D470" s="257"/>
      <c r="E470" s="24" t="s">
        <v>486</v>
      </c>
      <c r="F470" s="24" t="s">
        <v>43</v>
      </c>
      <c r="G470" s="4" t="s">
        <v>487</v>
      </c>
      <c r="H470" s="4" t="s">
        <v>488</v>
      </c>
      <c r="I470" s="33" t="s">
        <v>46</v>
      </c>
      <c r="J470" s="5" t="s">
        <v>626</v>
      </c>
      <c r="K470" s="3" t="str">
        <f t="shared" ca="1" si="96"/>
        <v xml:space="preserve">7 Tahun 7 bulan </v>
      </c>
      <c r="L470" s="30" t="s">
        <v>79</v>
      </c>
      <c r="M470" s="5" t="s">
        <v>626</v>
      </c>
      <c r="N470" s="3" t="str">
        <f t="shared" ca="1" si="97"/>
        <v xml:space="preserve">7 Tahun 7 bulan </v>
      </c>
      <c r="O470" s="4" t="s">
        <v>81</v>
      </c>
      <c r="P470" s="4" t="s">
        <v>35</v>
      </c>
      <c r="Q470" s="4" t="str">
        <f t="shared" si="98"/>
        <v>Laki-Laki</v>
      </c>
      <c r="R470" s="4">
        <f t="shared" si="92"/>
        <v>1</v>
      </c>
      <c r="S470" s="4" t="str">
        <f>IF(E470="LOWONG","0","1")</f>
        <v>1</v>
      </c>
      <c r="T470" s="4">
        <f t="shared" si="93"/>
        <v>0</v>
      </c>
      <c r="U470" s="29"/>
      <c r="V470" s="30" t="s">
        <v>50</v>
      </c>
      <c r="W470" s="30"/>
      <c r="X470" s="30"/>
      <c r="Y470" s="30"/>
      <c r="Z470" s="30"/>
      <c r="AA470" s="30"/>
      <c r="AB470" s="29"/>
      <c r="AC470" s="29"/>
      <c r="AD470" s="37">
        <f t="shared" si="100"/>
        <v>26053</v>
      </c>
      <c r="AE470" s="3" t="str">
        <f t="shared" ca="1" si="99"/>
        <v>55 Tahun 4 bulan 2 Hari</v>
      </c>
      <c r="AF470" s="38">
        <f t="shared" si="101"/>
        <v>47969</v>
      </c>
    </row>
    <row r="471" spans="1:32" s="7" customFormat="1" ht="32.15" customHeight="1" x14ac:dyDescent="0.35">
      <c r="A471" s="26">
        <f t="shared" si="102"/>
        <v>442</v>
      </c>
      <c r="B471" s="32" t="s">
        <v>1377</v>
      </c>
      <c r="C471" s="26"/>
      <c r="D471" s="50" t="s">
        <v>1383</v>
      </c>
      <c r="E471" s="24" t="s">
        <v>1384</v>
      </c>
      <c r="F471" s="24" t="s">
        <v>43</v>
      </c>
      <c r="G471" s="3" t="s">
        <v>1385</v>
      </c>
      <c r="H471" s="4" t="s">
        <v>85</v>
      </c>
      <c r="I471" s="33" t="s">
        <v>1386</v>
      </c>
      <c r="J471" s="5">
        <v>45993</v>
      </c>
      <c r="K471" s="3" t="str">
        <f t="shared" ca="1" si="96"/>
        <v xml:space="preserve">0 Tahun 8 bulan </v>
      </c>
      <c r="L471" s="30" t="s">
        <v>200</v>
      </c>
      <c r="M471" s="5" t="s">
        <v>338</v>
      </c>
      <c r="N471" s="3" t="str">
        <f t="shared" ca="1" si="97"/>
        <v xml:space="preserve">2 Tahun 11 bulan </v>
      </c>
      <c r="O471" s="4"/>
      <c r="P471" s="4" t="s">
        <v>35</v>
      </c>
      <c r="Q471" s="4" t="str">
        <f t="shared" si="98"/>
        <v>Laki-Laki</v>
      </c>
      <c r="R471" s="4">
        <f t="shared" si="92"/>
        <v>1</v>
      </c>
      <c r="S471" s="4" t="str">
        <f>IF(E471="LOWONG","0","1")</f>
        <v>1</v>
      </c>
      <c r="T471" s="4">
        <f t="shared" si="93"/>
        <v>0</v>
      </c>
      <c r="U471" s="29"/>
      <c r="V471" s="30" t="s">
        <v>50</v>
      </c>
      <c r="W471" s="30"/>
      <c r="X471" s="30"/>
      <c r="Y471" s="30"/>
      <c r="Z471" s="30"/>
      <c r="AA471" s="30"/>
      <c r="AB471" s="29"/>
      <c r="AC471" s="29"/>
      <c r="AD471" s="37">
        <f t="shared" si="100"/>
        <v>27173</v>
      </c>
      <c r="AE471" s="3" t="str">
        <f t="shared" ca="1" si="99"/>
        <v>52 Tahun 3 bulan 8 Hari</v>
      </c>
      <c r="AF471" s="38">
        <f t="shared" si="101"/>
        <v>49096</v>
      </c>
    </row>
    <row r="472" spans="1:32" s="7" customFormat="1" ht="32.15" customHeight="1" x14ac:dyDescent="0.35">
      <c r="A472" s="26">
        <f t="shared" si="102"/>
        <v>443</v>
      </c>
      <c r="B472" s="32" t="s">
        <v>1377</v>
      </c>
      <c r="C472" s="26"/>
      <c r="D472" s="50" t="s">
        <v>1387</v>
      </c>
      <c r="E472" s="24" t="s">
        <v>1388</v>
      </c>
      <c r="F472" s="24" t="s">
        <v>43</v>
      </c>
      <c r="G472" s="3" t="s">
        <v>2972</v>
      </c>
      <c r="H472" s="4" t="s">
        <v>2015</v>
      </c>
      <c r="I472" s="33" t="s">
        <v>86</v>
      </c>
      <c r="J472" s="5">
        <v>45993</v>
      </c>
      <c r="K472" s="3" t="str">
        <f t="shared" ca="1" si="96"/>
        <v xml:space="preserve">0 Tahun 8 bulan </v>
      </c>
      <c r="L472" s="30" t="s">
        <v>200</v>
      </c>
      <c r="M472" s="5">
        <v>45993</v>
      </c>
      <c r="N472" s="3" t="str">
        <f t="shared" ca="1" si="97"/>
        <v xml:space="preserve">0 Tahun 8 bulan </v>
      </c>
      <c r="O472" s="4"/>
      <c r="P472" s="4"/>
      <c r="Q472" s="4" t="str">
        <f t="shared" si="98"/>
        <v>Perempuan</v>
      </c>
      <c r="R472" s="4"/>
      <c r="S472" s="4"/>
      <c r="T472" s="4"/>
      <c r="U472" s="29"/>
      <c r="V472" s="30"/>
      <c r="W472" s="30"/>
      <c r="X472" s="30"/>
      <c r="Y472" s="30"/>
      <c r="Z472" s="30"/>
      <c r="AA472" s="30"/>
      <c r="AB472" s="29"/>
      <c r="AC472" s="29"/>
      <c r="AD472" s="37">
        <f t="shared" si="100"/>
        <v>26166</v>
      </c>
      <c r="AE472" s="3" t="str">
        <f t="shared" ca="1" si="99"/>
        <v>55 Tahun 0 bulan 11 Hari</v>
      </c>
      <c r="AF472" s="38">
        <f t="shared" si="101"/>
        <v>48092</v>
      </c>
    </row>
    <row r="473" spans="1:32" s="7" customFormat="1" ht="32.15" customHeight="1" x14ac:dyDescent="0.35">
      <c r="A473" s="26">
        <f t="shared" si="102"/>
        <v>444</v>
      </c>
      <c r="B473" s="32" t="s">
        <v>1377</v>
      </c>
      <c r="C473" s="26"/>
      <c r="D473" s="50" t="s">
        <v>1389</v>
      </c>
      <c r="E473" s="24" t="s">
        <v>1390</v>
      </c>
      <c r="F473" s="24" t="s">
        <v>43</v>
      </c>
      <c r="G473" s="4" t="s">
        <v>1391</v>
      </c>
      <c r="H473" s="56" t="s">
        <v>1392</v>
      </c>
      <c r="I473" s="33" t="s">
        <v>46</v>
      </c>
      <c r="J473" s="5">
        <v>44561</v>
      </c>
      <c r="K473" s="3" t="str">
        <f t="shared" ca="1" si="96"/>
        <v xml:space="preserve">4 Tahun 8 bulan </v>
      </c>
      <c r="L473" s="30" t="s">
        <v>88</v>
      </c>
      <c r="M473" s="5">
        <v>44561</v>
      </c>
      <c r="N473" s="3" t="str">
        <f t="shared" ca="1" si="97"/>
        <v xml:space="preserve">4 Tahun 8 bulan </v>
      </c>
      <c r="O473" s="4"/>
      <c r="P473" s="4" t="s">
        <v>35</v>
      </c>
      <c r="Q473" s="4" t="str">
        <f t="shared" si="98"/>
        <v>Perempuan</v>
      </c>
      <c r="R473" s="4">
        <f>R471</f>
        <v>1</v>
      </c>
      <c r="S473" s="4" t="str">
        <f t="shared" ref="S473:S485" si="103">IF(E473="LOWONG","0","1")</f>
        <v>1</v>
      </c>
      <c r="T473" s="4">
        <f t="shared" si="93"/>
        <v>0</v>
      </c>
      <c r="U473" s="29"/>
      <c r="V473" s="30"/>
      <c r="W473" s="30"/>
      <c r="X473" s="30"/>
      <c r="Y473" s="30"/>
      <c r="Z473" s="30"/>
      <c r="AA473" s="30"/>
      <c r="AB473" s="29"/>
      <c r="AC473" s="29"/>
      <c r="AD473" s="37">
        <f t="shared" si="100"/>
        <v>30444</v>
      </c>
      <c r="AE473" s="3" t="str">
        <f t="shared" ca="1" si="99"/>
        <v>43 Tahun 3 bulan 24 Hari</v>
      </c>
      <c r="AF473" s="38">
        <f t="shared" si="101"/>
        <v>52383</v>
      </c>
    </row>
    <row r="474" spans="1:32" s="7" customFormat="1" ht="32.15" customHeight="1" x14ac:dyDescent="0.35">
      <c r="A474" s="26">
        <f t="shared" si="102"/>
        <v>445</v>
      </c>
      <c r="B474" s="32" t="s">
        <v>1377</v>
      </c>
      <c r="C474" s="256" t="s">
        <v>1393</v>
      </c>
      <c r="D474" s="257"/>
      <c r="E474" s="24" t="s">
        <v>1477</v>
      </c>
      <c r="F474" s="24" t="s">
        <v>43</v>
      </c>
      <c r="G474" s="3" t="s">
        <v>1478</v>
      </c>
      <c r="H474" s="4" t="s">
        <v>135</v>
      </c>
      <c r="I474" s="33" t="s">
        <v>1479</v>
      </c>
      <c r="J474" s="5">
        <v>46260</v>
      </c>
      <c r="K474" s="3" t="str">
        <f t="shared" ca="1" si="96"/>
        <v xml:space="preserve">0 Tahun 0 bulan </v>
      </c>
      <c r="L474" s="30" t="s">
        <v>346</v>
      </c>
      <c r="M474" s="5">
        <v>46260</v>
      </c>
      <c r="N474" s="3" t="str">
        <f t="shared" ca="1" si="97"/>
        <v xml:space="preserve">0 Tahun 0 bulan </v>
      </c>
      <c r="O474" s="4"/>
      <c r="P474" s="4" t="s">
        <v>35</v>
      </c>
      <c r="Q474" s="4" t="str">
        <f t="shared" si="98"/>
        <v>Laki-Laki</v>
      </c>
      <c r="R474" s="4">
        <f t="shared" ref="R474:R537" si="104">R473</f>
        <v>1</v>
      </c>
      <c r="S474" s="4" t="str">
        <f t="shared" si="103"/>
        <v>1</v>
      </c>
      <c r="T474" s="4">
        <f t="shared" si="93"/>
        <v>0</v>
      </c>
      <c r="U474" s="29"/>
      <c r="V474" s="30" t="s">
        <v>50</v>
      </c>
      <c r="W474" s="30"/>
      <c r="X474" s="30"/>
      <c r="Y474" s="30"/>
      <c r="Z474" s="30"/>
      <c r="AA474" s="30"/>
      <c r="AB474" s="29"/>
      <c r="AC474" s="29"/>
      <c r="AD474" s="37">
        <f t="shared" si="100"/>
        <v>31350</v>
      </c>
      <c r="AE474" s="3" t="str">
        <f t="shared" ca="1" si="99"/>
        <v>40 Tahun 10 bulan 2 Hari</v>
      </c>
      <c r="AF474" s="38">
        <f t="shared" si="101"/>
        <v>53267</v>
      </c>
    </row>
    <row r="475" spans="1:32" s="7" customFormat="1" ht="32.15" customHeight="1" x14ac:dyDescent="0.35">
      <c r="A475" s="26">
        <f t="shared" si="102"/>
        <v>446</v>
      </c>
      <c r="B475" s="32" t="s">
        <v>1377</v>
      </c>
      <c r="C475" s="26"/>
      <c r="D475" s="50" t="s">
        <v>1394</v>
      </c>
      <c r="E475" s="45" t="s">
        <v>1395</v>
      </c>
      <c r="F475" s="24" t="s">
        <v>43</v>
      </c>
      <c r="G475" s="36" t="s">
        <v>1396</v>
      </c>
      <c r="H475" s="56" t="s">
        <v>414</v>
      </c>
      <c r="I475" s="4" t="s">
        <v>1397</v>
      </c>
      <c r="J475" s="5">
        <v>44561</v>
      </c>
      <c r="K475" s="3" t="str">
        <f t="shared" ca="1" si="96"/>
        <v xml:space="preserve">4 Tahun 8 bulan </v>
      </c>
      <c r="L475" s="30" t="s">
        <v>88</v>
      </c>
      <c r="M475" s="5">
        <v>44561</v>
      </c>
      <c r="N475" s="3" t="str">
        <f t="shared" ca="1" si="97"/>
        <v xml:space="preserve">4 Tahun 8 bulan </v>
      </c>
      <c r="O475" s="36"/>
      <c r="P475" s="4" t="s">
        <v>35</v>
      </c>
      <c r="Q475" s="4" t="str">
        <f t="shared" si="98"/>
        <v>Laki-Laki</v>
      </c>
      <c r="R475" s="4">
        <f t="shared" si="104"/>
        <v>1</v>
      </c>
      <c r="S475" s="4" t="str">
        <f t="shared" si="103"/>
        <v>1</v>
      </c>
      <c r="T475" s="4">
        <f t="shared" si="93"/>
        <v>0</v>
      </c>
      <c r="U475" s="29"/>
      <c r="V475" s="30" t="s">
        <v>50</v>
      </c>
      <c r="W475" s="30"/>
      <c r="X475" s="30"/>
      <c r="Y475" s="30"/>
      <c r="Z475" s="30"/>
      <c r="AA475" s="30"/>
      <c r="AB475" s="29"/>
      <c r="AC475" s="29"/>
      <c r="AD475" s="37">
        <f t="shared" si="100"/>
        <v>27772</v>
      </c>
      <c r="AE475" s="3" t="str">
        <f t="shared" ca="1" si="99"/>
        <v>50 Tahun 7 bulan 19 Hari</v>
      </c>
      <c r="AF475" s="38">
        <f t="shared" si="101"/>
        <v>49706</v>
      </c>
    </row>
    <row r="476" spans="1:32" s="7" customFormat="1" ht="32.15" customHeight="1" x14ac:dyDescent="0.35">
      <c r="A476" s="26">
        <f t="shared" si="102"/>
        <v>447</v>
      </c>
      <c r="B476" s="32" t="s">
        <v>1377</v>
      </c>
      <c r="C476" s="26"/>
      <c r="D476" s="50" t="s">
        <v>1398</v>
      </c>
      <c r="E476" s="24" t="s">
        <v>1399</v>
      </c>
      <c r="F476" s="24" t="s">
        <v>43</v>
      </c>
      <c r="G476" s="4" t="s">
        <v>1400</v>
      </c>
      <c r="H476" s="56" t="s">
        <v>241</v>
      </c>
      <c r="I476" s="101" t="s">
        <v>1401</v>
      </c>
      <c r="J476" s="5">
        <v>44561</v>
      </c>
      <c r="K476" s="3" t="str">
        <f t="shared" ca="1" si="96"/>
        <v xml:space="preserve">4 Tahun 8 bulan </v>
      </c>
      <c r="L476" s="30" t="s">
        <v>88</v>
      </c>
      <c r="M476" s="5">
        <v>44561</v>
      </c>
      <c r="N476" s="3" t="str">
        <f t="shared" ca="1" si="97"/>
        <v xml:space="preserve">4 Tahun 8 bulan </v>
      </c>
      <c r="O476" s="35"/>
      <c r="P476" s="4" t="s">
        <v>35</v>
      </c>
      <c r="Q476" s="4" t="str">
        <f t="shared" si="98"/>
        <v>Laki-Laki</v>
      </c>
      <c r="R476" s="4">
        <f t="shared" si="104"/>
        <v>1</v>
      </c>
      <c r="S476" s="4" t="str">
        <f t="shared" si="103"/>
        <v>1</v>
      </c>
      <c r="T476" s="4">
        <f t="shared" si="93"/>
        <v>0</v>
      </c>
      <c r="U476" s="29"/>
      <c r="V476" s="30" t="s">
        <v>50</v>
      </c>
      <c r="W476" s="30"/>
      <c r="X476" s="30"/>
      <c r="Y476" s="30"/>
      <c r="Z476" s="30"/>
      <c r="AA476" s="30"/>
      <c r="AB476" s="29"/>
      <c r="AC476" s="29"/>
      <c r="AD476" s="37">
        <f t="shared" si="100"/>
        <v>30343</v>
      </c>
      <c r="AE476" s="3" t="str">
        <f t="shared" ca="1" si="99"/>
        <v>43 Tahun 7 bulan 5 Hari</v>
      </c>
      <c r="AF476" s="38">
        <f t="shared" si="101"/>
        <v>52263</v>
      </c>
    </row>
    <row r="477" spans="1:32" s="7" customFormat="1" ht="32.15" customHeight="1" x14ac:dyDescent="0.35">
      <c r="A477" s="26">
        <f t="shared" si="102"/>
        <v>448</v>
      </c>
      <c r="B477" s="32" t="s">
        <v>1377</v>
      </c>
      <c r="C477" s="256" t="s">
        <v>1402</v>
      </c>
      <c r="D477" s="257"/>
      <c r="E477" s="24" t="s">
        <v>1403</v>
      </c>
      <c r="F477" s="24" t="s">
        <v>43</v>
      </c>
      <c r="G477" s="4" t="s">
        <v>1404</v>
      </c>
      <c r="H477" s="56" t="s">
        <v>132</v>
      </c>
      <c r="I477" s="33" t="s">
        <v>46</v>
      </c>
      <c r="J477" s="5" t="s">
        <v>565</v>
      </c>
      <c r="K477" s="3" t="str">
        <f t="shared" ca="1" si="96"/>
        <v xml:space="preserve">5 Tahun 9 bulan </v>
      </c>
      <c r="L477" s="30" t="s">
        <v>346</v>
      </c>
      <c r="M477" s="5" t="s">
        <v>565</v>
      </c>
      <c r="N477" s="3" t="str">
        <f t="shared" ca="1" si="97"/>
        <v xml:space="preserve">5 Tahun 9 bulan </v>
      </c>
      <c r="O477" s="4" t="s">
        <v>128</v>
      </c>
      <c r="P477" s="4" t="s">
        <v>968</v>
      </c>
      <c r="Q477" s="4" t="str">
        <f t="shared" si="98"/>
        <v>Perempuan</v>
      </c>
      <c r="R477" s="4">
        <f t="shared" si="104"/>
        <v>1</v>
      </c>
      <c r="S477" s="4" t="str">
        <f t="shared" si="103"/>
        <v>1</v>
      </c>
      <c r="T477" s="4">
        <f t="shared" si="93"/>
        <v>0</v>
      </c>
      <c r="U477" s="29"/>
      <c r="V477" s="30"/>
      <c r="W477" s="30"/>
      <c r="X477" s="30"/>
      <c r="Y477" s="30"/>
      <c r="Z477" s="30"/>
      <c r="AA477" s="30"/>
      <c r="AB477" s="29"/>
      <c r="AC477" s="29"/>
      <c r="AD477" s="37">
        <f t="shared" si="100"/>
        <v>28649</v>
      </c>
      <c r="AE477" s="3" t="str">
        <f t="shared" ca="1" si="99"/>
        <v>48 Tahun 2 bulan 24 Hari</v>
      </c>
      <c r="AF477" s="38">
        <f t="shared" si="101"/>
        <v>50587</v>
      </c>
    </row>
    <row r="478" spans="1:32" s="7" customFormat="1" ht="32.15" customHeight="1" x14ac:dyDescent="0.35">
      <c r="A478" s="26">
        <f t="shared" si="102"/>
        <v>449</v>
      </c>
      <c r="B478" s="32" t="s">
        <v>1377</v>
      </c>
      <c r="C478" s="26"/>
      <c r="D478" s="50" t="s">
        <v>1405</v>
      </c>
      <c r="E478" s="39" t="s">
        <v>1406</v>
      </c>
      <c r="F478" s="24" t="s">
        <v>43</v>
      </c>
      <c r="G478" s="25" t="s">
        <v>1407</v>
      </c>
      <c r="H478" s="56" t="s">
        <v>192</v>
      </c>
      <c r="I478" s="25" t="s">
        <v>86</v>
      </c>
      <c r="J478" s="5" t="s">
        <v>87</v>
      </c>
      <c r="K478" s="3" t="str">
        <f t="shared" ca="1" si="96"/>
        <v xml:space="preserve">4 Tahun 8 bulan </v>
      </c>
      <c r="L478" s="30" t="s">
        <v>88</v>
      </c>
      <c r="M478" s="5">
        <v>44561</v>
      </c>
      <c r="N478" s="3" t="str">
        <f t="shared" ca="1" si="97"/>
        <v xml:space="preserve">4 Tahun 8 bulan </v>
      </c>
      <c r="O478" s="4"/>
      <c r="P478" s="4" t="s">
        <v>35</v>
      </c>
      <c r="Q478" s="4" t="str">
        <f t="shared" si="98"/>
        <v>Laki-Laki</v>
      </c>
      <c r="R478" s="4">
        <f t="shared" si="104"/>
        <v>1</v>
      </c>
      <c r="S478" s="4" t="str">
        <f t="shared" si="103"/>
        <v>1</v>
      </c>
      <c r="T478" s="4">
        <f t="shared" si="93"/>
        <v>0</v>
      </c>
      <c r="U478" s="29"/>
      <c r="V478" s="30" t="s">
        <v>50</v>
      </c>
      <c r="W478" s="30"/>
      <c r="X478" s="30"/>
      <c r="Y478" s="30"/>
      <c r="Z478" s="30"/>
      <c r="AA478" s="30"/>
      <c r="AB478" s="29"/>
      <c r="AC478" s="29"/>
      <c r="AD478" s="37">
        <f t="shared" si="100"/>
        <v>25241</v>
      </c>
      <c r="AE478" s="3" t="str">
        <f t="shared" ca="1" si="99"/>
        <v>57 Tahun 6 bulan 25 Hari</v>
      </c>
      <c r="AF478" s="38">
        <f t="shared" si="101"/>
        <v>47178</v>
      </c>
    </row>
    <row r="479" spans="1:32" s="7" customFormat="1" ht="32.15" customHeight="1" x14ac:dyDescent="0.35">
      <c r="A479" s="26">
        <f t="shared" si="102"/>
        <v>450</v>
      </c>
      <c r="B479" s="32" t="s">
        <v>1377</v>
      </c>
      <c r="C479" s="26"/>
      <c r="D479" s="50" t="s">
        <v>1405</v>
      </c>
      <c r="E479" s="51" t="s">
        <v>1408</v>
      </c>
      <c r="F479" s="24" t="s">
        <v>43</v>
      </c>
      <c r="G479" s="59" t="s">
        <v>1409</v>
      </c>
      <c r="H479" s="4" t="s">
        <v>410</v>
      </c>
      <c r="I479" s="33" t="s">
        <v>86</v>
      </c>
      <c r="J479" s="5" t="s">
        <v>87</v>
      </c>
      <c r="K479" s="3" t="str">
        <f t="shared" ca="1" si="96"/>
        <v xml:space="preserve">4 Tahun 8 bulan </v>
      </c>
      <c r="L479" s="30" t="s">
        <v>88</v>
      </c>
      <c r="M479" s="5">
        <v>44561</v>
      </c>
      <c r="N479" s="3" t="str">
        <f t="shared" ca="1" si="97"/>
        <v xml:space="preserve">4 Tahun 8 bulan </v>
      </c>
      <c r="O479" s="4"/>
      <c r="P479" s="4" t="s">
        <v>35</v>
      </c>
      <c r="Q479" s="4" t="str">
        <f t="shared" si="98"/>
        <v>Perempuan</v>
      </c>
      <c r="R479" s="4">
        <f t="shared" si="104"/>
        <v>1</v>
      </c>
      <c r="S479" s="4" t="str">
        <f t="shared" si="103"/>
        <v>1</v>
      </c>
      <c r="T479" s="4">
        <f t="shared" si="93"/>
        <v>0</v>
      </c>
      <c r="U479" s="29"/>
      <c r="V479" s="30"/>
      <c r="W479" s="30"/>
      <c r="X479" s="30"/>
      <c r="Y479" s="30"/>
      <c r="Z479" s="30"/>
      <c r="AA479" s="30"/>
      <c r="AB479" s="29"/>
      <c r="AC479" s="29"/>
      <c r="AD479" s="37">
        <f t="shared" si="100"/>
        <v>28747</v>
      </c>
      <c r="AE479" s="3" t="str">
        <f t="shared" ca="1" si="99"/>
        <v>47 Tahun 11 bulan 18 Hari</v>
      </c>
      <c r="AF479" s="38">
        <f t="shared" si="101"/>
        <v>50679</v>
      </c>
    </row>
    <row r="480" spans="1:32" s="7" customFormat="1" ht="32.15" customHeight="1" x14ac:dyDescent="0.35">
      <c r="A480" s="26">
        <f t="shared" si="102"/>
        <v>451</v>
      </c>
      <c r="B480" s="32" t="s">
        <v>1377</v>
      </c>
      <c r="C480" s="256" t="s">
        <v>1410</v>
      </c>
      <c r="D480" s="257"/>
      <c r="E480" s="24" t="s">
        <v>1411</v>
      </c>
      <c r="F480" s="24" t="s">
        <v>43</v>
      </c>
      <c r="G480" s="4" t="s">
        <v>1412</v>
      </c>
      <c r="H480" s="56" t="s">
        <v>1413</v>
      </c>
      <c r="I480" s="33" t="s">
        <v>46</v>
      </c>
      <c r="J480" s="5" t="s">
        <v>127</v>
      </c>
      <c r="K480" s="3" t="str">
        <f t="shared" ca="1" si="96"/>
        <v xml:space="preserve">5 Tahun 6 bulan </v>
      </c>
      <c r="L480" s="30" t="s">
        <v>346</v>
      </c>
      <c r="M480" s="5" t="s">
        <v>127</v>
      </c>
      <c r="N480" s="3" t="str">
        <f t="shared" ca="1" si="97"/>
        <v xml:space="preserve">5 Tahun 6 bulan </v>
      </c>
      <c r="O480" s="4"/>
      <c r="P480" s="4" t="s">
        <v>35</v>
      </c>
      <c r="Q480" s="4" t="str">
        <f t="shared" si="98"/>
        <v>Perempuan</v>
      </c>
      <c r="R480" s="4">
        <f t="shared" si="104"/>
        <v>1</v>
      </c>
      <c r="S480" s="4" t="str">
        <f t="shared" si="103"/>
        <v>1</v>
      </c>
      <c r="T480" s="4">
        <f t="shared" si="93"/>
        <v>0</v>
      </c>
      <c r="U480" s="29"/>
      <c r="V480" s="30"/>
      <c r="W480" s="30"/>
      <c r="X480" s="30"/>
      <c r="Y480" s="30"/>
      <c r="Z480" s="30"/>
      <c r="AA480" s="30"/>
      <c r="AB480" s="29"/>
      <c r="AC480" s="29"/>
      <c r="AD480" s="37">
        <f t="shared" si="100"/>
        <v>27863</v>
      </c>
      <c r="AE480" s="3" t="str">
        <f t="shared" ca="1" si="99"/>
        <v>50 Tahun 4 bulan 19 Hari</v>
      </c>
      <c r="AF480" s="38">
        <f t="shared" si="101"/>
        <v>49796</v>
      </c>
    </row>
    <row r="481" spans="1:32" s="7" customFormat="1" ht="32.15" customHeight="1" x14ac:dyDescent="0.35">
      <c r="A481" s="26">
        <f t="shared" si="102"/>
        <v>452</v>
      </c>
      <c r="B481" s="32" t="s">
        <v>1377</v>
      </c>
      <c r="C481" s="26"/>
      <c r="D481" s="50" t="s">
        <v>1414</v>
      </c>
      <c r="E481" s="24" t="s">
        <v>108</v>
      </c>
      <c r="F481" s="24"/>
      <c r="G481" s="4"/>
      <c r="H481" s="56"/>
      <c r="I481" s="33"/>
      <c r="J481" s="49"/>
      <c r="K481" s="3" t="str">
        <f t="shared" ca="1" si="96"/>
        <v/>
      </c>
      <c r="L481" s="30" t="s">
        <v>88</v>
      </c>
      <c r="M481" s="49"/>
      <c r="N481" s="3" t="str">
        <f t="shared" ca="1" si="97"/>
        <v/>
      </c>
      <c r="O481" s="4"/>
      <c r="P481" s="4"/>
      <c r="Q481" s="4" t="str">
        <f t="shared" si="98"/>
        <v/>
      </c>
      <c r="R481" s="4">
        <f t="shared" si="104"/>
        <v>1</v>
      </c>
      <c r="S481" s="4" t="str">
        <f t="shared" si="103"/>
        <v>0</v>
      </c>
      <c r="T481" s="4">
        <f t="shared" si="93"/>
        <v>1</v>
      </c>
      <c r="U481" s="29"/>
      <c r="V481" s="30"/>
      <c r="W481" s="30"/>
      <c r="X481" s="30"/>
      <c r="Y481" s="30"/>
      <c r="Z481" s="30"/>
      <c r="AA481" s="30"/>
      <c r="AB481" s="29"/>
      <c r="AC481" s="29"/>
      <c r="AD481" s="37" t="str">
        <f t="shared" si="100"/>
        <v/>
      </c>
      <c r="AE481" s="3" t="str">
        <f t="shared" ca="1" si="99"/>
        <v/>
      </c>
      <c r="AF481" s="38" t="str">
        <f t="shared" si="101"/>
        <v/>
      </c>
    </row>
    <row r="482" spans="1:32" s="7" customFormat="1" ht="32.15" customHeight="1" x14ac:dyDescent="0.35">
      <c r="A482" s="26">
        <f t="shared" si="102"/>
        <v>453</v>
      </c>
      <c r="B482" s="32" t="s">
        <v>1377</v>
      </c>
      <c r="C482" s="26"/>
      <c r="D482" s="50" t="s">
        <v>1415</v>
      </c>
      <c r="E482" s="51" t="s">
        <v>1416</v>
      </c>
      <c r="F482" s="24" t="s">
        <v>43</v>
      </c>
      <c r="G482" s="52" t="s">
        <v>1417</v>
      </c>
      <c r="H482" s="4" t="s">
        <v>554</v>
      </c>
      <c r="I482" s="33" t="s">
        <v>46</v>
      </c>
      <c r="J482" s="5">
        <v>44561</v>
      </c>
      <c r="K482" s="3" t="str">
        <f t="shared" ca="1" si="96"/>
        <v xml:space="preserve">4 Tahun 8 bulan </v>
      </c>
      <c r="L482" s="30" t="s">
        <v>88</v>
      </c>
      <c r="M482" s="5">
        <v>44561</v>
      </c>
      <c r="N482" s="3" t="str">
        <f t="shared" ca="1" si="97"/>
        <v xml:space="preserve">4 Tahun 8 bulan </v>
      </c>
      <c r="O482" s="4"/>
      <c r="P482" s="4" t="s">
        <v>35</v>
      </c>
      <c r="Q482" s="4" t="str">
        <f t="shared" si="98"/>
        <v>Perempuan</v>
      </c>
      <c r="R482" s="4">
        <f t="shared" si="104"/>
        <v>1</v>
      </c>
      <c r="S482" s="4" t="str">
        <f t="shared" si="103"/>
        <v>1</v>
      </c>
      <c r="T482" s="4">
        <f t="shared" si="93"/>
        <v>0</v>
      </c>
      <c r="U482" s="29"/>
      <c r="V482" s="30"/>
      <c r="W482" s="30"/>
      <c r="X482" s="30"/>
      <c r="Y482" s="30"/>
      <c r="Z482" s="30"/>
      <c r="AA482" s="30"/>
      <c r="AB482" s="29"/>
      <c r="AC482" s="29"/>
      <c r="AD482" s="37">
        <f t="shared" si="100"/>
        <v>28709</v>
      </c>
      <c r="AE482" s="3" t="str">
        <f t="shared" ca="1" si="99"/>
        <v>48 Tahun 0 bulan 25 Hari</v>
      </c>
      <c r="AF482" s="38">
        <f t="shared" si="101"/>
        <v>50649</v>
      </c>
    </row>
    <row r="483" spans="1:32" s="7" customFormat="1" ht="32.15" customHeight="1" x14ac:dyDescent="0.35">
      <c r="A483" s="26">
        <f t="shared" si="102"/>
        <v>454</v>
      </c>
      <c r="B483" s="32" t="s">
        <v>1377</v>
      </c>
      <c r="C483" s="256" t="s">
        <v>1418</v>
      </c>
      <c r="D483" s="257"/>
      <c r="E483" s="39" t="s">
        <v>3053</v>
      </c>
      <c r="F483" s="24" t="s">
        <v>43</v>
      </c>
      <c r="G483" s="25" t="s">
        <v>3054</v>
      </c>
      <c r="H483" s="25" t="s">
        <v>454</v>
      </c>
      <c r="I483" s="25" t="s">
        <v>86</v>
      </c>
      <c r="J483" s="5">
        <v>46260</v>
      </c>
      <c r="K483" s="3" t="str">
        <f t="shared" ca="1" si="96"/>
        <v xml:space="preserve">0 Tahun 0 bulan </v>
      </c>
      <c r="L483" s="30" t="s">
        <v>346</v>
      </c>
      <c r="M483" s="5" t="s">
        <v>98</v>
      </c>
      <c r="N483" s="3" t="str">
        <f t="shared" ca="1" si="97"/>
        <v xml:space="preserve">3 Tahun 0 bulan </v>
      </c>
      <c r="O483" s="4"/>
      <c r="P483" s="4" t="s">
        <v>35</v>
      </c>
      <c r="Q483" s="4" t="str">
        <f t="shared" si="98"/>
        <v>Laki-Laki</v>
      </c>
      <c r="R483" s="4">
        <f t="shared" si="104"/>
        <v>1</v>
      </c>
      <c r="S483" s="4" t="str">
        <f t="shared" si="103"/>
        <v>1</v>
      </c>
      <c r="T483" s="4">
        <f t="shared" si="93"/>
        <v>0</v>
      </c>
      <c r="U483" s="29"/>
      <c r="V483" s="30" t="s">
        <v>50</v>
      </c>
      <c r="W483" s="30"/>
      <c r="X483" s="30"/>
      <c r="Y483" s="30"/>
      <c r="Z483" s="30"/>
      <c r="AA483" s="30"/>
      <c r="AB483" s="29"/>
      <c r="AC483" s="29"/>
      <c r="AD483" s="37">
        <f t="shared" si="100"/>
        <v>26438</v>
      </c>
      <c r="AE483" s="3" t="str">
        <f t="shared" ca="1" si="99"/>
        <v>54 Tahun 3 bulan 13 Hari</v>
      </c>
      <c r="AF483" s="38">
        <f t="shared" si="101"/>
        <v>48366</v>
      </c>
    </row>
    <row r="484" spans="1:32" s="7" customFormat="1" ht="32.15" customHeight="1" x14ac:dyDescent="0.35">
      <c r="A484" s="26">
        <f t="shared" si="102"/>
        <v>455</v>
      </c>
      <c r="B484" s="32" t="s">
        <v>1377</v>
      </c>
      <c r="C484" s="26"/>
      <c r="D484" s="50" t="s">
        <v>1394</v>
      </c>
      <c r="E484" s="45" t="s">
        <v>108</v>
      </c>
      <c r="F484" s="45"/>
      <c r="G484" s="36"/>
      <c r="H484" s="56"/>
      <c r="I484" s="4"/>
      <c r="J484" s="49"/>
      <c r="K484" s="3" t="str">
        <f t="shared" ca="1" si="96"/>
        <v/>
      </c>
      <c r="L484" s="30" t="s">
        <v>88</v>
      </c>
      <c r="M484" s="49"/>
      <c r="N484" s="3" t="str">
        <f t="shared" ca="1" si="97"/>
        <v/>
      </c>
      <c r="O484" s="36"/>
      <c r="P484" s="4"/>
      <c r="Q484" s="4" t="str">
        <f t="shared" si="98"/>
        <v/>
      </c>
      <c r="R484" s="4">
        <f t="shared" si="104"/>
        <v>1</v>
      </c>
      <c r="S484" s="4" t="str">
        <f t="shared" si="103"/>
        <v>0</v>
      </c>
      <c r="T484" s="4">
        <f t="shared" si="93"/>
        <v>1</v>
      </c>
      <c r="U484" s="29"/>
      <c r="V484" s="30" t="s">
        <v>50</v>
      </c>
      <c r="W484" s="30"/>
      <c r="X484" s="30"/>
      <c r="Y484" s="30"/>
      <c r="Z484" s="30"/>
      <c r="AA484" s="30"/>
      <c r="AB484" s="29"/>
      <c r="AC484" s="29"/>
      <c r="AD484" s="37" t="str">
        <f t="shared" si="100"/>
        <v/>
      </c>
      <c r="AE484" s="3" t="str">
        <f t="shared" ca="1" si="99"/>
        <v/>
      </c>
      <c r="AF484" s="38" t="str">
        <f t="shared" si="101"/>
        <v/>
      </c>
    </row>
    <row r="485" spans="1:32" s="7" customFormat="1" ht="32.15" customHeight="1" x14ac:dyDescent="0.35">
      <c r="A485" s="26">
        <f t="shared" si="102"/>
        <v>456</v>
      </c>
      <c r="B485" s="32" t="s">
        <v>1377</v>
      </c>
      <c r="C485" s="26"/>
      <c r="D485" s="50" t="s">
        <v>1398</v>
      </c>
      <c r="E485" s="24" t="s">
        <v>108</v>
      </c>
      <c r="F485" s="24"/>
      <c r="G485" s="4"/>
      <c r="H485" s="56"/>
      <c r="I485" s="101"/>
      <c r="J485" s="49"/>
      <c r="K485" s="3" t="str">
        <f t="shared" ca="1" si="96"/>
        <v/>
      </c>
      <c r="L485" s="30" t="s">
        <v>88</v>
      </c>
      <c r="M485" s="49"/>
      <c r="N485" s="3" t="str">
        <f t="shared" ca="1" si="97"/>
        <v/>
      </c>
      <c r="O485" s="35"/>
      <c r="P485" s="4"/>
      <c r="Q485" s="4" t="str">
        <f t="shared" si="98"/>
        <v/>
      </c>
      <c r="R485" s="4">
        <f t="shared" si="104"/>
        <v>1</v>
      </c>
      <c r="S485" s="4" t="str">
        <f t="shared" si="103"/>
        <v>0</v>
      </c>
      <c r="T485" s="4">
        <f t="shared" si="93"/>
        <v>1</v>
      </c>
      <c r="U485" s="29"/>
      <c r="V485" s="30" t="s">
        <v>50</v>
      </c>
      <c r="W485" s="30"/>
      <c r="X485" s="30"/>
      <c r="Y485" s="30"/>
      <c r="Z485" s="30"/>
      <c r="AA485" s="30"/>
      <c r="AB485" s="29"/>
      <c r="AC485" s="29"/>
      <c r="AD485" s="37" t="str">
        <f t="shared" si="100"/>
        <v/>
      </c>
      <c r="AE485" s="3" t="str">
        <f t="shared" ca="1" si="99"/>
        <v/>
      </c>
      <c r="AF485" s="38" t="str">
        <f t="shared" si="101"/>
        <v/>
      </c>
    </row>
    <row r="486" spans="1:32" s="7" customFormat="1" ht="32.15" customHeight="1" x14ac:dyDescent="0.35">
      <c r="A486" s="26"/>
      <c r="B486" s="32" t="s">
        <v>1422</v>
      </c>
      <c r="C486" s="269" t="s">
        <v>1423</v>
      </c>
      <c r="D486" s="270"/>
      <c r="E486" s="24"/>
      <c r="F486" s="24"/>
      <c r="G486" s="4"/>
      <c r="H486" s="4"/>
      <c r="I486" s="33"/>
      <c r="J486" s="5"/>
      <c r="K486" s="3"/>
      <c r="L486" s="30"/>
      <c r="M486" s="5"/>
      <c r="N486" s="3"/>
      <c r="O486" s="4"/>
      <c r="P486" s="4"/>
      <c r="Q486" s="4"/>
      <c r="R486" s="4"/>
      <c r="S486" s="4"/>
      <c r="T486" s="4"/>
      <c r="U486" s="29"/>
      <c r="V486" s="30"/>
      <c r="W486" s="30"/>
      <c r="X486" s="30"/>
      <c r="Y486" s="30"/>
      <c r="Z486" s="29"/>
      <c r="AA486" s="29"/>
      <c r="AB486" s="29"/>
      <c r="AC486" s="29"/>
      <c r="AD486" s="37"/>
      <c r="AE486" s="3"/>
      <c r="AF486" s="38"/>
    </row>
    <row r="487" spans="1:32" s="7" customFormat="1" ht="33.75" customHeight="1" x14ac:dyDescent="0.35">
      <c r="A487" s="26">
        <f>A485+1</f>
        <v>457</v>
      </c>
      <c r="B487" s="32" t="s">
        <v>1422</v>
      </c>
      <c r="C487" s="278" t="s">
        <v>1424</v>
      </c>
      <c r="D487" s="279"/>
      <c r="E487" s="24" t="s">
        <v>1425</v>
      </c>
      <c r="F487" s="24" t="s">
        <v>43</v>
      </c>
      <c r="G487" s="4" t="s">
        <v>1426</v>
      </c>
      <c r="H487" s="4" t="s">
        <v>303</v>
      </c>
      <c r="I487" s="33" t="s">
        <v>46</v>
      </c>
      <c r="J487" s="5" t="s">
        <v>325</v>
      </c>
      <c r="K487" s="3" t="str">
        <f t="shared" ca="1" si="96"/>
        <v xml:space="preserve">1 Tahun 9 bulan </v>
      </c>
      <c r="L487" s="30" t="s">
        <v>56</v>
      </c>
      <c r="M487" s="5" t="s">
        <v>325</v>
      </c>
      <c r="N487" s="3" t="str">
        <f t="shared" ca="1" si="97"/>
        <v xml:space="preserve">1 Tahun 9 bulan </v>
      </c>
      <c r="O487" s="44" t="s">
        <v>32</v>
      </c>
      <c r="P487" s="4" t="s">
        <v>35</v>
      </c>
      <c r="Q487" s="4" t="str">
        <f t="shared" si="98"/>
        <v>Laki-Laki</v>
      </c>
      <c r="R487" s="4">
        <f>R482</f>
        <v>1</v>
      </c>
      <c r="S487" s="4" t="str">
        <f t="shared" ref="S487:S511" si="105">IF(E487="LOWONG","0","1")</f>
        <v>1</v>
      </c>
      <c r="T487" s="4">
        <f t="shared" si="93"/>
        <v>0</v>
      </c>
      <c r="U487" s="29"/>
      <c r="V487" s="30" t="s">
        <v>50</v>
      </c>
      <c r="W487" s="65" t="s">
        <v>32</v>
      </c>
      <c r="X487" s="102">
        <f>31/32*100</f>
        <v>96.875</v>
      </c>
      <c r="Y487" s="102">
        <f>4/4*100</f>
        <v>100</v>
      </c>
      <c r="Z487" s="25" t="s">
        <v>1427</v>
      </c>
      <c r="AA487" s="30">
        <v>2022</v>
      </c>
      <c r="AB487" s="29"/>
      <c r="AC487" s="29"/>
      <c r="AD487" s="37">
        <f t="shared" si="100"/>
        <v>28637</v>
      </c>
      <c r="AE487" s="3" t="str">
        <f t="shared" ca="1" si="99"/>
        <v>48 Tahun 3 bulan 5 Hari</v>
      </c>
      <c r="AF487" s="38">
        <f t="shared" si="101"/>
        <v>50557</v>
      </c>
    </row>
    <row r="488" spans="1:32" s="7" customFormat="1" ht="32.15" customHeight="1" x14ac:dyDescent="0.35">
      <c r="A488" s="26">
        <f t="shared" si="102"/>
        <v>458</v>
      </c>
      <c r="B488" s="32" t="s">
        <v>1422</v>
      </c>
      <c r="C488" s="256" t="s">
        <v>1428</v>
      </c>
      <c r="D488" s="257"/>
      <c r="E488" s="24" t="s">
        <v>1429</v>
      </c>
      <c r="F488" s="24" t="s">
        <v>43</v>
      </c>
      <c r="G488" s="4" t="s">
        <v>1430</v>
      </c>
      <c r="H488" s="4" t="s">
        <v>385</v>
      </c>
      <c r="I488" s="33" t="s">
        <v>46</v>
      </c>
      <c r="J488" s="5" t="s">
        <v>98</v>
      </c>
      <c r="K488" s="3" t="str">
        <f t="shared" ca="1" si="96"/>
        <v xml:space="preserve">3 Tahun 0 bulan </v>
      </c>
      <c r="L488" s="30" t="s">
        <v>79</v>
      </c>
      <c r="M488" s="5" t="s">
        <v>98</v>
      </c>
      <c r="N488" s="3" t="str">
        <f t="shared" ca="1" si="97"/>
        <v xml:space="preserve">3 Tahun 0 bulan </v>
      </c>
      <c r="O488" s="4" t="s">
        <v>128</v>
      </c>
      <c r="P488" s="4" t="s">
        <v>35</v>
      </c>
      <c r="Q488" s="4" t="str">
        <f t="shared" si="98"/>
        <v>Laki-Laki</v>
      </c>
      <c r="R488" s="4">
        <f t="shared" si="104"/>
        <v>1</v>
      </c>
      <c r="S488" s="4" t="str">
        <f t="shared" si="105"/>
        <v>1</v>
      </c>
      <c r="T488" s="4">
        <f t="shared" si="93"/>
        <v>0</v>
      </c>
      <c r="U488" s="29"/>
      <c r="V488" s="30" t="s">
        <v>50</v>
      </c>
      <c r="W488" s="30"/>
      <c r="X488" s="30"/>
      <c r="Y488" s="30"/>
      <c r="Z488" s="30"/>
      <c r="AA488" s="30"/>
      <c r="AB488" s="29"/>
      <c r="AC488" s="29"/>
      <c r="AD488" s="37">
        <f t="shared" si="100"/>
        <v>29468</v>
      </c>
      <c r="AE488" s="3" t="str">
        <f t="shared" ca="1" si="99"/>
        <v>45 Tahun 11 bulan 28 Hari</v>
      </c>
      <c r="AF488" s="38">
        <f t="shared" si="101"/>
        <v>51410</v>
      </c>
    </row>
    <row r="489" spans="1:32" s="7" customFormat="1" ht="32.15" customHeight="1" x14ac:dyDescent="0.35">
      <c r="A489" s="26">
        <f t="shared" si="102"/>
        <v>459</v>
      </c>
      <c r="B489" s="32" t="s">
        <v>1422</v>
      </c>
      <c r="C489" s="26"/>
      <c r="D489" s="50" t="s">
        <v>1431</v>
      </c>
      <c r="E489" s="24" t="s">
        <v>1432</v>
      </c>
      <c r="F489" s="24" t="s">
        <v>43</v>
      </c>
      <c r="G489" s="3" t="s">
        <v>1433</v>
      </c>
      <c r="H489" s="4" t="s">
        <v>85</v>
      </c>
      <c r="I489" s="33" t="s">
        <v>184</v>
      </c>
      <c r="J489" s="5" t="s">
        <v>386</v>
      </c>
      <c r="K489" s="3" t="str">
        <f t="shared" ca="1" si="96"/>
        <v xml:space="preserve">5 Tahun 5 bulan </v>
      </c>
      <c r="L489" s="30" t="s">
        <v>200</v>
      </c>
      <c r="M489" s="5" t="s">
        <v>386</v>
      </c>
      <c r="N489" s="3" t="str">
        <f t="shared" ca="1" si="97"/>
        <v xml:space="preserve">5 Tahun 5 bulan </v>
      </c>
      <c r="O489" s="29"/>
      <c r="P489" s="4" t="s">
        <v>35</v>
      </c>
      <c r="Q489" s="4" t="str">
        <f t="shared" si="98"/>
        <v>Laki-Laki</v>
      </c>
      <c r="R489" s="4">
        <f t="shared" si="104"/>
        <v>1</v>
      </c>
      <c r="S489" s="4" t="str">
        <f t="shared" si="105"/>
        <v>1</v>
      </c>
      <c r="T489" s="4">
        <f t="shared" si="93"/>
        <v>0</v>
      </c>
      <c r="U489" s="29"/>
      <c r="V489" s="30" t="s">
        <v>50</v>
      </c>
      <c r="W489" s="30"/>
      <c r="X489" s="30"/>
      <c r="Y489" s="30"/>
      <c r="Z489" s="30"/>
      <c r="AA489" s="30"/>
      <c r="AB489" s="29"/>
      <c r="AC489" s="29"/>
      <c r="AD489" s="37">
        <f t="shared" si="100"/>
        <v>28994</v>
      </c>
      <c r="AE489" s="3" t="str">
        <f t="shared" ca="1" si="99"/>
        <v>47 Tahun 3 bulan 13 Hari</v>
      </c>
      <c r="AF489" s="38">
        <f t="shared" si="101"/>
        <v>50922</v>
      </c>
    </row>
    <row r="490" spans="1:32" s="7" customFormat="1" ht="32.15" customHeight="1" x14ac:dyDescent="0.35">
      <c r="A490" s="26">
        <f t="shared" si="102"/>
        <v>460</v>
      </c>
      <c r="B490" s="32" t="s">
        <v>1422</v>
      </c>
      <c r="C490" s="26"/>
      <c r="D490" s="50" t="s">
        <v>1434</v>
      </c>
      <c r="E490" s="24" t="s">
        <v>1435</v>
      </c>
      <c r="F490" s="24" t="s">
        <v>43</v>
      </c>
      <c r="G490" s="4" t="s">
        <v>1436</v>
      </c>
      <c r="H490" s="4" t="s">
        <v>274</v>
      </c>
      <c r="I490" s="33" t="s">
        <v>46</v>
      </c>
      <c r="J490" s="5">
        <v>44561</v>
      </c>
      <c r="K490" s="3" t="str">
        <f t="shared" ca="1" si="96"/>
        <v xml:space="preserve">4 Tahun 8 bulan </v>
      </c>
      <c r="L490" s="30" t="s">
        <v>88</v>
      </c>
      <c r="M490" s="5">
        <v>44561</v>
      </c>
      <c r="N490" s="3" t="str">
        <f t="shared" ca="1" si="97"/>
        <v xml:space="preserve">4 Tahun 8 bulan </v>
      </c>
      <c r="O490" s="4"/>
      <c r="P490" s="4" t="s">
        <v>35</v>
      </c>
      <c r="Q490" s="4" t="str">
        <f t="shared" si="98"/>
        <v>Perempuan</v>
      </c>
      <c r="R490" s="4">
        <f t="shared" si="104"/>
        <v>1</v>
      </c>
      <c r="S490" s="4" t="str">
        <f t="shared" si="105"/>
        <v>1</v>
      </c>
      <c r="T490" s="4">
        <f t="shared" si="93"/>
        <v>0</v>
      </c>
      <c r="U490" s="29"/>
      <c r="V490" s="30"/>
      <c r="W490" s="30"/>
      <c r="X490" s="30"/>
      <c r="Y490" s="30"/>
      <c r="Z490" s="30"/>
      <c r="AA490" s="30"/>
      <c r="AB490" s="29"/>
      <c r="AC490" s="29"/>
      <c r="AD490" s="37">
        <f t="shared" si="100"/>
        <v>28693</v>
      </c>
      <c r="AE490" s="3" t="str">
        <f t="shared" ca="1" si="99"/>
        <v>48 Tahun 1 bulan 10 Hari</v>
      </c>
      <c r="AF490" s="38">
        <f t="shared" si="101"/>
        <v>50618</v>
      </c>
    </row>
    <row r="491" spans="1:32" s="7" customFormat="1" ht="32.15" customHeight="1" x14ac:dyDescent="0.35">
      <c r="A491" s="26">
        <f t="shared" si="102"/>
        <v>461</v>
      </c>
      <c r="B491" s="32" t="s">
        <v>1422</v>
      </c>
      <c r="C491" s="26"/>
      <c r="D491" s="50" t="s">
        <v>1437</v>
      </c>
      <c r="E491" s="51" t="s">
        <v>1438</v>
      </c>
      <c r="F491" s="24" t="s">
        <v>43</v>
      </c>
      <c r="G491" s="52" t="s">
        <v>1439</v>
      </c>
      <c r="H491" s="4" t="s">
        <v>410</v>
      </c>
      <c r="I491" s="33" t="s">
        <v>86</v>
      </c>
      <c r="J491" s="5" t="s">
        <v>292</v>
      </c>
      <c r="K491" s="3" t="str">
        <f t="shared" ca="1" si="96"/>
        <v xml:space="preserve">7 Tahun 7 bulan </v>
      </c>
      <c r="L491" s="30" t="s">
        <v>200</v>
      </c>
      <c r="M491" s="5" t="s">
        <v>292</v>
      </c>
      <c r="N491" s="3" t="str">
        <f t="shared" ca="1" si="97"/>
        <v xml:space="preserve">7 Tahun 7 bulan </v>
      </c>
      <c r="O491" s="4"/>
      <c r="P491" s="4" t="s">
        <v>35</v>
      </c>
      <c r="Q491" s="4" t="str">
        <f t="shared" si="98"/>
        <v>Laki-Laki</v>
      </c>
      <c r="R491" s="4">
        <f t="shared" si="104"/>
        <v>1</v>
      </c>
      <c r="S491" s="4" t="str">
        <f t="shared" si="105"/>
        <v>1</v>
      </c>
      <c r="T491" s="4">
        <f t="shared" ref="T491:T570" si="106">R491-S491</f>
        <v>0</v>
      </c>
      <c r="U491" s="29"/>
      <c r="V491" s="30" t="s">
        <v>50</v>
      </c>
      <c r="W491" s="30"/>
      <c r="X491" s="30"/>
      <c r="Y491" s="30"/>
      <c r="Z491" s="30"/>
      <c r="AA491" s="30"/>
      <c r="AB491" s="29"/>
      <c r="AC491" s="29"/>
      <c r="AD491" s="37">
        <f t="shared" si="100"/>
        <v>30725</v>
      </c>
      <c r="AE491" s="3" t="str">
        <f t="shared" ca="1" si="99"/>
        <v>42 Tahun 6 bulan 19 Hari</v>
      </c>
      <c r="AF491" s="38">
        <f t="shared" si="101"/>
        <v>52657</v>
      </c>
    </row>
    <row r="492" spans="1:32" s="7" customFormat="1" ht="32.15" customHeight="1" x14ac:dyDescent="0.35">
      <c r="A492" s="26">
        <f t="shared" si="102"/>
        <v>462</v>
      </c>
      <c r="B492" s="32" t="s">
        <v>1422</v>
      </c>
      <c r="C492" s="256" t="s">
        <v>1440</v>
      </c>
      <c r="D492" s="257"/>
      <c r="E492" s="51" t="s">
        <v>1441</v>
      </c>
      <c r="F492" s="24" t="s">
        <v>43</v>
      </c>
      <c r="G492" s="33" t="s">
        <v>1468</v>
      </c>
      <c r="H492" s="4" t="s">
        <v>385</v>
      </c>
      <c r="I492" s="33" t="s">
        <v>1961</v>
      </c>
      <c r="J492" s="33">
        <v>46087</v>
      </c>
      <c r="K492" s="3" t="str">
        <f t="shared" ca="1" si="96"/>
        <v xml:space="preserve">0 Tahun 5 bulan </v>
      </c>
      <c r="L492" s="30" t="s">
        <v>346</v>
      </c>
      <c r="M492" s="5">
        <v>46087</v>
      </c>
      <c r="N492" s="3" t="str">
        <f t="shared" ca="1" si="97"/>
        <v xml:space="preserve">0 Tahun 5 bulan </v>
      </c>
      <c r="O492" s="4"/>
      <c r="P492" s="4" t="s">
        <v>35</v>
      </c>
      <c r="Q492" s="4" t="str">
        <f t="shared" si="98"/>
        <v>Laki-Laki</v>
      </c>
      <c r="R492" s="4">
        <f t="shared" si="104"/>
        <v>1</v>
      </c>
      <c r="S492" s="4" t="str">
        <f t="shared" si="105"/>
        <v>1</v>
      </c>
      <c r="T492" s="4">
        <f t="shared" si="106"/>
        <v>0</v>
      </c>
      <c r="U492" s="29"/>
      <c r="V492" s="30"/>
      <c r="W492" s="30"/>
      <c r="X492" s="30"/>
      <c r="Y492" s="30"/>
      <c r="Z492" s="30"/>
      <c r="AA492" s="30"/>
      <c r="AB492" s="29"/>
      <c r="AC492" s="29"/>
      <c r="AD492" s="37">
        <f t="shared" si="100"/>
        <v>29221</v>
      </c>
      <c r="AE492" s="3" t="str">
        <f t="shared" ca="1" si="99"/>
        <v>46 Tahun 8 bulan 0 Hari</v>
      </c>
      <c r="AF492" s="38">
        <f t="shared" si="101"/>
        <v>51167</v>
      </c>
    </row>
    <row r="493" spans="1:32" s="7" customFormat="1" ht="32.15" customHeight="1" x14ac:dyDescent="0.35">
      <c r="A493" s="26">
        <f t="shared" si="102"/>
        <v>463</v>
      </c>
      <c r="B493" s="32" t="s">
        <v>1422</v>
      </c>
      <c r="C493" s="26"/>
      <c r="D493" s="50" t="s">
        <v>1442</v>
      </c>
      <c r="E493" s="24" t="s">
        <v>1443</v>
      </c>
      <c r="F493" s="24" t="s">
        <v>43</v>
      </c>
      <c r="G493" s="3" t="s">
        <v>1444</v>
      </c>
      <c r="H493" s="4" t="s">
        <v>241</v>
      </c>
      <c r="I493" s="33" t="s">
        <v>362</v>
      </c>
      <c r="J493" s="5">
        <v>44561</v>
      </c>
      <c r="K493" s="3" t="str">
        <f t="shared" ca="1" si="96"/>
        <v xml:space="preserve">4 Tahun 8 bulan </v>
      </c>
      <c r="L493" s="30" t="s">
        <v>88</v>
      </c>
      <c r="M493" s="5">
        <v>44561</v>
      </c>
      <c r="N493" s="3" t="str">
        <f t="shared" ca="1" si="97"/>
        <v xml:space="preserve">4 Tahun 8 bulan </v>
      </c>
      <c r="O493" s="4"/>
      <c r="P493" s="4" t="s">
        <v>35</v>
      </c>
      <c r="Q493" s="4" t="str">
        <f t="shared" si="98"/>
        <v>Laki-Laki</v>
      </c>
      <c r="R493" s="4">
        <f t="shared" si="104"/>
        <v>1</v>
      </c>
      <c r="S493" s="4" t="str">
        <f t="shared" si="105"/>
        <v>1</v>
      </c>
      <c r="T493" s="4">
        <f t="shared" si="106"/>
        <v>0</v>
      </c>
      <c r="U493" s="29"/>
      <c r="V493" s="30" t="s">
        <v>50</v>
      </c>
      <c r="W493" s="30"/>
      <c r="X493" s="30"/>
      <c r="Y493" s="30"/>
      <c r="Z493" s="30"/>
      <c r="AA493" s="30"/>
      <c r="AB493" s="29"/>
      <c r="AC493" s="29"/>
      <c r="AD493" s="37">
        <f t="shared" si="100"/>
        <v>28910</v>
      </c>
      <c r="AE493" s="3" t="str">
        <f t="shared" ca="1" si="99"/>
        <v>47 Tahun 6 bulan 8 Hari</v>
      </c>
      <c r="AF493" s="38">
        <f t="shared" si="101"/>
        <v>50830</v>
      </c>
    </row>
    <row r="494" spans="1:32" s="7" customFormat="1" ht="32.15" customHeight="1" x14ac:dyDescent="0.35">
      <c r="A494" s="26">
        <f t="shared" si="102"/>
        <v>464</v>
      </c>
      <c r="B494" s="32" t="s">
        <v>1422</v>
      </c>
      <c r="C494" s="26"/>
      <c r="D494" s="50" t="s">
        <v>1442</v>
      </c>
      <c r="E494" s="51" t="s">
        <v>108</v>
      </c>
      <c r="F494" s="51"/>
      <c r="G494" s="59"/>
      <c r="H494" s="4"/>
      <c r="I494" s="33"/>
      <c r="J494" s="5"/>
      <c r="K494" s="3" t="str">
        <f ca="1">IF(J494="","",CONCATENATE(DATEDIF(J494,NOW(),"Y")," Tahun ",DATEDIF(J494,NOW(),"YM")," bulan "))</f>
        <v/>
      </c>
      <c r="L494" s="30" t="s">
        <v>88</v>
      </c>
      <c r="M494" s="5"/>
      <c r="N494" s="3" t="str">
        <f ca="1">IF(M494="","",CONCATENATE(DATEDIF(M494,NOW(),"Y")," Tahun ",DATEDIF(M494,NOW(),"YM")," bulan "))</f>
        <v/>
      </c>
      <c r="O494" s="4"/>
      <c r="P494" s="4"/>
      <c r="Q494" s="4" t="str">
        <f t="shared" si="98"/>
        <v/>
      </c>
      <c r="R494" s="4">
        <f t="shared" si="104"/>
        <v>1</v>
      </c>
      <c r="S494" s="4" t="str">
        <f t="shared" si="105"/>
        <v>0</v>
      </c>
      <c r="T494" s="4">
        <f t="shared" si="106"/>
        <v>1</v>
      </c>
      <c r="U494" s="29"/>
      <c r="V494" s="30" t="s">
        <v>50</v>
      </c>
      <c r="W494" s="30"/>
      <c r="X494" s="30"/>
      <c r="Y494" s="30"/>
      <c r="Z494" s="30"/>
      <c r="AA494" s="30"/>
      <c r="AB494" s="29"/>
      <c r="AC494" s="29"/>
      <c r="AD494" s="37" t="str">
        <f t="shared" si="100"/>
        <v/>
      </c>
      <c r="AE494" s="3" t="str">
        <f t="shared" ca="1" si="99"/>
        <v/>
      </c>
      <c r="AF494" s="38" t="str">
        <f t="shared" si="101"/>
        <v/>
      </c>
    </row>
    <row r="495" spans="1:32" s="7" customFormat="1" ht="32.15" customHeight="1" x14ac:dyDescent="0.35">
      <c r="A495" s="26">
        <f t="shared" si="102"/>
        <v>465</v>
      </c>
      <c r="B495" s="32" t="s">
        <v>1422</v>
      </c>
      <c r="C495" s="26"/>
      <c r="D495" s="50" t="s">
        <v>1442</v>
      </c>
      <c r="E495" s="24" t="s">
        <v>1446</v>
      </c>
      <c r="F495" s="24" t="s">
        <v>43</v>
      </c>
      <c r="G495" s="3" t="s">
        <v>1447</v>
      </c>
      <c r="H495" s="4" t="s">
        <v>1448</v>
      </c>
      <c r="I495" s="33" t="s">
        <v>86</v>
      </c>
      <c r="J495" s="5">
        <v>44561</v>
      </c>
      <c r="K495" s="3" t="str">
        <f t="shared" ca="1" si="96"/>
        <v xml:space="preserve">4 Tahun 8 bulan </v>
      </c>
      <c r="L495" s="30" t="s">
        <v>88</v>
      </c>
      <c r="M495" s="5">
        <v>44561</v>
      </c>
      <c r="N495" s="3" t="str">
        <f t="shared" ref="N495:N558" ca="1" si="107">IF(M495="","",CONCATENATE(DATEDIF(M495,NOW(),"Y")," Tahun ",DATEDIF(M495,NOW(),"YM")," bulan "))</f>
        <v xml:space="preserve">4 Tahun 8 bulan </v>
      </c>
      <c r="O495" s="4"/>
      <c r="P495" s="4" t="s">
        <v>35</v>
      </c>
      <c r="Q495" s="4" t="str">
        <f t="shared" si="98"/>
        <v>Perempuan</v>
      </c>
      <c r="R495" s="4">
        <f t="shared" si="104"/>
        <v>1</v>
      </c>
      <c r="S495" s="4" t="str">
        <f t="shared" si="105"/>
        <v>1</v>
      </c>
      <c r="T495" s="4">
        <f t="shared" si="106"/>
        <v>0</v>
      </c>
      <c r="U495" s="29"/>
      <c r="V495" s="30"/>
      <c r="W495" s="30"/>
      <c r="X495" s="30"/>
      <c r="Y495" s="30"/>
      <c r="Z495" s="30"/>
      <c r="AA495" s="30"/>
      <c r="AB495" s="29"/>
      <c r="AC495" s="29"/>
      <c r="AD495" s="37">
        <f t="shared" si="100"/>
        <v>27290</v>
      </c>
      <c r="AE495" s="3" t="str">
        <f t="shared" ca="1" si="99"/>
        <v>51 Tahun 11 bulan 14 Hari</v>
      </c>
      <c r="AF495" s="38">
        <f t="shared" si="101"/>
        <v>49218</v>
      </c>
    </row>
    <row r="496" spans="1:32" s="7" customFormat="1" ht="33.75" customHeight="1" x14ac:dyDescent="0.35">
      <c r="A496" s="26">
        <f t="shared" si="102"/>
        <v>466</v>
      </c>
      <c r="B496" s="32" t="s">
        <v>1422</v>
      </c>
      <c r="C496" s="256" t="s">
        <v>1449</v>
      </c>
      <c r="D496" s="257"/>
      <c r="E496" s="24" t="s">
        <v>1450</v>
      </c>
      <c r="F496" s="24" t="s">
        <v>43</v>
      </c>
      <c r="G496" s="103" t="s">
        <v>1451</v>
      </c>
      <c r="H496" s="4" t="s">
        <v>1452</v>
      </c>
      <c r="I496" s="33" t="s">
        <v>46</v>
      </c>
      <c r="J496" s="5">
        <v>45916</v>
      </c>
      <c r="K496" s="3" t="str">
        <f t="shared" ca="1" si="96"/>
        <v xml:space="preserve">0 Tahun 11 bulan </v>
      </c>
      <c r="L496" s="30" t="s">
        <v>346</v>
      </c>
      <c r="M496" s="5" t="s">
        <v>1453</v>
      </c>
      <c r="N496" s="3" t="str">
        <f t="shared" ca="1" si="107"/>
        <v xml:space="preserve">3 Tahun 8 bulan </v>
      </c>
      <c r="O496" s="4"/>
      <c r="P496" s="4" t="s">
        <v>35</v>
      </c>
      <c r="Q496" s="4" t="str">
        <f t="shared" si="98"/>
        <v>Laki-Laki</v>
      </c>
      <c r="R496" s="4">
        <f t="shared" si="104"/>
        <v>1</v>
      </c>
      <c r="S496" s="4" t="str">
        <f t="shared" si="105"/>
        <v>1</v>
      </c>
      <c r="T496" s="4">
        <f t="shared" si="106"/>
        <v>0</v>
      </c>
      <c r="U496" s="29"/>
      <c r="V496" s="30" t="s">
        <v>50</v>
      </c>
      <c r="W496" s="30"/>
      <c r="X496" s="30"/>
      <c r="Y496" s="30"/>
      <c r="Z496" s="30"/>
      <c r="AA496" s="30"/>
      <c r="AB496" s="29"/>
      <c r="AC496" s="29"/>
      <c r="AD496" s="37">
        <f t="shared" si="100"/>
        <v>30813</v>
      </c>
      <c r="AE496" s="3" t="str">
        <f t="shared" ca="1" si="99"/>
        <v>42 Tahun 3 bulan 21 Hari</v>
      </c>
      <c r="AF496" s="38">
        <f t="shared" si="101"/>
        <v>52749</v>
      </c>
    </row>
    <row r="497" spans="1:32" s="7" customFormat="1" ht="32.15" customHeight="1" x14ac:dyDescent="0.35">
      <c r="A497" s="26">
        <f t="shared" si="102"/>
        <v>467</v>
      </c>
      <c r="B497" s="32" t="s">
        <v>1422</v>
      </c>
      <c r="C497" s="26"/>
      <c r="D497" s="50" t="s">
        <v>1442</v>
      </c>
      <c r="E497" s="24" t="s">
        <v>1454</v>
      </c>
      <c r="F497" s="24" t="s">
        <v>43</v>
      </c>
      <c r="G497" s="4" t="s">
        <v>1455</v>
      </c>
      <c r="H497" s="4" t="s">
        <v>274</v>
      </c>
      <c r="I497" s="33" t="s">
        <v>1456</v>
      </c>
      <c r="J497" s="5" t="s">
        <v>87</v>
      </c>
      <c r="K497" s="3" t="str">
        <f t="shared" ca="1" si="96"/>
        <v xml:space="preserve">4 Tahun 8 bulan </v>
      </c>
      <c r="L497" s="30" t="s">
        <v>88</v>
      </c>
      <c r="M497" s="5">
        <v>44561</v>
      </c>
      <c r="N497" s="3" t="str">
        <f t="shared" ca="1" si="107"/>
        <v xml:space="preserve">4 Tahun 8 bulan </v>
      </c>
      <c r="O497" s="4"/>
      <c r="P497" s="4" t="s">
        <v>35</v>
      </c>
      <c r="Q497" s="4" t="str">
        <f t="shared" si="98"/>
        <v>Perempuan</v>
      </c>
      <c r="R497" s="4">
        <f t="shared" si="104"/>
        <v>1</v>
      </c>
      <c r="S497" s="4" t="str">
        <f t="shared" si="105"/>
        <v>1</v>
      </c>
      <c r="T497" s="4">
        <f t="shared" si="106"/>
        <v>0</v>
      </c>
      <c r="U497" s="29"/>
      <c r="V497" s="30"/>
      <c r="W497" s="30"/>
      <c r="X497" s="30"/>
      <c r="Y497" s="30"/>
      <c r="Z497" s="30"/>
      <c r="AA497" s="30"/>
      <c r="AB497" s="29"/>
      <c r="AC497" s="29"/>
      <c r="AD497" s="37">
        <f t="shared" si="100"/>
        <v>30065</v>
      </c>
      <c r="AE497" s="3" t="str">
        <f t="shared" ca="1" si="99"/>
        <v>44 Tahun 4 bulan 8 Hari</v>
      </c>
      <c r="AF497" s="38">
        <f t="shared" si="101"/>
        <v>51987</v>
      </c>
    </row>
    <row r="498" spans="1:32" s="7" customFormat="1" ht="32.15" customHeight="1" x14ac:dyDescent="0.35">
      <c r="A498" s="26">
        <f t="shared" si="102"/>
        <v>468</v>
      </c>
      <c r="B498" s="32" t="s">
        <v>1422</v>
      </c>
      <c r="C498" s="26"/>
      <c r="D498" s="50" t="s">
        <v>1442</v>
      </c>
      <c r="E498" s="24" t="s">
        <v>1457</v>
      </c>
      <c r="F498" s="24" t="s">
        <v>43</v>
      </c>
      <c r="G498" s="4" t="s">
        <v>1458</v>
      </c>
      <c r="H498" s="4" t="s">
        <v>1459</v>
      </c>
      <c r="I498" s="33" t="s">
        <v>1460</v>
      </c>
      <c r="J498" s="5" t="s">
        <v>87</v>
      </c>
      <c r="K498" s="3" t="str">
        <f t="shared" ca="1" si="96"/>
        <v xml:space="preserve">4 Tahun 8 bulan </v>
      </c>
      <c r="L498" s="30" t="s">
        <v>88</v>
      </c>
      <c r="M498" s="5">
        <v>44561</v>
      </c>
      <c r="N498" s="3" t="str">
        <f t="shared" ca="1" si="107"/>
        <v xml:space="preserve">4 Tahun 8 bulan </v>
      </c>
      <c r="O498" s="4"/>
      <c r="P498" s="4" t="s">
        <v>35</v>
      </c>
      <c r="Q498" s="4" t="str">
        <f t="shared" si="98"/>
        <v>Laki-Laki</v>
      </c>
      <c r="R498" s="4">
        <f t="shared" si="104"/>
        <v>1</v>
      </c>
      <c r="S498" s="4" t="str">
        <f t="shared" si="105"/>
        <v>1</v>
      </c>
      <c r="T498" s="4">
        <f t="shared" si="106"/>
        <v>0</v>
      </c>
      <c r="U498" s="29"/>
      <c r="V498" s="30" t="s">
        <v>50</v>
      </c>
      <c r="W498" s="30"/>
      <c r="X498" s="30"/>
      <c r="Y498" s="30"/>
      <c r="Z498" s="30"/>
      <c r="AA498" s="30"/>
      <c r="AB498" s="29"/>
      <c r="AC498" s="29"/>
      <c r="AD498" s="37">
        <f t="shared" si="100"/>
        <v>31016</v>
      </c>
      <c r="AE498" s="3" t="str">
        <f t="shared" ca="1" si="99"/>
        <v>41 Tahun 9 bulan 2 Hari</v>
      </c>
      <c r="AF498" s="38">
        <f t="shared" si="101"/>
        <v>52932</v>
      </c>
    </row>
    <row r="499" spans="1:32" s="7" customFormat="1" ht="32.15" customHeight="1" x14ac:dyDescent="0.35">
      <c r="A499" s="26">
        <f t="shared" si="102"/>
        <v>469</v>
      </c>
      <c r="B499" s="32" t="s">
        <v>1422</v>
      </c>
      <c r="C499" s="26"/>
      <c r="D499" s="50" t="s">
        <v>1442</v>
      </c>
      <c r="E499" s="24" t="s">
        <v>1461</v>
      </c>
      <c r="F499" s="24" t="s">
        <v>43</v>
      </c>
      <c r="G499" s="4" t="s">
        <v>1462</v>
      </c>
      <c r="H499" s="36" t="s">
        <v>1448</v>
      </c>
      <c r="I499" s="33" t="s">
        <v>86</v>
      </c>
      <c r="J499" s="5" t="s">
        <v>87</v>
      </c>
      <c r="K499" s="3" t="str">
        <f t="shared" ca="1" si="96"/>
        <v xml:space="preserve">4 Tahun 8 bulan </v>
      </c>
      <c r="L499" s="30" t="s">
        <v>88</v>
      </c>
      <c r="M499" s="5">
        <v>44561</v>
      </c>
      <c r="N499" s="3" t="str">
        <f t="shared" ca="1" si="107"/>
        <v xml:space="preserve">4 Tahun 8 bulan </v>
      </c>
      <c r="O499" s="35"/>
      <c r="P499" s="4" t="s">
        <v>35</v>
      </c>
      <c r="Q499" s="4" t="str">
        <f t="shared" si="98"/>
        <v>Laki-Laki</v>
      </c>
      <c r="R499" s="4">
        <f t="shared" si="104"/>
        <v>1</v>
      </c>
      <c r="S499" s="4" t="str">
        <f t="shared" si="105"/>
        <v>1</v>
      </c>
      <c r="T499" s="4">
        <f t="shared" si="106"/>
        <v>0</v>
      </c>
      <c r="U499" s="29"/>
      <c r="V499" s="30" t="s">
        <v>50</v>
      </c>
      <c r="W499" s="30"/>
      <c r="X499" s="30"/>
      <c r="Y499" s="30"/>
      <c r="Z499" s="30"/>
      <c r="AA499" s="30"/>
      <c r="AB499" s="29"/>
      <c r="AC499" s="29"/>
      <c r="AD499" s="37">
        <f t="shared" si="100"/>
        <v>29519</v>
      </c>
      <c r="AE499" s="3" t="str">
        <f t="shared" ca="1" si="99"/>
        <v>45 Tahun 10 bulan 7 Hari</v>
      </c>
      <c r="AF499" s="38">
        <f t="shared" si="101"/>
        <v>51441</v>
      </c>
    </row>
    <row r="500" spans="1:32" s="7" customFormat="1" ht="39" customHeight="1" x14ac:dyDescent="0.35">
      <c r="A500" s="26">
        <f t="shared" si="102"/>
        <v>470</v>
      </c>
      <c r="B500" s="32" t="s">
        <v>1422</v>
      </c>
      <c r="C500" s="256" t="s">
        <v>1463</v>
      </c>
      <c r="D500" s="257"/>
      <c r="E500" s="51" t="s">
        <v>1464</v>
      </c>
      <c r="F500" s="24" t="s">
        <v>43</v>
      </c>
      <c r="G500" s="33" t="s">
        <v>1465</v>
      </c>
      <c r="H500" s="4" t="s">
        <v>385</v>
      </c>
      <c r="I500" s="33" t="s">
        <v>1466</v>
      </c>
      <c r="J500" s="5">
        <v>46087</v>
      </c>
      <c r="K500" s="3" t="str">
        <f t="shared" ca="1" si="96"/>
        <v xml:space="preserve">0 Tahun 5 bulan </v>
      </c>
      <c r="L500" s="30" t="s">
        <v>346</v>
      </c>
      <c r="M500" s="5">
        <v>46087</v>
      </c>
      <c r="N500" s="3" t="str">
        <f t="shared" ca="1" si="107"/>
        <v xml:space="preserve">0 Tahun 5 bulan </v>
      </c>
      <c r="O500" s="4"/>
      <c r="P500" s="4" t="s">
        <v>35</v>
      </c>
      <c r="Q500" s="4" t="str">
        <f t="shared" si="98"/>
        <v>Laki-Laki</v>
      </c>
      <c r="R500" s="4">
        <f t="shared" si="104"/>
        <v>1</v>
      </c>
      <c r="S500" s="4" t="str">
        <f t="shared" si="105"/>
        <v>1</v>
      </c>
      <c r="T500" s="4">
        <f t="shared" si="106"/>
        <v>0</v>
      </c>
      <c r="U500" s="29"/>
      <c r="V500" s="30" t="s">
        <v>50</v>
      </c>
      <c r="W500" s="30"/>
      <c r="X500" s="30"/>
      <c r="Y500" s="30"/>
      <c r="Z500" s="30"/>
      <c r="AA500" s="30"/>
      <c r="AB500" s="29"/>
      <c r="AC500" s="29"/>
      <c r="AD500" s="37">
        <f t="shared" si="100"/>
        <v>28952</v>
      </c>
      <c r="AE500" s="3" t="str">
        <f t="shared" ca="1" si="99"/>
        <v>47 Tahun 4 bulan 25 Hari</v>
      </c>
      <c r="AF500" s="38">
        <f t="shared" si="101"/>
        <v>50891</v>
      </c>
    </row>
    <row r="501" spans="1:32" s="7" customFormat="1" ht="32.15" customHeight="1" x14ac:dyDescent="0.35">
      <c r="A501" s="26">
        <f t="shared" si="102"/>
        <v>471</v>
      </c>
      <c r="B501" s="32" t="s">
        <v>1422</v>
      </c>
      <c r="C501" s="26"/>
      <c r="D501" s="50" t="s">
        <v>1442</v>
      </c>
      <c r="E501" s="24" t="s">
        <v>108</v>
      </c>
      <c r="F501" s="24"/>
      <c r="G501" s="3"/>
      <c r="H501" s="4"/>
      <c r="I501" s="4"/>
      <c r="J501" s="5"/>
      <c r="K501" s="3" t="str">
        <f t="shared" ca="1" si="96"/>
        <v/>
      </c>
      <c r="L501" s="30" t="s">
        <v>88</v>
      </c>
      <c r="M501" s="5"/>
      <c r="N501" s="3" t="str">
        <f t="shared" ca="1" si="107"/>
        <v/>
      </c>
      <c r="O501" s="4"/>
      <c r="P501" s="4"/>
      <c r="Q501" s="4" t="str">
        <f t="shared" si="98"/>
        <v/>
      </c>
      <c r="R501" s="4">
        <f t="shared" si="104"/>
        <v>1</v>
      </c>
      <c r="S501" s="4" t="str">
        <f t="shared" si="105"/>
        <v>0</v>
      </c>
      <c r="T501" s="4">
        <f t="shared" si="106"/>
        <v>1</v>
      </c>
      <c r="U501" s="29"/>
      <c r="V501" s="30" t="s">
        <v>50</v>
      </c>
      <c r="W501" s="30"/>
      <c r="X501" s="30"/>
      <c r="Y501" s="30"/>
      <c r="Z501" s="30"/>
      <c r="AA501" s="30"/>
      <c r="AB501" s="29"/>
      <c r="AC501" s="29"/>
      <c r="AD501" s="37" t="str">
        <f t="shared" si="100"/>
        <v/>
      </c>
      <c r="AE501" s="3" t="str">
        <f t="shared" ca="1" si="99"/>
        <v/>
      </c>
      <c r="AF501" s="38" t="str">
        <f t="shared" si="101"/>
        <v/>
      </c>
    </row>
    <row r="502" spans="1:32" s="7" customFormat="1" ht="32.15" customHeight="1" x14ac:dyDescent="0.35">
      <c r="A502" s="26">
        <f t="shared" si="102"/>
        <v>472</v>
      </c>
      <c r="B502" s="32" t="s">
        <v>1422</v>
      </c>
      <c r="C502" s="26"/>
      <c r="D502" s="50" t="s">
        <v>1442</v>
      </c>
      <c r="E502" s="51" t="s">
        <v>108</v>
      </c>
      <c r="F502" s="51"/>
      <c r="G502" s="33"/>
      <c r="H502" s="4"/>
      <c r="I502" s="33"/>
      <c r="J502" s="5"/>
      <c r="K502" s="3" t="str">
        <f t="shared" ca="1" si="96"/>
        <v/>
      </c>
      <c r="L502" s="30" t="s">
        <v>88</v>
      </c>
      <c r="M502" s="5"/>
      <c r="N502" s="3" t="str">
        <f t="shared" ca="1" si="107"/>
        <v/>
      </c>
      <c r="O502" s="4"/>
      <c r="P502" s="4"/>
      <c r="Q502" s="4" t="str">
        <f t="shared" si="98"/>
        <v/>
      </c>
      <c r="R502" s="4">
        <f t="shared" si="104"/>
        <v>1</v>
      </c>
      <c r="S502" s="4" t="str">
        <f t="shared" si="105"/>
        <v>0</v>
      </c>
      <c r="T502" s="4">
        <f t="shared" si="106"/>
        <v>1</v>
      </c>
      <c r="U502" s="29"/>
      <c r="V502" s="30" t="s">
        <v>50</v>
      </c>
      <c r="W502" s="30"/>
      <c r="X502" s="30"/>
      <c r="Y502" s="30"/>
      <c r="Z502" s="30"/>
      <c r="AA502" s="30"/>
      <c r="AB502" s="29"/>
      <c r="AC502" s="29"/>
      <c r="AD502" s="37" t="str">
        <f t="shared" si="100"/>
        <v/>
      </c>
      <c r="AE502" s="3" t="str">
        <f t="shared" ca="1" si="99"/>
        <v/>
      </c>
      <c r="AF502" s="38" t="str">
        <f t="shared" si="101"/>
        <v/>
      </c>
    </row>
    <row r="503" spans="1:32" s="7" customFormat="1" ht="32.15" customHeight="1" x14ac:dyDescent="0.35">
      <c r="A503" s="26">
        <f t="shared" si="102"/>
        <v>473</v>
      </c>
      <c r="B503" s="32" t="s">
        <v>1422</v>
      </c>
      <c r="C503" s="26"/>
      <c r="D503" s="50" t="s">
        <v>1442</v>
      </c>
      <c r="E503" s="51" t="s">
        <v>1469</v>
      </c>
      <c r="F503" s="24" t="s">
        <v>43</v>
      </c>
      <c r="G503" s="52" t="s">
        <v>1470</v>
      </c>
      <c r="H503" s="4" t="s">
        <v>159</v>
      </c>
      <c r="I503" s="33" t="s">
        <v>86</v>
      </c>
      <c r="J503" s="5">
        <v>44561</v>
      </c>
      <c r="K503" s="3" t="str">
        <f t="shared" ca="1" si="96"/>
        <v xml:space="preserve">4 Tahun 8 bulan </v>
      </c>
      <c r="L503" s="30" t="s">
        <v>88</v>
      </c>
      <c r="M503" s="5">
        <v>44561</v>
      </c>
      <c r="N503" s="3" t="str">
        <f t="shared" ca="1" si="107"/>
        <v xml:space="preserve">4 Tahun 8 bulan </v>
      </c>
      <c r="O503" s="4"/>
      <c r="P503" s="4" t="s">
        <v>35</v>
      </c>
      <c r="Q503" s="4" t="str">
        <f t="shared" si="98"/>
        <v>Laki-Laki</v>
      </c>
      <c r="R503" s="4">
        <f t="shared" si="104"/>
        <v>1</v>
      </c>
      <c r="S503" s="4" t="str">
        <f t="shared" si="105"/>
        <v>1</v>
      </c>
      <c r="T503" s="4">
        <f t="shared" si="106"/>
        <v>0</v>
      </c>
      <c r="U503" s="29"/>
      <c r="V503" s="30" t="s">
        <v>50</v>
      </c>
      <c r="W503" s="30"/>
      <c r="X503" s="30"/>
      <c r="Y503" s="30"/>
      <c r="Z503" s="30"/>
      <c r="AA503" s="30"/>
      <c r="AB503" s="29"/>
      <c r="AC503" s="29"/>
      <c r="AD503" s="37">
        <f t="shared" si="100"/>
        <v>29014</v>
      </c>
      <c r="AE503" s="3" t="str">
        <f t="shared" ca="1" si="99"/>
        <v>47 Tahun 2 bulan 24 Hari</v>
      </c>
      <c r="AF503" s="38">
        <f t="shared" si="101"/>
        <v>50952</v>
      </c>
    </row>
    <row r="504" spans="1:32" s="7" customFormat="1" ht="32.15" customHeight="1" x14ac:dyDescent="0.35">
      <c r="A504" s="26">
        <f t="shared" si="102"/>
        <v>474</v>
      </c>
      <c r="B504" s="32" t="s">
        <v>1422</v>
      </c>
      <c r="C504" s="256" t="s">
        <v>1471</v>
      </c>
      <c r="D504" s="257"/>
      <c r="E504" s="51" t="s">
        <v>1472</v>
      </c>
      <c r="F504" s="24" t="s">
        <v>43</v>
      </c>
      <c r="G504" s="52" t="s">
        <v>2843</v>
      </c>
      <c r="H504" s="52" t="s">
        <v>830</v>
      </c>
      <c r="I504" s="52" t="s">
        <v>2844</v>
      </c>
      <c r="J504" s="104">
        <v>45993</v>
      </c>
      <c r="K504" s="3" t="str">
        <f t="shared" ca="1" si="96"/>
        <v xml:space="preserve">0 Tahun 8 bulan </v>
      </c>
      <c r="L504" s="30" t="s">
        <v>346</v>
      </c>
      <c r="M504" s="5"/>
      <c r="N504" s="3" t="str">
        <f t="shared" ca="1" si="107"/>
        <v/>
      </c>
      <c r="O504" s="4"/>
      <c r="P504" s="4" t="s">
        <v>35</v>
      </c>
      <c r="Q504" s="4" t="str">
        <f t="shared" si="98"/>
        <v>Laki-Laki</v>
      </c>
      <c r="R504" s="4">
        <f t="shared" si="104"/>
        <v>1</v>
      </c>
      <c r="S504" s="4" t="str">
        <f t="shared" si="105"/>
        <v>1</v>
      </c>
      <c r="T504" s="4">
        <f t="shared" si="106"/>
        <v>0</v>
      </c>
      <c r="U504" s="29"/>
      <c r="V504" s="30" t="s">
        <v>50</v>
      </c>
      <c r="W504" s="30"/>
      <c r="X504" s="30"/>
      <c r="Y504" s="30"/>
      <c r="Z504" s="30"/>
      <c r="AA504" s="30"/>
      <c r="AB504" s="29"/>
      <c r="AC504" s="29"/>
      <c r="AD504" s="37">
        <f t="shared" si="100"/>
        <v>28431</v>
      </c>
      <c r="AE504" s="3" t="str">
        <f t="shared" ca="1" si="99"/>
        <v>48 Tahun 9 bulan 30 Hari</v>
      </c>
      <c r="AF504" s="38">
        <f t="shared" si="101"/>
        <v>50375</v>
      </c>
    </row>
    <row r="505" spans="1:32" s="7" customFormat="1" ht="32.15" customHeight="1" x14ac:dyDescent="0.35">
      <c r="A505" s="26">
        <f t="shared" si="102"/>
        <v>475</v>
      </c>
      <c r="B505" s="32" t="s">
        <v>1422</v>
      </c>
      <c r="C505" s="26"/>
      <c r="D505" s="50" t="s">
        <v>1442</v>
      </c>
      <c r="E505" s="24" t="s">
        <v>1473</v>
      </c>
      <c r="F505" s="24" t="s">
        <v>43</v>
      </c>
      <c r="G505" s="4" t="s">
        <v>1474</v>
      </c>
      <c r="H505" s="4" t="s">
        <v>419</v>
      </c>
      <c r="I505" s="33" t="s">
        <v>46</v>
      </c>
      <c r="J505" s="5">
        <v>44561</v>
      </c>
      <c r="K505" s="3" t="str">
        <f t="shared" ca="1" si="96"/>
        <v xml:space="preserve">4 Tahun 8 bulan </v>
      </c>
      <c r="L505" s="30" t="s">
        <v>88</v>
      </c>
      <c r="M505" s="5">
        <v>44561</v>
      </c>
      <c r="N505" s="3" t="str">
        <f t="shared" ca="1" si="107"/>
        <v xml:space="preserve">4 Tahun 8 bulan </v>
      </c>
      <c r="O505" s="4"/>
      <c r="P505" s="4" t="s">
        <v>35</v>
      </c>
      <c r="Q505" s="4" t="str">
        <f t="shared" si="98"/>
        <v>Laki-Laki</v>
      </c>
      <c r="R505" s="4">
        <f t="shared" si="104"/>
        <v>1</v>
      </c>
      <c r="S505" s="4" t="str">
        <f t="shared" si="105"/>
        <v>1</v>
      </c>
      <c r="T505" s="4">
        <f t="shared" si="106"/>
        <v>0</v>
      </c>
      <c r="U505" s="29"/>
      <c r="V505" s="30" t="s">
        <v>50</v>
      </c>
      <c r="W505" s="30"/>
      <c r="X505" s="30"/>
      <c r="Y505" s="30"/>
      <c r="Z505" s="30"/>
      <c r="AA505" s="30"/>
      <c r="AB505" s="29"/>
      <c r="AC505" s="29"/>
      <c r="AD505" s="37">
        <f t="shared" si="100"/>
        <v>30861</v>
      </c>
      <c r="AE505" s="3" t="str">
        <f t="shared" ca="1" si="99"/>
        <v>42 Tahun 2 bulan 4 Hari</v>
      </c>
      <c r="AF505" s="38">
        <f t="shared" si="101"/>
        <v>52779</v>
      </c>
    </row>
    <row r="506" spans="1:32" s="7" customFormat="1" ht="32.15" customHeight="1" x14ac:dyDescent="0.35">
      <c r="A506" s="26">
        <f t="shared" si="102"/>
        <v>476</v>
      </c>
      <c r="B506" s="32" t="s">
        <v>1422</v>
      </c>
      <c r="C506" s="26"/>
      <c r="D506" s="50" t="s">
        <v>1442</v>
      </c>
      <c r="E506" s="24" t="s">
        <v>1475</v>
      </c>
      <c r="F506" s="24" t="s">
        <v>43</v>
      </c>
      <c r="G506" s="4" t="s">
        <v>1476</v>
      </c>
      <c r="H506" s="4" t="s">
        <v>472</v>
      </c>
      <c r="I506" s="33" t="s">
        <v>86</v>
      </c>
      <c r="J506" s="5" t="s">
        <v>87</v>
      </c>
      <c r="K506" s="3" t="str">
        <f t="shared" ca="1" si="96"/>
        <v xml:space="preserve">4 Tahun 8 bulan </v>
      </c>
      <c r="L506" s="30" t="s">
        <v>88</v>
      </c>
      <c r="M506" s="5">
        <v>44561</v>
      </c>
      <c r="N506" s="3" t="str">
        <f t="shared" ca="1" si="107"/>
        <v xml:space="preserve">4 Tahun 8 bulan </v>
      </c>
      <c r="O506" s="4"/>
      <c r="P506" s="4" t="s">
        <v>35</v>
      </c>
      <c r="Q506" s="4" t="str">
        <f t="shared" si="98"/>
        <v>Laki-Laki</v>
      </c>
      <c r="R506" s="4">
        <f t="shared" si="104"/>
        <v>1</v>
      </c>
      <c r="S506" s="4" t="str">
        <f t="shared" si="105"/>
        <v>1</v>
      </c>
      <c r="T506" s="4">
        <f t="shared" si="106"/>
        <v>0</v>
      </c>
      <c r="U506" s="29"/>
      <c r="V506" s="30" t="s">
        <v>50</v>
      </c>
      <c r="W506" s="30"/>
      <c r="X506" s="30"/>
      <c r="Y506" s="30"/>
      <c r="Z506" s="30"/>
      <c r="AA506" s="30"/>
      <c r="AB506" s="29"/>
      <c r="AC506" s="29"/>
      <c r="AD506" s="37">
        <f t="shared" si="100"/>
        <v>27411</v>
      </c>
      <c r="AE506" s="3" t="str">
        <f t="shared" ca="1" si="99"/>
        <v>51 Tahun 7 bulan 15 Hari</v>
      </c>
      <c r="AF506" s="38">
        <f t="shared" si="101"/>
        <v>49341</v>
      </c>
    </row>
    <row r="507" spans="1:32" s="7" customFormat="1" ht="32.15" customHeight="1" x14ac:dyDescent="0.35">
      <c r="A507" s="26">
        <f t="shared" si="102"/>
        <v>477</v>
      </c>
      <c r="B507" s="32" t="s">
        <v>1422</v>
      </c>
      <c r="C507" s="26"/>
      <c r="D507" s="50" t="s">
        <v>1442</v>
      </c>
      <c r="E507" s="51" t="s">
        <v>108</v>
      </c>
      <c r="F507" s="24"/>
      <c r="G507" s="33"/>
      <c r="H507" s="4"/>
      <c r="I507" s="33"/>
      <c r="J507" s="5"/>
      <c r="K507" s="3" t="str">
        <f t="shared" ca="1" si="96"/>
        <v/>
      </c>
      <c r="L507" s="30" t="s">
        <v>88</v>
      </c>
      <c r="M507" s="5"/>
      <c r="N507" s="3" t="str">
        <f t="shared" ca="1" si="107"/>
        <v/>
      </c>
      <c r="O507" s="4"/>
      <c r="P507" s="4" t="s">
        <v>35</v>
      </c>
      <c r="Q507" s="4" t="str">
        <f t="shared" si="98"/>
        <v/>
      </c>
      <c r="R507" s="4">
        <f t="shared" si="104"/>
        <v>1</v>
      </c>
      <c r="S507" s="4" t="str">
        <f t="shared" si="105"/>
        <v>0</v>
      </c>
      <c r="T507" s="4">
        <f t="shared" si="106"/>
        <v>1</v>
      </c>
      <c r="U507" s="29"/>
      <c r="V507" s="30" t="s">
        <v>50</v>
      </c>
      <c r="W507" s="30"/>
      <c r="X507" s="30"/>
      <c r="Y507" s="30"/>
      <c r="Z507" s="30"/>
      <c r="AA507" s="30"/>
      <c r="AB507" s="29"/>
      <c r="AC507" s="29"/>
      <c r="AD507" s="37" t="str">
        <f t="shared" si="100"/>
        <v/>
      </c>
      <c r="AE507" s="3" t="str">
        <f t="shared" ca="1" si="99"/>
        <v/>
      </c>
      <c r="AF507" s="38" t="str">
        <f t="shared" si="101"/>
        <v/>
      </c>
    </row>
    <row r="508" spans="1:32" s="7" customFormat="1" ht="32.15" customHeight="1" x14ac:dyDescent="0.35">
      <c r="A508" s="26">
        <f t="shared" si="102"/>
        <v>478</v>
      </c>
      <c r="B508" s="32" t="s">
        <v>1422</v>
      </c>
      <c r="C508" s="256" t="s">
        <v>1480</v>
      </c>
      <c r="D508" s="257"/>
      <c r="E508" s="24" t="s">
        <v>1445</v>
      </c>
      <c r="F508" s="24" t="s">
        <v>43</v>
      </c>
      <c r="G508" s="3" t="s">
        <v>2859</v>
      </c>
      <c r="H508" s="4" t="s">
        <v>2860</v>
      </c>
      <c r="I508" s="41" t="s">
        <v>2861</v>
      </c>
      <c r="J508" s="5">
        <v>46087</v>
      </c>
      <c r="K508" s="3" t="str">
        <f t="shared" ca="1" si="96"/>
        <v xml:space="preserve">0 Tahun 5 bulan </v>
      </c>
      <c r="L508" s="30" t="s">
        <v>346</v>
      </c>
      <c r="M508" s="5">
        <v>46087</v>
      </c>
      <c r="N508" s="3" t="str">
        <f t="shared" ca="1" si="107"/>
        <v xml:space="preserve">0 Tahun 5 bulan </v>
      </c>
      <c r="O508" s="36"/>
      <c r="P508" s="4" t="s">
        <v>35</v>
      </c>
      <c r="Q508" s="4" t="str">
        <f t="shared" si="98"/>
        <v>Laki-Laki</v>
      </c>
      <c r="R508" s="4">
        <f t="shared" si="104"/>
        <v>1</v>
      </c>
      <c r="S508" s="4" t="str">
        <f t="shared" si="105"/>
        <v>1</v>
      </c>
      <c r="T508" s="4">
        <f t="shared" si="106"/>
        <v>0</v>
      </c>
      <c r="U508" s="29"/>
      <c r="V508" s="30" t="s">
        <v>50</v>
      </c>
      <c r="W508" s="30"/>
      <c r="X508" s="30"/>
      <c r="Y508" s="30"/>
      <c r="Z508" s="30"/>
      <c r="AA508" s="30"/>
      <c r="AB508" s="29"/>
      <c r="AC508" s="29"/>
      <c r="AD508" s="37">
        <f t="shared" si="100"/>
        <v>28980</v>
      </c>
      <c r="AE508" s="3" t="str">
        <f t="shared" ca="1" si="99"/>
        <v>47 Tahun 3 bulan 27 Hari</v>
      </c>
      <c r="AF508" s="38">
        <f t="shared" si="101"/>
        <v>50922</v>
      </c>
    </row>
    <row r="509" spans="1:32" s="7" customFormat="1" ht="32.15" customHeight="1" x14ac:dyDescent="0.35">
      <c r="A509" s="26">
        <f t="shared" si="102"/>
        <v>479</v>
      </c>
      <c r="B509" s="32" t="s">
        <v>1422</v>
      </c>
      <c r="C509" s="26"/>
      <c r="D509" s="50" t="s">
        <v>1482</v>
      </c>
      <c r="E509" s="39" t="s">
        <v>1483</v>
      </c>
      <c r="F509" s="24" t="s">
        <v>43</v>
      </c>
      <c r="G509" s="40" t="s">
        <v>1484</v>
      </c>
      <c r="H509" s="4" t="s">
        <v>135</v>
      </c>
      <c r="I509" s="25" t="s">
        <v>46</v>
      </c>
      <c r="J509" s="5">
        <v>44561</v>
      </c>
      <c r="K509" s="3" t="str">
        <f t="shared" ca="1" si="96"/>
        <v xml:space="preserve">4 Tahun 8 bulan </v>
      </c>
      <c r="L509" s="30" t="s">
        <v>88</v>
      </c>
      <c r="M509" s="5">
        <v>44561</v>
      </c>
      <c r="N509" s="3" t="str">
        <f t="shared" ca="1" si="107"/>
        <v xml:space="preserve">4 Tahun 8 bulan </v>
      </c>
      <c r="O509" s="35"/>
      <c r="P509" s="4" t="s">
        <v>35</v>
      </c>
      <c r="Q509" s="4" t="str">
        <f t="shared" si="98"/>
        <v>Laki-Laki</v>
      </c>
      <c r="R509" s="4">
        <f t="shared" si="104"/>
        <v>1</v>
      </c>
      <c r="S509" s="4" t="str">
        <f t="shared" si="105"/>
        <v>1</v>
      </c>
      <c r="T509" s="4">
        <f t="shared" si="106"/>
        <v>0</v>
      </c>
      <c r="U509" s="29"/>
      <c r="V509" s="30" t="s">
        <v>50</v>
      </c>
      <c r="W509" s="30"/>
      <c r="X509" s="30"/>
      <c r="Y509" s="30"/>
      <c r="Z509" s="30"/>
      <c r="AA509" s="30"/>
      <c r="AB509" s="29"/>
      <c r="AC509" s="29"/>
      <c r="AD509" s="37">
        <f t="shared" si="100"/>
        <v>31840</v>
      </c>
      <c r="AE509" s="3" t="str">
        <f t="shared" ca="1" si="99"/>
        <v>39 Tahun 5 bulan 28 Hari</v>
      </c>
      <c r="AF509" s="38">
        <f t="shared" si="101"/>
        <v>53783</v>
      </c>
    </row>
    <row r="510" spans="1:32" s="7" customFormat="1" ht="32.15" customHeight="1" x14ac:dyDescent="0.35">
      <c r="A510" s="26">
        <f t="shared" si="102"/>
        <v>480</v>
      </c>
      <c r="B510" s="32" t="s">
        <v>1422</v>
      </c>
      <c r="C510" s="26"/>
      <c r="D510" s="50" t="s">
        <v>1485</v>
      </c>
      <c r="E510" s="51" t="s">
        <v>1486</v>
      </c>
      <c r="F510" s="24" t="s">
        <v>43</v>
      </c>
      <c r="G510" s="33" t="s">
        <v>1487</v>
      </c>
      <c r="H510" s="4" t="s">
        <v>2925</v>
      </c>
      <c r="I510" s="25" t="s">
        <v>2925</v>
      </c>
      <c r="J510" s="5" t="s">
        <v>87</v>
      </c>
      <c r="K510" s="3" t="str">
        <f t="shared" ca="1" si="96"/>
        <v xml:space="preserve">4 Tahun 8 bulan </v>
      </c>
      <c r="L510" s="30" t="s">
        <v>88</v>
      </c>
      <c r="M510" s="5">
        <v>44561</v>
      </c>
      <c r="N510" s="3" t="str">
        <f t="shared" ca="1" si="107"/>
        <v xml:space="preserve">4 Tahun 8 bulan </v>
      </c>
      <c r="O510" s="4"/>
      <c r="P510" s="4" t="s">
        <v>35</v>
      </c>
      <c r="Q510" s="4" t="str">
        <f t="shared" si="98"/>
        <v>Laki-Laki</v>
      </c>
      <c r="R510" s="4">
        <f t="shared" si="104"/>
        <v>1</v>
      </c>
      <c r="S510" s="4" t="str">
        <f t="shared" si="105"/>
        <v>1</v>
      </c>
      <c r="T510" s="4">
        <f t="shared" si="106"/>
        <v>0</v>
      </c>
      <c r="U510" s="29"/>
      <c r="V510" s="30" t="s">
        <v>50</v>
      </c>
      <c r="W510" s="30"/>
      <c r="X510" s="30"/>
      <c r="Y510" s="30"/>
      <c r="Z510" s="30"/>
      <c r="AA510" s="30"/>
      <c r="AB510" s="29"/>
      <c r="AC510" s="29"/>
      <c r="AD510" s="37">
        <f t="shared" si="100"/>
        <v>32843</v>
      </c>
      <c r="AE510" s="3" t="str">
        <f t="shared" ca="1" si="99"/>
        <v>36 Tahun 9 bulan 0 Hari</v>
      </c>
      <c r="AF510" s="38">
        <f t="shared" si="101"/>
        <v>54789</v>
      </c>
    </row>
    <row r="511" spans="1:32" s="7" customFormat="1" ht="39" customHeight="1" x14ac:dyDescent="0.35">
      <c r="A511" s="26">
        <f t="shared" si="102"/>
        <v>481</v>
      </c>
      <c r="B511" s="32" t="s">
        <v>1422</v>
      </c>
      <c r="C511" s="26"/>
      <c r="D511" s="50" t="s">
        <v>1489</v>
      </c>
      <c r="E511" s="24" t="s">
        <v>1490</v>
      </c>
      <c r="F511" s="24" t="s">
        <v>43</v>
      </c>
      <c r="G511" s="3" t="s">
        <v>1491</v>
      </c>
      <c r="H511" s="4" t="s">
        <v>1488</v>
      </c>
      <c r="I511" s="33" t="s">
        <v>86</v>
      </c>
      <c r="J511" s="5">
        <v>44561</v>
      </c>
      <c r="K511" s="3" t="str">
        <f t="shared" ca="1" si="96"/>
        <v xml:space="preserve">4 Tahun 8 bulan </v>
      </c>
      <c r="L511" s="30" t="s">
        <v>88</v>
      </c>
      <c r="M511" s="5">
        <v>44561</v>
      </c>
      <c r="N511" s="3" t="str">
        <f t="shared" ca="1" si="107"/>
        <v xml:space="preserve">4 Tahun 8 bulan </v>
      </c>
      <c r="O511" s="4"/>
      <c r="P511" s="4" t="s">
        <v>35</v>
      </c>
      <c r="Q511" s="4" t="str">
        <f t="shared" si="98"/>
        <v/>
      </c>
      <c r="R511" s="4">
        <f t="shared" si="104"/>
        <v>1</v>
      </c>
      <c r="S511" s="4" t="str">
        <f t="shared" si="105"/>
        <v>1</v>
      </c>
      <c r="T511" s="4">
        <f t="shared" si="106"/>
        <v>0</v>
      </c>
      <c r="U511" s="29"/>
      <c r="V511" s="30" t="s">
        <v>50</v>
      </c>
      <c r="W511" s="30"/>
      <c r="X511" s="30"/>
      <c r="Y511" s="30"/>
      <c r="Z511" s="30"/>
      <c r="AA511" s="30"/>
      <c r="AB511" s="29"/>
      <c r="AC511" s="29"/>
      <c r="AD511" s="37">
        <f t="shared" si="100"/>
        <v>31524</v>
      </c>
      <c r="AE511" s="3" t="str">
        <f t="shared" ca="1" si="99"/>
        <v>40 Tahun 4 bulan 10 Hari</v>
      </c>
      <c r="AF511" s="38">
        <f t="shared" si="101"/>
        <v>53448</v>
      </c>
    </row>
    <row r="512" spans="1:32" s="7" customFormat="1" ht="32.15" customHeight="1" x14ac:dyDescent="0.35">
      <c r="A512" s="26"/>
      <c r="B512" s="27" t="s">
        <v>1492</v>
      </c>
      <c r="C512" s="280" t="s">
        <v>1493</v>
      </c>
      <c r="D512" s="281"/>
      <c r="E512" s="271" t="str">
        <f ca="1">IF(J512="","",CONCATENATE(DATEDIF(J512,NOW(),"Y")," Tahun ",DATEDIF(J512,NOW(),"YM")," bulan "))</f>
        <v/>
      </c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  <c r="AB512" s="272"/>
      <c r="AC512" s="272"/>
      <c r="AD512" s="272"/>
      <c r="AE512" s="272"/>
      <c r="AF512" s="273"/>
    </row>
    <row r="513" spans="1:32" s="7" customFormat="1" ht="32.15" customHeight="1" x14ac:dyDescent="0.35">
      <c r="A513" s="26">
        <f>A511+1</f>
        <v>482</v>
      </c>
      <c r="B513" s="27" t="s">
        <v>1492</v>
      </c>
      <c r="C513" s="278" t="s">
        <v>1494</v>
      </c>
      <c r="D513" s="279"/>
      <c r="E513" s="39" t="s">
        <v>1496</v>
      </c>
      <c r="F513" s="24" t="s">
        <v>43</v>
      </c>
      <c r="G513" s="40" t="s">
        <v>1497</v>
      </c>
      <c r="H513" s="4" t="s">
        <v>148</v>
      </c>
      <c r="I513" s="41" t="s">
        <v>46</v>
      </c>
      <c r="J513" s="33">
        <v>46132</v>
      </c>
      <c r="K513" s="3" t="str">
        <f t="shared" ca="1" si="96"/>
        <v xml:space="preserve">0 Tahun 4 bulan </v>
      </c>
      <c r="L513" s="30" t="s">
        <v>56</v>
      </c>
      <c r="M513" s="33">
        <v>46132</v>
      </c>
      <c r="N513" s="3" t="str">
        <f t="shared" ca="1" si="107"/>
        <v xml:space="preserve">0 Tahun 4 bulan </v>
      </c>
      <c r="O513" s="4"/>
      <c r="P513" s="4" t="s">
        <v>35</v>
      </c>
      <c r="Q513" s="4" t="e">
        <f>CONCATENATE(IF(MID(#REF!,17,1)="1","Laki-Laki",IF(MID(#REF!,17,1)="2","Perempuan",)))</f>
        <v>#REF!</v>
      </c>
      <c r="R513" s="4">
        <f>R511</f>
        <v>1</v>
      </c>
      <c r="S513" s="4" t="str">
        <f>IF(R513="LOWONG","0","1")</f>
        <v>1</v>
      </c>
      <c r="T513" s="4">
        <f t="shared" si="106"/>
        <v>0</v>
      </c>
      <c r="U513" s="29"/>
      <c r="V513" s="30" t="s">
        <v>50</v>
      </c>
      <c r="W513" s="30"/>
      <c r="X513" s="30"/>
      <c r="Y513" s="30"/>
      <c r="Z513" s="30"/>
      <c r="AA513" s="30"/>
      <c r="AB513" s="29"/>
      <c r="AC513" s="29"/>
      <c r="AD513" s="37" t="e">
        <f>IF(TRIM(#REF!)="", "", DATE(LEFT(#REF!,4),MID(#REF!,5,2),MID(#REF!,7,2)))</f>
        <v>#REF!</v>
      </c>
      <c r="AE513" s="3" t="e">
        <f t="shared" ca="1" si="99"/>
        <v>#REF!</v>
      </c>
      <c r="AF513" s="38" t="e">
        <f t="shared" si="101"/>
        <v>#REF!</v>
      </c>
    </row>
    <row r="514" spans="1:32" s="7" customFormat="1" ht="32.15" customHeight="1" x14ac:dyDescent="0.35">
      <c r="A514" s="26">
        <f t="shared" si="102"/>
        <v>483</v>
      </c>
      <c r="B514" s="27" t="s">
        <v>1492</v>
      </c>
      <c r="C514" s="256" t="s">
        <v>1495</v>
      </c>
      <c r="D514" s="257"/>
      <c r="E514" s="39" t="s">
        <v>2925</v>
      </c>
      <c r="F514" s="39" t="s">
        <v>43</v>
      </c>
      <c r="G514" s="25" t="s">
        <v>312</v>
      </c>
      <c r="H514" s="25" t="s">
        <v>1740</v>
      </c>
      <c r="I514" s="25"/>
      <c r="J514" s="81">
        <v>46133</v>
      </c>
      <c r="K514" s="3" t="str">
        <f t="shared" ca="1" si="96"/>
        <v xml:space="preserve">0 Tahun 4 bulan </v>
      </c>
      <c r="L514" s="30" t="s">
        <v>79</v>
      </c>
      <c r="M514" s="5">
        <v>46133</v>
      </c>
      <c r="N514" s="3" t="str">
        <f t="shared" ca="1" si="107"/>
        <v xml:space="preserve">0 Tahun 4 bulan </v>
      </c>
      <c r="O514" s="36"/>
      <c r="P514" s="4" t="s">
        <v>35</v>
      </c>
      <c r="Q514" s="4" t="str">
        <f>CONCATENATE(IF(MID(G513,17,1)="1","Laki-Laki",IF(MID(G513,17,1)="2","Perempuan",)))</f>
        <v>Perempuan</v>
      </c>
      <c r="R514" s="4">
        <f t="shared" si="104"/>
        <v>1</v>
      </c>
      <c r="S514" s="4" t="e">
        <f>IF(#REF!="LOWONG","0","1")</f>
        <v>#REF!</v>
      </c>
      <c r="T514" s="4" t="e">
        <f t="shared" si="106"/>
        <v>#REF!</v>
      </c>
      <c r="U514" s="29"/>
      <c r="V514" s="30" t="s">
        <v>50</v>
      </c>
      <c r="W514" s="30"/>
      <c r="X514" s="30"/>
      <c r="Y514" s="30"/>
      <c r="Z514" s="30"/>
      <c r="AA514" s="30"/>
      <c r="AB514" s="29"/>
      <c r="AC514" s="29"/>
      <c r="AD514" s="37">
        <f>IF(TRIM(G513)="", "", DATE(LEFT(G513,4),MID(G513,5,2),MID(G513,7,2)))</f>
        <v>26775</v>
      </c>
      <c r="AE514" s="3" t="str">
        <f t="shared" ca="1" si="99"/>
        <v>53 Tahun 4 bulan 11 Hari</v>
      </c>
      <c r="AF514" s="38">
        <f t="shared" si="101"/>
        <v>48700</v>
      </c>
    </row>
    <row r="515" spans="1:32" s="7" customFormat="1" ht="32.15" customHeight="1" x14ac:dyDescent="0.35">
      <c r="A515" s="26">
        <f t="shared" si="102"/>
        <v>484</v>
      </c>
      <c r="B515" s="27" t="s">
        <v>1492</v>
      </c>
      <c r="C515" s="26"/>
      <c r="D515" s="50" t="s">
        <v>1498</v>
      </c>
      <c r="E515" s="51" t="s">
        <v>1499</v>
      </c>
      <c r="F515" s="24" t="s">
        <v>43</v>
      </c>
      <c r="G515" s="52" t="s">
        <v>1500</v>
      </c>
      <c r="H515" s="36" t="s">
        <v>1501</v>
      </c>
      <c r="I515" s="33" t="s">
        <v>46</v>
      </c>
      <c r="J515" s="5">
        <v>45993</v>
      </c>
      <c r="K515" s="3" t="str">
        <f t="shared" ca="1" si="96"/>
        <v xml:space="preserve">0 Tahun 8 bulan </v>
      </c>
      <c r="L515" s="30" t="s">
        <v>200</v>
      </c>
      <c r="M515" s="5" t="s">
        <v>338</v>
      </c>
      <c r="N515" s="3" t="str">
        <f t="shared" ca="1" si="107"/>
        <v xml:space="preserve">2 Tahun 11 bulan </v>
      </c>
      <c r="O515" s="4"/>
      <c r="P515" s="4" t="s">
        <v>35</v>
      </c>
      <c r="Q515" s="4" t="str">
        <f t="shared" si="98"/>
        <v>Perempuan</v>
      </c>
      <c r="R515" s="4">
        <f t="shared" si="104"/>
        <v>1</v>
      </c>
      <c r="S515" s="4" t="str">
        <f t="shared" ref="S515:S530" si="108">IF(E515="LOWONG","0","1")</f>
        <v>1</v>
      </c>
      <c r="T515" s="4">
        <f t="shared" si="106"/>
        <v>0</v>
      </c>
      <c r="U515" s="29"/>
      <c r="V515" s="30"/>
      <c r="W515" s="30"/>
      <c r="X515" s="30"/>
      <c r="Y515" s="30"/>
      <c r="Z515" s="30"/>
      <c r="AA515" s="30"/>
      <c r="AB515" s="29"/>
      <c r="AC515" s="29"/>
      <c r="AD515" s="37">
        <f t="shared" si="100"/>
        <v>29436</v>
      </c>
      <c r="AE515" s="3" t="str">
        <f t="shared" ca="1" si="99"/>
        <v>46 Tahun 0 bulan 29 Hari</v>
      </c>
      <c r="AF515" s="38">
        <f t="shared" si="101"/>
        <v>51380</v>
      </c>
    </row>
    <row r="516" spans="1:32" s="7" customFormat="1" ht="32.15" customHeight="1" x14ac:dyDescent="0.35">
      <c r="A516" s="26">
        <f t="shared" si="102"/>
        <v>485</v>
      </c>
      <c r="B516" s="27" t="s">
        <v>1492</v>
      </c>
      <c r="C516" s="26"/>
      <c r="D516" s="50" t="s">
        <v>1502</v>
      </c>
      <c r="E516" s="24" t="s">
        <v>1503</v>
      </c>
      <c r="F516" s="24" t="s">
        <v>43</v>
      </c>
      <c r="G516" s="4" t="s">
        <v>1504</v>
      </c>
      <c r="H516" s="4" t="s">
        <v>181</v>
      </c>
      <c r="I516" s="33" t="s">
        <v>46</v>
      </c>
      <c r="J516" s="5" t="s">
        <v>87</v>
      </c>
      <c r="K516" s="3" t="str">
        <f t="shared" ca="1" si="96"/>
        <v xml:space="preserve">4 Tahun 8 bulan </v>
      </c>
      <c r="L516" s="30" t="s">
        <v>88</v>
      </c>
      <c r="M516" s="5">
        <v>44561</v>
      </c>
      <c r="N516" s="3" t="str">
        <f t="shared" ca="1" si="107"/>
        <v xml:space="preserve">4 Tahun 8 bulan </v>
      </c>
      <c r="O516" s="4"/>
      <c r="P516" s="4" t="s">
        <v>35</v>
      </c>
      <c r="Q516" s="4" t="str">
        <f t="shared" si="98"/>
        <v>Perempuan</v>
      </c>
      <c r="R516" s="4">
        <f t="shared" si="104"/>
        <v>1</v>
      </c>
      <c r="S516" s="4" t="str">
        <f t="shared" si="108"/>
        <v>1</v>
      </c>
      <c r="T516" s="4">
        <f t="shared" si="106"/>
        <v>0</v>
      </c>
      <c r="U516" s="29"/>
      <c r="V516" s="30"/>
      <c r="W516" s="30"/>
      <c r="X516" s="30"/>
      <c r="Y516" s="30"/>
      <c r="Z516" s="30"/>
      <c r="AA516" s="30"/>
      <c r="AB516" s="29"/>
      <c r="AC516" s="29"/>
      <c r="AD516" s="37">
        <f t="shared" si="100"/>
        <v>28062</v>
      </c>
      <c r="AE516" s="3" t="str">
        <f t="shared" ca="1" si="99"/>
        <v>49 Tahun 10 bulan 3 Hari</v>
      </c>
      <c r="AF516" s="38">
        <f t="shared" si="101"/>
        <v>49980</v>
      </c>
    </row>
    <row r="517" spans="1:32" s="7" customFormat="1" ht="32.15" customHeight="1" x14ac:dyDescent="0.35">
      <c r="A517" s="26">
        <f t="shared" si="102"/>
        <v>486</v>
      </c>
      <c r="B517" s="27" t="s">
        <v>1492</v>
      </c>
      <c r="C517" s="26"/>
      <c r="D517" s="50" t="s">
        <v>1505</v>
      </c>
      <c r="E517" s="24" t="s">
        <v>1506</v>
      </c>
      <c r="F517" s="24" t="s">
        <v>43</v>
      </c>
      <c r="G517" s="4" t="s">
        <v>1507</v>
      </c>
      <c r="H517" s="4" t="s">
        <v>148</v>
      </c>
      <c r="I517" s="33" t="s">
        <v>46</v>
      </c>
      <c r="J517" s="5" t="s">
        <v>87</v>
      </c>
      <c r="K517" s="3" t="str">
        <f t="shared" ca="1" si="96"/>
        <v xml:space="preserve">4 Tahun 8 bulan </v>
      </c>
      <c r="L517" s="30" t="s">
        <v>88</v>
      </c>
      <c r="M517" s="5">
        <v>44561</v>
      </c>
      <c r="N517" s="3" t="str">
        <f t="shared" ca="1" si="107"/>
        <v xml:space="preserve">4 Tahun 8 bulan </v>
      </c>
      <c r="O517" s="4" t="s">
        <v>155</v>
      </c>
      <c r="P517" s="4" t="s">
        <v>35</v>
      </c>
      <c r="Q517" s="4" t="str">
        <f t="shared" si="98"/>
        <v>Perempuan</v>
      </c>
      <c r="R517" s="4">
        <f t="shared" si="104"/>
        <v>1</v>
      </c>
      <c r="S517" s="4" t="str">
        <f t="shared" si="108"/>
        <v>1</v>
      </c>
      <c r="T517" s="4">
        <f t="shared" si="106"/>
        <v>0</v>
      </c>
      <c r="U517" s="29"/>
      <c r="V517" s="30" t="s">
        <v>50</v>
      </c>
      <c r="W517" s="30"/>
      <c r="X517" s="30"/>
      <c r="Y517" s="30"/>
      <c r="Z517" s="30"/>
      <c r="AA517" s="30"/>
      <c r="AB517" s="29"/>
      <c r="AC517" s="29"/>
      <c r="AD517" s="37">
        <f t="shared" si="100"/>
        <v>27011</v>
      </c>
      <c r="AE517" s="3" t="str">
        <f t="shared" ca="1" si="99"/>
        <v>52 Tahun 8 bulan 19 Hari</v>
      </c>
      <c r="AF517" s="38">
        <f t="shared" si="101"/>
        <v>48945</v>
      </c>
    </row>
    <row r="518" spans="1:32" s="7" customFormat="1" ht="32.15" customHeight="1" x14ac:dyDescent="0.35">
      <c r="A518" s="26">
        <f t="shared" si="102"/>
        <v>487</v>
      </c>
      <c r="B518" s="27" t="s">
        <v>1492</v>
      </c>
      <c r="C518" s="256" t="s">
        <v>1508</v>
      </c>
      <c r="D518" s="257"/>
      <c r="E518" s="24" t="s">
        <v>1509</v>
      </c>
      <c r="F518" s="24" t="s">
        <v>43</v>
      </c>
      <c r="G518" s="4" t="s">
        <v>1510</v>
      </c>
      <c r="H518" s="4" t="s">
        <v>135</v>
      </c>
      <c r="I518" s="4" t="s">
        <v>46</v>
      </c>
      <c r="J518" s="105">
        <v>45993</v>
      </c>
      <c r="K518" s="3" t="str">
        <f t="shared" ca="1" si="96"/>
        <v xml:space="preserve">0 Tahun 8 bulan </v>
      </c>
      <c r="L518" s="30" t="s">
        <v>346</v>
      </c>
      <c r="M518" s="5">
        <v>44561</v>
      </c>
      <c r="N518" s="3" t="str">
        <f t="shared" ca="1" si="107"/>
        <v xml:space="preserve">4 Tahun 8 bulan </v>
      </c>
      <c r="O518" s="4"/>
      <c r="P518" s="4" t="s">
        <v>35</v>
      </c>
      <c r="Q518" s="4" t="str">
        <f t="shared" si="98"/>
        <v>Perempuan</v>
      </c>
      <c r="R518" s="4">
        <f t="shared" si="104"/>
        <v>1</v>
      </c>
      <c r="S518" s="4" t="str">
        <f t="shared" si="108"/>
        <v>1</v>
      </c>
      <c r="T518" s="4">
        <f t="shared" si="106"/>
        <v>0</v>
      </c>
      <c r="U518" s="29"/>
      <c r="V518" s="30" t="s">
        <v>50</v>
      </c>
      <c r="W518" s="30"/>
      <c r="X518" s="30"/>
      <c r="Y518" s="30"/>
      <c r="Z518" s="30"/>
      <c r="AA518" s="30"/>
      <c r="AB518" s="29"/>
      <c r="AC518" s="29"/>
      <c r="AD518" s="37">
        <f t="shared" si="100"/>
        <v>29040</v>
      </c>
      <c r="AE518" s="3" t="str">
        <f t="shared" ca="1" si="99"/>
        <v>47 Tahun 1 bulan 28 Hari</v>
      </c>
      <c r="AF518" s="38">
        <f t="shared" si="101"/>
        <v>50983</v>
      </c>
    </row>
    <row r="519" spans="1:32" s="7" customFormat="1" ht="34.5" customHeight="1" x14ac:dyDescent="0.35">
      <c r="A519" s="26">
        <f t="shared" si="102"/>
        <v>488</v>
      </c>
      <c r="B519" s="27" t="s">
        <v>1492</v>
      </c>
      <c r="C519" s="26"/>
      <c r="D519" s="50" t="s">
        <v>1511</v>
      </c>
      <c r="E519" s="51" t="s">
        <v>1512</v>
      </c>
      <c r="F519" s="51" t="s">
        <v>43</v>
      </c>
      <c r="G519" s="4" t="s">
        <v>1513</v>
      </c>
      <c r="H519" s="4" t="s">
        <v>385</v>
      </c>
      <c r="I519" s="33" t="s">
        <v>46</v>
      </c>
      <c r="J519" s="5">
        <f>'[2]Plt. Kab. Tanggamus'!$J$118</f>
        <v>45839</v>
      </c>
      <c r="K519" s="3" t="str">
        <f t="shared" ref="K519:K582" ca="1" si="109">IF(J519="","",CONCATENATE(DATEDIF(J519,NOW(),"Y")," Tahun ",DATEDIF(J519,NOW(),"YM")," bulan "))</f>
        <v xml:space="preserve">1 Tahun 2 bulan </v>
      </c>
      <c r="L519" s="30" t="s">
        <v>200</v>
      </c>
      <c r="M519" s="5" t="s">
        <v>1109</v>
      </c>
      <c r="N519" s="3" t="str">
        <f t="shared" ca="1" si="107"/>
        <v xml:space="preserve">6 Tahun 8 bulan </v>
      </c>
      <c r="O519" s="4"/>
      <c r="P519" s="4" t="s">
        <v>35</v>
      </c>
      <c r="Q519" s="4" t="str">
        <f t="shared" ref="Q519:Q582" si="110">CONCATENATE(IF(MID(G519,17,1)="1","Laki-Laki",IF(MID(G519,17,1)="2","Perempuan",)))</f>
        <v>Laki-Laki</v>
      </c>
      <c r="R519" s="4">
        <f t="shared" si="104"/>
        <v>1</v>
      </c>
      <c r="S519" s="4" t="str">
        <f t="shared" si="108"/>
        <v>1</v>
      </c>
      <c r="T519" s="4">
        <f t="shared" si="106"/>
        <v>0</v>
      </c>
      <c r="U519" s="29"/>
      <c r="V519" s="30" t="s">
        <v>50</v>
      </c>
      <c r="W519" s="30"/>
      <c r="X519" s="30"/>
      <c r="Y519" s="30"/>
      <c r="Z519" s="30"/>
      <c r="AA519" s="30"/>
      <c r="AB519" s="29"/>
      <c r="AC519" s="29"/>
      <c r="AD519" s="37">
        <f t="shared" si="100"/>
        <v>31199</v>
      </c>
      <c r="AE519" s="3" t="str">
        <f t="shared" ref="AE519:AE582" ca="1" si="111">IF(TRIM(AD519)="", "", CONCATENATE(DATEDIF(AD519,NOW(),"Y")," Tahun ",DATEDIF(AD519,NOW(),"YM")," bulan ",DATEDIF(AD519,NOW(),"MD")," Hari"))</f>
        <v>41 Tahun 3 bulan 0 Hari</v>
      </c>
      <c r="AF519" s="38">
        <f t="shared" si="101"/>
        <v>53144</v>
      </c>
    </row>
    <row r="520" spans="1:32" s="7" customFormat="1" ht="32.15" customHeight="1" x14ac:dyDescent="0.35">
      <c r="A520" s="26">
        <f t="shared" si="102"/>
        <v>489</v>
      </c>
      <c r="B520" s="27" t="s">
        <v>1492</v>
      </c>
      <c r="C520" s="26"/>
      <c r="D520" s="50" t="s">
        <v>1514</v>
      </c>
      <c r="E520" s="24" t="s">
        <v>1515</v>
      </c>
      <c r="F520" s="24" t="s">
        <v>43</v>
      </c>
      <c r="G520" s="4" t="s">
        <v>1516</v>
      </c>
      <c r="H520" s="4" t="s">
        <v>1063</v>
      </c>
      <c r="I520" s="33" t="s">
        <v>759</v>
      </c>
      <c r="J520" s="5">
        <v>45993</v>
      </c>
      <c r="K520" s="3" t="str">
        <f t="shared" ca="1" si="109"/>
        <v xml:space="preserve">0 Tahun 8 bulan </v>
      </c>
      <c r="L520" s="30" t="s">
        <v>200</v>
      </c>
      <c r="M520" s="5">
        <v>43467</v>
      </c>
      <c r="N520" s="3" t="str">
        <f t="shared" ca="1" si="107"/>
        <v xml:space="preserve">7 Tahun 7 bulan </v>
      </c>
      <c r="O520" s="4"/>
      <c r="P520" s="4" t="s">
        <v>35</v>
      </c>
      <c r="Q520" s="4" t="str">
        <f t="shared" si="110"/>
        <v>Laki-Laki</v>
      </c>
      <c r="R520" s="4">
        <f t="shared" si="104"/>
        <v>1</v>
      </c>
      <c r="S520" s="4" t="str">
        <f t="shared" si="108"/>
        <v>1</v>
      </c>
      <c r="T520" s="4">
        <f t="shared" si="106"/>
        <v>0</v>
      </c>
      <c r="U520" s="29"/>
      <c r="V520" s="30" t="s">
        <v>50</v>
      </c>
      <c r="W520" s="30"/>
      <c r="X520" s="30"/>
      <c r="Y520" s="30"/>
      <c r="Z520" s="30"/>
      <c r="AA520" s="30"/>
      <c r="AB520" s="29"/>
      <c r="AC520" s="29"/>
      <c r="AD520" s="37">
        <f t="shared" ref="AD520:AD583" si="112">IF(TRIM(G520)="", "", DATE(LEFT(G520,4),MID(G520,5,2),MID(G520,7,2)))</f>
        <v>30613</v>
      </c>
      <c r="AE520" s="3" t="str">
        <f t="shared" ca="1" si="111"/>
        <v>42 Tahun 10 bulan 8 Hari</v>
      </c>
      <c r="AF520" s="38">
        <f t="shared" ref="AF520:AF583" si="113">IF(TRIM(AD520)="","",DATE(YEAR(AD520)+60,MONTH(AD520)+1,1))</f>
        <v>52536</v>
      </c>
    </row>
    <row r="521" spans="1:32" s="7" customFormat="1" ht="32.15" customHeight="1" x14ac:dyDescent="0.35">
      <c r="A521" s="26">
        <f t="shared" si="102"/>
        <v>490</v>
      </c>
      <c r="B521" s="27" t="s">
        <v>1492</v>
      </c>
      <c r="C521" s="26"/>
      <c r="D521" s="50" t="s">
        <v>1505</v>
      </c>
      <c r="E521" s="24" t="s">
        <v>108</v>
      </c>
      <c r="F521" s="24"/>
      <c r="G521" s="3"/>
      <c r="H521" s="4"/>
      <c r="I521" s="33"/>
      <c r="J521" s="5"/>
      <c r="K521" s="3" t="str">
        <f t="shared" ca="1" si="109"/>
        <v/>
      </c>
      <c r="L521" s="30" t="s">
        <v>88</v>
      </c>
      <c r="M521" s="5"/>
      <c r="N521" s="3" t="str">
        <f t="shared" ca="1" si="107"/>
        <v/>
      </c>
      <c r="O521" s="4"/>
      <c r="P521" s="4"/>
      <c r="Q521" s="4" t="str">
        <f t="shared" si="110"/>
        <v/>
      </c>
      <c r="R521" s="4">
        <f t="shared" si="104"/>
        <v>1</v>
      </c>
      <c r="S521" s="4" t="str">
        <f t="shared" si="108"/>
        <v>0</v>
      </c>
      <c r="T521" s="4">
        <f t="shared" si="106"/>
        <v>1</v>
      </c>
      <c r="U521" s="29"/>
      <c r="V521" s="30"/>
      <c r="W521" s="30"/>
      <c r="X521" s="30"/>
      <c r="Y521" s="30"/>
      <c r="Z521" s="30"/>
      <c r="AA521" s="30"/>
      <c r="AB521" s="29"/>
      <c r="AC521" s="29"/>
      <c r="AD521" s="37" t="str">
        <f t="shared" si="112"/>
        <v/>
      </c>
      <c r="AE521" s="3" t="str">
        <f t="shared" ca="1" si="111"/>
        <v/>
      </c>
      <c r="AF521" s="38" t="str">
        <f t="shared" si="113"/>
        <v/>
      </c>
    </row>
    <row r="522" spans="1:32" s="7" customFormat="1" ht="32.15" customHeight="1" x14ac:dyDescent="0.35">
      <c r="A522" s="26">
        <f t="shared" si="102"/>
        <v>491</v>
      </c>
      <c r="B522" s="27" t="s">
        <v>1492</v>
      </c>
      <c r="C522" s="256" t="s">
        <v>1517</v>
      </c>
      <c r="D522" s="257"/>
      <c r="E522" s="24" t="s">
        <v>1152</v>
      </c>
      <c r="F522" s="24" t="s">
        <v>43</v>
      </c>
      <c r="G522" s="4" t="str">
        <f>G384</f>
        <v>19810601 200801 2 018</v>
      </c>
      <c r="H522" s="4" t="s">
        <v>1154</v>
      </c>
      <c r="I522" s="4" t="str">
        <f t="shared" ref="I522" si="114">I384</f>
        <v>S.1 Ekonomi</v>
      </c>
      <c r="J522" s="33">
        <v>45993</v>
      </c>
      <c r="K522" s="3" t="str">
        <f t="shared" ca="1" si="109"/>
        <v xml:space="preserve">0 Tahun 8 bulan </v>
      </c>
      <c r="L522" s="30" t="s">
        <v>346</v>
      </c>
      <c r="M522" s="30" t="s">
        <v>87</v>
      </c>
      <c r="N522" s="3" t="str">
        <f t="shared" ca="1" si="107"/>
        <v xml:space="preserve">4 Tahun 8 bulan </v>
      </c>
      <c r="O522" s="4"/>
      <c r="P522" s="4" t="str">
        <f>P384</f>
        <v>Islam</v>
      </c>
      <c r="Q522" s="4" t="str">
        <f t="shared" si="110"/>
        <v>Perempuan</v>
      </c>
      <c r="R522" s="4">
        <f t="shared" si="104"/>
        <v>1</v>
      </c>
      <c r="S522" s="4" t="str">
        <f t="shared" si="108"/>
        <v>1</v>
      </c>
      <c r="T522" s="4">
        <f t="shared" si="106"/>
        <v>0</v>
      </c>
      <c r="U522" s="29"/>
      <c r="V522" s="30" t="s">
        <v>50</v>
      </c>
      <c r="W522" s="30"/>
      <c r="X522" s="30"/>
      <c r="Y522" s="30"/>
      <c r="Z522" s="30"/>
      <c r="AA522" s="30"/>
      <c r="AB522" s="29"/>
      <c r="AC522" s="29"/>
      <c r="AD522" s="37">
        <f t="shared" si="112"/>
        <v>29738</v>
      </c>
      <c r="AE522" s="3" t="str">
        <f t="shared" ca="1" si="111"/>
        <v>45 Tahun 3 bulan 0 Hari</v>
      </c>
      <c r="AF522" s="38">
        <f t="shared" si="113"/>
        <v>51683</v>
      </c>
    </row>
    <row r="523" spans="1:32" s="7" customFormat="1" ht="36.75" customHeight="1" x14ac:dyDescent="0.35">
      <c r="A523" s="26">
        <f t="shared" si="102"/>
        <v>492</v>
      </c>
      <c r="B523" s="27" t="s">
        <v>1492</v>
      </c>
      <c r="C523" s="26"/>
      <c r="D523" s="50" t="s">
        <v>1518</v>
      </c>
      <c r="E523" s="51" t="s">
        <v>1519</v>
      </c>
      <c r="F523" s="24" t="s">
        <v>43</v>
      </c>
      <c r="G523" s="4" t="s">
        <v>1520</v>
      </c>
      <c r="H523" s="4" t="s">
        <v>472</v>
      </c>
      <c r="I523" s="33" t="s">
        <v>1521</v>
      </c>
      <c r="J523" s="5">
        <v>45993</v>
      </c>
      <c r="K523" s="3" t="str">
        <f t="shared" ca="1" si="109"/>
        <v xml:space="preserve">0 Tahun 8 bulan </v>
      </c>
      <c r="L523" s="30" t="s">
        <v>200</v>
      </c>
      <c r="M523" s="5" t="s">
        <v>292</v>
      </c>
      <c r="N523" s="3" t="str">
        <f t="shared" ca="1" si="107"/>
        <v xml:space="preserve">7 Tahun 7 bulan </v>
      </c>
      <c r="O523" s="4"/>
      <c r="P523" s="4" t="s">
        <v>35</v>
      </c>
      <c r="Q523" s="4" t="str">
        <f t="shared" si="110"/>
        <v>Laki-Laki</v>
      </c>
      <c r="R523" s="4">
        <f t="shared" si="104"/>
        <v>1</v>
      </c>
      <c r="S523" s="4" t="str">
        <f t="shared" si="108"/>
        <v>1</v>
      </c>
      <c r="T523" s="4">
        <f t="shared" si="106"/>
        <v>0</v>
      </c>
      <c r="U523" s="29"/>
      <c r="V523" s="30" t="s">
        <v>50</v>
      </c>
      <c r="W523" s="30"/>
      <c r="X523" s="30"/>
      <c r="Y523" s="30"/>
      <c r="Z523" s="30"/>
      <c r="AA523" s="30"/>
      <c r="AB523" s="29"/>
      <c r="AC523" s="29"/>
      <c r="AD523" s="37">
        <f t="shared" si="112"/>
        <v>26229</v>
      </c>
      <c r="AE523" s="3" t="str">
        <f t="shared" ca="1" si="111"/>
        <v>54 Tahun 10 bulan 9 Hari</v>
      </c>
      <c r="AF523" s="38">
        <f t="shared" si="113"/>
        <v>48153</v>
      </c>
    </row>
    <row r="524" spans="1:32" s="7" customFormat="1" ht="32.15" customHeight="1" x14ac:dyDescent="0.35">
      <c r="A524" s="155">
        <f t="shared" si="102"/>
        <v>493</v>
      </c>
      <c r="B524" s="156" t="s">
        <v>1492</v>
      </c>
      <c r="C524" s="155"/>
      <c r="D524" s="157" t="s">
        <v>1522</v>
      </c>
      <c r="E524" s="158" t="s">
        <v>1523</v>
      </c>
      <c r="F524" s="159" t="s">
        <v>43</v>
      </c>
      <c r="G524" s="160" t="s">
        <v>2973</v>
      </c>
      <c r="H524" s="160" t="s">
        <v>1715</v>
      </c>
      <c r="I524" s="161" t="s">
        <v>2965</v>
      </c>
      <c r="J524" s="162">
        <v>45993</v>
      </c>
      <c r="K524" s="163" t="str">
        <f t="shared" ca="1" si="109"/>
        <v xml:space="preserve">0 Tahun 8 bulan </v>
      </c>
      <c r="L524" s="164" t="s">
        <v>200</v>
      </c>
      <c r="M524" s="162">
        <v>45993</v>
      </c>
      <c r="N524" s="163" t="str">
        <f t="shared" ca="1" si="107"/>
        <v xml:space="preserve">0 Tahun 8 bulan </v>
      </c>
      <c r="O524" s="160"/>
      <c r="P524" s="160" t="s">
        <v>35</v>
      </c>
      <c r="Q524" s="160" t="str">
        <f t="shared" si="110"/>
        <v>Laki-Laki</v>
      </c>
      <c r="R524" s="160">
        <f t="shared" si="104"/>
        <v>1</v>
      </c>
      <c r="S524" s="160" t="str">
        <f t="shared" si="108"/>
        <v>1</v>
      </c>
      <c r="T524" s="160">
        <f t="shared" si="106"/>
        <v>0</v>
      </c>
      <c r="U524" s="165"/>
      <c r="V524" s="164"/>
      <c r="W524" s="164"/>
      <c r="X524" s="164"/>
      <c r="Y524" s="164"/>
      <c r="Z524" s="164"/>
      <c r="AA524" s="164"/>
      <c r="AB524" s="165"/>
      <c r="AC524" s="165"/>
      <c r="AD524" s="166">
        <f t="shared" si="112"/>
        <v>29269</v>
      </c>
      <c r="AE524" s="163" t="str">
        <f t="shared" ca="1" si="111"/>
        <v>46 Tahun 6 bulan 14 Hari</v>
      </c>
      <c r="AF524" s="167">
        <f t="shared" si="113"/>
        <v>51196</v>
      </c>
    </row>
    <row r="525" spans="1:32" s="7" customFormat="1" ht="32.15" customHeight="1" x14ac:dyDescent="0.35">
      <c r="A525" s="26">
        <f t="shared" si="102"/>
        <v>494</v>
      </c>
      <c r="B525" s="27" t="s">
        <v>1492</v>
      </c>
      <c r="C525" s="26"/>
      <c r="D525" s="50" t="s">
        <v>1505</v>
      </c>
      <c r="E525" s="45" t="s">
        <v>1524</v>
      </c>
      <c r="F525" s="24" t="s">
        <v>43</v>
      </c>
      <c r="G525" s="44" t="s">
        <v>1525</v>
      </c>
      <c r="H525" s="4" t="s">
        <v>1526</v>
      </c>
      <c r="I525" s="48" t="s">
        <v>86</v>
      </c>
      <c r="J525" s="5">
        <f>'[2]Plt. Kab. Tanggamus'!$J$139</f>
        <v>45839</v>
      </c>
      <c r="K525" s="3" t="str">
        <f t="shared" ca="1" si="109"/>
        <v xml:space="preserve">1 Tahun 2 bulan </v>
      </c>
      <c r="L525" s="30" t="s">
        <v>88</v>
      </c>
      <c r="M525" s="5">
        <v>44561</v>
      </c>
      <c r="N525" s="3" t="str">
        <f t="shared" ca="1" si="107"/>
        <v xml:space="preserve">4 Tahun 8 bulan </v>
      </c>
      <c r="O525" s="36"/>
      <c r="P525" s="4" t="s">
        <v>35</v>
      </c>
      <c r="Q525" s="4" t="str">
        <f t="shared" si="110"/>
        <v>Perempuan</v>
      </c>
      <c r="R525" s="4">
        <f t="shared" si="104"/>
        <v>1</v>
      </c>
      <c r="S525" s="4" t="str">
        <f t="shared" si="108"/>
        <v>1</v>
      </c>
      <c r="T525" s="4">
        <f t="shared" si="106"/>
        <v>0</v>
      </c>
      <c r="U525" s="29"/>
      <c r="V525" s="30"/>
      <c r="W525" s="30"/>
      <c r="X525" s="30"/>
      <c r="Y525" s="30"/>
      <c r="Z525" s="30"/>
      <c r="AA525" s="30"/>
      <c r="AB525" s="29"/>
      <c r="AC525" s="29"/>
      <c r="AD525" s="37">
        <f t="shared" si="112"/>
        <v>29990</v>
      </c>
      <c r="AE525" s="3" t="str">
        <f t="shared" ca="1" si="111"/>
        <v>44 Tahun 6 bulan 24 Hari</v>
      </c>
      <c r="AF525" s="38">
        <f t="shared" si="113"/>
        <v>51926</v>
      </c>
    </row>
    <row r="526" spans="1:32" s="7" customFormat="1" ht="32.15" customHeight="1" x14ac:dyDescent="0.35">
      <c r="A526" s="26">
        <f t="shared" si="102"/>
        <v>495</v>
      </c>
      <c r="B526" s="27" t="s">
        <v>1492</v>
      </c>
      <c r="C526" s="256" t="s">
        <v>1527</v>
      </c>
      <c r="D526" s="257"/>
      <c r="E526" s="24" t="s">
        <v>1528</v>
      </c>
      <c r="F526" s="24" t="s">
        <v>43</v>
      </c>
      <c r="G526" s="4" t="s">
        <v>1487</v>
      </c>
      <c r="H526" s="4" t="s">
        <v>1529</v>
      </c>
      <c r="I526" s="33" t="s">
        <v>46</v>
      </c>
      <c r="J526" s="5">
        <v>45993</v>
      </c>
      <c r="K526" s="3" t="str">
        <f t="shared" ca="1" si="109"/>
        <v xml:space="preserve">0 Tahun 8 bulan </v>
      </c>
      <c r="L526" s="30" t="s">
        <v>346</v>
      </c>
      <c r="M526" s="5" t="s">
        <v>1467</v>
      </c>
      <c r="N526" s="3" t="str">
        <f t="shared" ca="1" si="107"/>
        <v xml:space="preserve">3 Tahun 7 bulan </v>
      </c>
      <c r="O526" s="4"/>
      <c r="P526" s="4" t="s">
        <v>35</v>
      </c>
      <c r="Q526" s="4" t="str">
        <f t="shared" si="110"/>
        <v>Laki-Laki</v>
      </c>
      <c r="R526" s="4">
        <f t="shared" si="104"/>
        <v>1</v>
      </c>
      <c r="S526" s="4" t="str">
        <f t="shared" si="108"/>
        <v>1</v>
      </c>
      <c r="T526" s="4">
        <f t="shared" si="106"/>
        <v>0</v>
      </c>
      <c r="U526" s="29"/>
      <c r="V526" s="30" t="s">
        <v>50</v>
      </c>
      <c r="W526" s="30"/>
      <c r="X526" s="30"/>
      <c r="Y526" s="30"/>
      <c r="Z526" s="30"/>
      <c r="AA526" s="30"/>
      <c r="AB526" s="29"/>
      <c r="AC526" s="29"/>
      <c r="AD526" s="37">
        <f t="shared" si="112"/>
        <v>32843</v>
      </c>
      <c r="AE526" s="3" t="str">
        <f t="shared" ca="1" si="111"/>
        <v>36 Tahun 9 bulan 0 Hari</v>
      </c>
      <c r="AF526" s="38">
        <f t="shared" si="113"/>
        <v>54789</v>
      </c>
    </row>
    <row r="527" spans="1:32" s="7" customFormat="1" ht="36" customHeight="1" x14ac:dyDescent="0.35">
      <c r="A527" s="143">
        <f t="shared" si="102"/>
        <v>496</v>
      </c>
      <c r="B527" s="144" t="s">
        <v>1492</v>
      </c>
      <c r="C527" s="143"/>
      <c r="D527" s="145" t="s">
        <v>1530</v>
      </c>
      <c r="E527" s="146" t="s">
        <v>1531</v>
      </c>
      <c r="F527" s="146" t="s">
        <v>43</v>
      </c>
      <c r="G527" s="147" t="s">
        <v>2214</v>
      </c>
      <c r="H527" s="147" t="s">
        <v>159</v>
      </c>
      <c r="I527" s="148" t="s">
        <v>86</v>
      </c>
      <c r="J527" s="149">
        <v>45993</v>
      </c>
      <c r="K527" s="150" t="str">
        <f t="shared" ca="1" si="109"/>
        <v xml:space="preserve">0 Tahun 8 bulan </v>
      </c>
      <c r="L527" s="151" t="s">
        <v>200</v>
      </c>
      <c r="M527" s="149"/>
      <c r="N527" s="150" t="str">
        <f t="shared" ca="1" si="107"/>
        <v/>
      </c>
      <c r="O527" s="147"/>
      <c r="P527" s="147"/>
      <c r="Q527" s="147" t="str">
        <f t="shared" si="110"/>
        <v>Perempuan</v>
      </c>
      <c r="R527" s="147">
        <f t="shared" si="104"/>
        <v>1</v>
      </c>
      <c r="S527" s="147" t="str">
        <f t="shared" si="108"/>
        <v>1</v>
      </c>
      <c r="T527" s="147">
        <f t="shared" si="106"/>
        <v>0</v>
      </c>
      <c r="U527" s="152"/>
      <c r="V527" s="151" t="s">
        <v>50</v>
      </c>
      <c r="W527" s="151"/>
      <c r="X527" s="151"/>
      <c r="Y527" s="151"/>
      <c r="Z527" s="151"/>
      <c r="AA527" s="151"/>
      <c r="AB527" s="152"/>
      <c r="AC527" s="152"/>
      <c r="AD527" s="153">
        <f t="shared" si="112"/>
        <v>28691</v>
      </c>
      <c r="AE527" s="150" t="str">
        <f t="shared" ca="1" si="111"/>
        <v>48 Tahun 1 bulan 12 Hari</v>
      </c>
      <c r="AF527" s="154">
        <f t="shared" si="113"/>
        <v>50618</v>
      </c>
    </row>
    <row r="528" spans="1:32" s="7" customFormat="1" ht="33.75" customHeight="1" x14ac:dyDescent="0.35">
      <c r="A528" s="26">
        <f t="shared" si="102"/>
        <v>497</v>
      </c>
      <c r="B528" s="27" t="s">
        <v>1492</v>
      </c>
      <c r="C528" s="26"/>
      <c r="D528" s="50" t="s">
        <v>1532</v>
      </c>
      <c r="E528" s="24" t="s">
        <v>1533</v>
      </c>
      <c r="F528" s="24" t="s">
        <v>43</v>
      </c>
      <c r="G528" s="4" t="s">
        <v>1534</v>
      </c>
      <c r="H528" s="4" t="s">
        <v>385</v>
      </c>
      <c r="I528" s="33" t="s">
        <v>46</v>
      </c>
      <c r="J528" s="5">
        <v>45993</v>
      </c>
      <c r="K528" s="3" t="str">
        <f t="shared" ca="1" si="109"/>
        <v xml:space="preserve">0 Tahun 8 bulan </v>
      </c>
      <c r="L528" s="30" t="s">
        <v>200</v>
      </c>
      <c r="M528" s="5" t="s">
        <v>292</v>
      </c>
      <c r="N528" s="3" t="str">
        <f t="shared" ca="1" si="107"/>
        <v xml:space="preserve">7 Tahun 7 bulan </v>
      </c>
      <c r="O528" s="4"/>
      <c r="P528" s="4" t="s">
        <v>35</v>
      </c>
      <c r="Q528" s="4" t="str">
        <f t="shared" si="110"/>
        <v>Laki-Laki</v>
      </c>
      <c r="R528" s="4">
        <f t="shared" si="104"/>
        <v>1</v>
      </c>
      <c r="S528" s="4" t="str">
        <f t="shared" si="108"/>
        <v>1</v>
      </c>
      <c r="T528" s="4">
        <f t="shared" si="106"/>
        <v>0</v>
      </c>
      <c r="U528" s="29"/>
      <c r="V528" s="30" t="s">
        <v>50</v>
      </c>
      <c r="W528" s="30"/>
      <c r="X528" s="30"/>
      <c r="Y528" s="30"/>
      <c r="Z528" s="30"/>
      <c r="AA528" s="30"/>
      <c r="AB528" s="29"/>
      <c r="AC528" s="29"/>
      <c r="AD528" s="37">
        <f t="shared" si="112"/>
        <v>29421</v>
      </c>
      <c r="AE528" s="3" t="str">
        <f t="shared" ca="1" si="111"/>
        <v>46 Tahun 1 bulan 13 Hari</v>
      </c>
      <c r="AF528" s="38">
        <f t="shared" si="113"/>
        <v>51349</v>
      </c>
    </row>
    <row r="529" spans="1:33" ht="32.15" customHeight="1" x14ac:dyDescent="0.35">
      <c r="A529" s="26">
        <f t="shared" si="102"/>
        <v>498</v>
      </c>
      <c r="B529" s="27" t="s">
        <v>1492</v>
      </c>
      <c r="C529" s="26"/>
      <c r="D529" s="50" t="s">
        <v>1505</v>
      </c>
      <c r="E529" s="24" t="s">
        <v>1535</v>
      </c>
      <c r="F529" s="24" t="s">
        <v>43</v>
      </c>
      <c r="G529" s="4" t="s">
        <v>1536</v>
      </c>
      <c r="H529" s="4" t="s">
        <v>419</v>
      </c>
      <c r="I529" s="41" t="s">
        <v>46</v>
      </c>
      <c r="J529" s="5" t="s">
        <v>87</v>
      </c>
      <c r="K529" s="3" t="str">
        <f t="shared" ca="1" si="109"/>
        <v xml:space="preserve">4 Tahun 8 bulan </v>
      </c>
      <c r="L529" s="30" t="s">
        <v>88</v>
      </c>
      <c r="M529" s="5">
        <v>44561</v>
      </c>
      <c r="N529" s="3" t="str">
        <f t="shared" ca="1" si="107"/>
        <v xml:space="preserve">4 Tahun 8 bulan </v>
      </c>
      <c r="O529" s="4"/>
      <c r="P529" s="4" t="s">
        <v>35</v>
      </c>
      <c r="Q529" s="4" t="str">
        <f t="shared" si="110"/>
        <v>Perempuan</v>
      </c>
      <c r="R529" s="4">
        <f t="shared" si="104"/>
        <v>1</v>
      </c>
      <c r="S529" s="4" t="str">
        <f t="shared" si="108"/>
        <v>1</v>
      </c>
      <c r="T529" s="4">
        <f t="shared" si="106"/>
        <v>0</v>
      </c>
      <c r="U529" s="29"/>
      <c r="V529" s="30"/>
      <c r="W529" s="30"/>
      <c r="X529" s="30"/>
      <c r="Y529" s="30"/>
      <c r="Z529" s="30"/>
      <c r="AA529" s="30"/>
      <c r="AB529" s="29"/>
      <c r="AC529" s="29"/>
      <c r="AD529" s="37">
        <f t="shared" si="112"/>
        <v>29493</v>
      </c>
      <c r="AE529" s="3" t="str">
        <f t="shared" ca="1" si="111"/>
        <v>45 Tahun 11 bulan 3 Hari</v>
      </c>
      <c r="AF529" s="38">
        <f t="shared" si="113"/>
        <v>51410</v>
      </c>
      <c r="AG529" s="7"/>
    </row>
    <row r="530" spans="1:33" ht="32.15" customHeight="1" x14ac:dyDescent="0.35">
      <c r="A530" s="26">
        <f t="shared" ref="A530:A593" si="115">A529+1</f>
        <v>499</v>
      </c>
      <c r="B530" s="27" t="s">
        <v>1492</v>
      </c>
      <c r="C530" s="256" t="s">
        <v>1537</v>
      </c>
      <c r="D530" s="257"/>
      <c r="E530" s="24" t="s">
        <v>1538</v>
      </c>
      <c r="F530" s="24" t="s">
        <v>43</v>
      </c>
      <c r="G530" s="4" t="s">
        <v>1542</v>
      </c>
      <c r="H530" s="4" t="s">
        <v>2841</v>
      </c>
      <c r="I530" s="4" t="s">
        <v>2840</v>
      </c>
      <c r="J530" s="33">
        <v>45993</v>
      </c>
      <c r="K530" s="3" t="str">
        <f t="shared" ca="1" si="109"/>
        <v xml:space="preserve">0 Tahun 8 bulan </v>
      </c>
      <c r="L530" s="30" t="s">
        <v>346</v>
      </c>
      <c r="M530" s="30"/>
      <c r="N530" s="3" t="str">
        <f t="shared" ca="1" si="107"/>
        <v/>
      </c>
      <c r="O530" s="4"/>
      <c r="P530" s="4" t="str">
        <f>P370</f>
        <v>Islam</v>
      </c>
      <c r="Q530" s="4" t="str">
        <f t="shared" si="110"/>
        <v>Perempuan</v>
      </c>
      <c r="R530" s="4">
        <f t="shared" si="104"/>
        <v>1</v>
      </c>
      <c r="S530" s="4" t="str">
        <f t="shared" si="108"/>
        <v>1</v>
      </c>
      <c r="T530" s="4">
        <f t="shared" si="106"/>
        <v>0</v>
      </c>
      <c r="U530" s="29"/>
      <c r="V530" s="30"/>
      <c r="W530" s="30"/>
      <c r="X530" s="30"/>
      <c r="Y530" s="30"/>
      <c r="Z530" s="30"/>
      <c r="AA530" s="30"/>
      <c r="AB530" s="29"/>
      <c r="AC530" s="29"/>
      <c r="AD530" s="37">
        <f t="shared" si="112"/>
        <v>30142</v>
      </c>
      <c r="AE530" s="3" t="str">
        <f t="shared" ca="1" si="111"/>
        <v>44 Tahun 1 bulan 22 Hari</v>
      </c>
      <c r="AF530" s="38">
        <f t="shared" si="113"/>
        <v>52079</v>
      </c>
      <c r="AG530" s="7"/>
    </row>
    <row r="531" spans="1:33" ht="32.15" customHeight="1" x14ac:dyDescent="0.35">
      <c r="A531" s="155">
        <f t="shared" si="115"/>
        <v>500</v>
      </c>
      <c r="B531" s="156" t="s">
        <v>1492</v>
      </c>
      <c r="C531" s="155"/>
      <c r="D531" s="157" t="s">
        <v>1539</v>
      </c>
      <c r="E531" s="168" t="s">
        <v>1540</v>
      </c>
      <c r="F531" s="159" t="s">
        <v>43</v>
      </c>
      <c r="G531" s="169" t="s">
        <v>2974</v>
      </c>
      <c r="H531" s="170" t="s">
        <v>2975</v>
      </c>
      <c r="I531" s="161" t="s">
        <v>446</v>
      </c>
      <c r="J531" s="162">
        <v>45993</v>
      </c>
      <c r="K531" s="163" t="str">
        <f t="shared" ca="1" si="109"/>
        <v xml:space="preserve">0 Tahun 8 bulan </v>
      </c>
      <c r="L531" s="164" t="s">
        <v>200</v>
      </c>
      <c r="M531" s="162">
        <v>45993</v>
      </c>
      <c r="N531" s="163" t="str">
        <f t="shared" ca="1" si="107"/>
        <v xml:space="preserve">0 Tahun 8 bulan </v>
      </c>
      <c r="O531" s="160"/>
      <c r="P531" s="160" t="s">
        <v>35</v>
      </c>
      <c r="Q531" s="160" t="str">
        <f t="shared" si="110"/>
        <v>Laki-Laki</v>
      </c>
      <c r="R531" s="160">
        <f t="shared" si="104"/>
        <v>1</v>
      </c>
      <c r="S531" s="160" t="str">
        <f>IF(R531="LOWONG","0","1")</f>
        <v>1</v>
      </c>
      <c r="T531" s="160">
        <f t="shared" si="106"/>
        <v>0</v>
      </c>
      <c r="U531" s="165"/>
      <c r="V531" s="164" t="s">
        <v>50</v>
      </c>
      <c r="W531" s="164"/>
      <c r="X531" s="164"/>
      <c r="Y531" s="164"/>
      <c r="Z531" s="164"/>
      <c r="AA531" s="164"/>
      <c r="AB531" s="165"/>
      <c r="AC531" s="165"/>
      <c r="AD531" s="166">
        <f t="shared" si="112"/>
        <v>32742</v>
      </c>
      <c r="AE531" s="163" t="str">
        <f t="shared" ca="1" si="111"/>
        <v>37 Tahun 0 bulan 10 Hari</v>
      </c>
      <c r="AF531" s="167">
        <f t="shared" si="113"/>
        <v>54667</v>
      </c>
      <c r="AG531" s="7"/>
    </row>
    <row r="532" spans="1:33" ht="32.15" customHeight="1" x14ac:dyDescent="0.35">
      <c r="A532" s="26">
        <f t="shared" si="115"/>
        <v>501</v>
      </c>
      <c r="B532" s="27" t="s">
        <v>1492</v>
      </c>
      <c r="C532" s="26"/>
      <c r="D532" s="50" t="s">
        <v>1541</v>
      </c>
      <c r="E532" s="51" t="s">
        <v>2903</v>
      </c>
      <c r="F532" s="39" t="s">
        <v>43</v>
      </c>
      <c r="G532" s="59" t="s">
        <v>2904</v>
      </c>
      <c r="H532" s="36" t="s">
        <v>2905</v>
      </c>
      <c r="I532" s="33" t="s">
        <v>1020</v>
      </c>
      <c r="J532" s="5">
        <v>46087</v>
      </c>
      <c r="K532" s="3" t="str">
        <f t="shared" ca="1" si="109"/>
        <v xml:space="preserve">0 Tahun 5 bulan </v>
      </c>
      <c r="L532" s="30" t="s">
        <v>200</v>
      </c>
      <c r="M532" s="5">
        <v>46087</v>
      </c>
      <c r="N532" s="3" t="str">
        <f t="shared" ca="1" si="107"/>
        <v xml:space="preserve">0 Tahun 5 bulan </v>
      </c>
      <c r="O532" s="4"/>
      <c r="P532" s="4" t="s">
        <v>35</v>
      </c>
      <c r="Q532" s="4" t="str">
        <f t="shared" si="110"/>
        <v>Laki-Laki</v>
      </c>
      <c r="R532" s="4">
        <f t="shared" si="104"/>
        <v>1</v>
      </c>
      <c r="S532" s="4" t="str">
        <f>IF(E532="LOWONG","0","1")</f>
        <v>1</v>
      </c>
      <c r="T532" s="4">
        <f t="shared" si="106"/>
        <v>0</v>
      </c>
      <c r="U532" s="29"/>
      <c r="V532" s="30"/>
      <c r="W532" s="30"/>
      <c r="X532" s="30"/>
      <c r="Y532" s="30"/>
      <c r="Z532" s="30"/>
      <c r="AA532" s="30"/>
      <c r="AB532" s="29"/>
      <c r="AC532" s="29"/>
      <c r="AD532" s="37">
        <f t="shared" si="112"/>
        <v>33712</v>
      </c>
      <c r="AE532" s="3" t="str">
        <f t="shared" ca="1" si="111"/>
        <v>34 Tahun 4 bulan 14 Hari</v>
      </c>
      <c r="AF532" s="38">
        <f t="shared" si="113"/>
        <v>55640</v>
      </c>
      <c r="AG532" s="7"/>
    </row>
    <row r="533" spans="1:33" ht="32.15" customHeight="1" x14ac:dyDescent="0.35">
      <c r="A533" s="26">
        <f t="shared" si="115"/>
        <v>502</v>
      </c>
      <c r="B533" s="27" t="s">
        <v>1492</v>
      </c>
      <c r="C533" s="26"/>
      <c r="D533" s="50" t="s">
        <v>1505</v>
      </c>
      <c r="E533" s="39" t="s">
        <v>1543</v>
      </c>
      <c r="F533" s="39" t="s">
        <v>43</v>
      </c>
      <c r="G533" s="40" t="s">
        <v>1544</v>
      </c>
      <c r="H533" s="36" t="s">
        <v>135</v>
      </c>
      <c r="I533" s="25" t="s">
        <v>46</v>
      </c>
      <c r="J533" s="5" t="s">
        <v>87</v>
      </c>
      <c r="K533" s="3" t="str">
        <f t="shared" ca="1" si="109"/>
        <v xml:space="preserve">4 Tahun 8 bulan </v>
      </c>
      <c r="L533" s="30" t="s">
        <v>88</v>
      </c>
      <c r="M533" s="5">
        <v>44561</v>
      </c>
      <c r="N533" s="3" t="str">
        <f t="shared" ca="1" si="107"/>
        <v xml:space="preserve">4 Tahun 8 bulan </v>
      </c>
      <c r="O533" s="4"/>
      <c r="P533" s="4" t="s">
        <v>35</v>
      </c>
      <c r="Q533" s="4" t="str">
        <f t="shared" si="110"/>
        <v>Perempuan</v>
      </c>
      <c r="R533" s="4">
        <f t="shared" si="104"/>
        <v>1</v>
      </c>
      <c r="S533" s="4" t="str">
        <f>IF(E533="LOWONG","0","1")</f>
        <v>1</v>
      </c>
      <c r="T533" s="4">
        <f t="shared" si="106"/>
        <v>0</v>
      </c>
      <c r="U533" s="29"/>
      <c r="V533" s="30"/>
      <c r="W533" s="30"/>
      <c r="X533" s="30"/>
      <c r="Y533" s="30"/>
      <c r="Z533" s="30"/>
      <c r="AA533" s="30"/>
      <c r="AB533" s="29"/>
      <c r="AC533" s="29"/>
      <c r="AD533" s="37">
        <f t="shared" si="112"/>
        <v>30024</v>
      </c>
      <c r="AE533" s="3" t="str">
        <f t="shared" ca="1" si="111"/>
        <v>44 Tahun 5 bulan 18 Hari</v>
      </c>
      <c r="AF533" s="38">
        <f t="shared" si="113"/>
        <v>51957</v>
      </c>
      <c r="AG533" s="7"/>
    </row>
    <row r="534" spans="1:33" ht="32.15" customHeight="1" x14ac:dyDescent="0.35">
      <c r="A534" s="26"/>
      <c r="B534" s="27" t="s">
        <v>1545</v>
      </c>
      <c r="C534" s="280" t="s">
        <v>1546</v>
      </c>
      <c r="D534" s="281"/>
      <c r="E534" s="271" t="str">
        <f ca="1">IF(J534="","",CONCATENATE(DATEDIF(J534,NOW(),"Y")," Tahun ",DATEDIF(J534,NOW(),"YM")," bulan "))</f>
        <v/>
      </c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2"/>
      <c r="AD534" s="272"/>
      <c r="AE534" s="272"/>
      <c r="AF534" s="273"/>
      <c r="AG534" s="7"/>
    </row>
    <row r="535" spans="1:33" ht="32.15" customHeight="1" x14ac:dyDescent="0.35">
      <c r="A535" s="26">
        <f>A533+1</f>
        <v>503</v>
      </c>
      <c r="B535" s="27" t="s">
        <v>1545</v>
      </c>
      <c r="C535" s="278" t="s">
        <v>1547</v>
      </c>
      <c r="D535" s="279"/>
      <c r="E535" s="24" t="s">
        <v>2870</v>
      </c>
      <c r="F535" s="39" t="s">
        <v>43</v>
      </c>
      <c r="G535" s="3" t="s">
        <v>2871</v>
      </c>
      <c r="H535" s="4" t="s">
        <v>303</v>
      </c>
      <c r="I535" s="4"/>
      <c r="J535" s="33"/>
      <c r="K535" s="3" t="str">
        <f t="shared" ca="1" si="109"/>
        <v/>
      </c>
      <c r="L535" s="30" t="s">
        <v>56</v>
      </c>
      <c r="M535" s="5"/>
      <c r="N535" s="3" t="str">
        <f t="shared" ca="1" si="107"/>
        <v/>
      </c>
      <c r="O535" s="4"/>
      <c r="P535" s="4" t="s">
        <v>35</v>
      </c>
      <c r="Q535" s="4" t="str">
        <f t="shared" si="110"/>
        <v>Laki-Laki</v>
      </c>
      <c r="R535" s="4">
        <f>R533</f>
        <v>1</v>
      </c>
      <c r="S535" s="4" t="str">
        <f>IF(E535="LOWONG","0","1")</f>
        <v>1</v>
      </c>
      <c r="T535" s="4">
        <f t="shared" ref="T535:T539" si="116">R535-S535</f>
        <v>0</v>
      </c>
      <c r="U535" s="29"/>
      <c r="V535" s="30" t="s">
        <v>50</v>
      </c>
      <c r="W535" s="30"/>
      <c r="X535" s="30"/>
      <c r="Y535" s="30"/>
      <c r="Z535" s="30"/>
      <c r="AA535" s="30"/>
      <c r="AB535" s="29"/>
      <c r="AC535" s="29"/>
      <c r="AD535" s="37">
        <f t="shared" si="112"/>
        <v>27773</v>
      </c>
      <c r="AE535" s="3" t="str">
        <f t="shared" ca="1" si="111"/>
        <v>50 Tahun 7 bulan 18 Hari</v>
      </c>
      <c r="AF535" s="38">
        <f t="shared" si="113"/>
        <v>49706</v>
      </c>
      <c r="AG535" s="7"/>
    </row>
    <row r="536" spans="1:33" ht="32.15" customHeight="1" x14ac:dyDescent="0.35">
      <c r="A536" s="26">
        <f t="shared" ref="A536:A540" si="117">A535+1</f>
        <v>504</v>
      </c>
      <c r="B536" s="27" t="s">
        <v>1545</v>
      </c>
      <c r="C536" s="256" t="s">
        <v>1548</v>
      </c>
      <c r="D536" s="257"/>
      <c r="E536" s="45" t="s">
        <v>2946</v>
      </c>
      <c r="F536" s="39" t="s">
        <v>43</v>
      </c>
      <c r="G536" s="4" t="s">
        <v>2882</v>
      </c>
      <c r="H536" s="4" t="s">
        <v>313</v>
      </c>
      <c r="I536" s="4" t="s">
        <v>450</v>
      </c>
      <c r="J536" s="33">
        <v>46087</v>
      </c>
      <c r="K536" s="3" t="str">
        <f t="shared" ca="1" si="109"/>
        <v xml:space="preserve">0 Tahun 5 bulan </v>
      </c>
      <c r="L536" s="30" t="str">
        <f>L488</f>
        <v>3A</v>
      </c>
      <c r="M536" s="96">
        <v>46087</v>
      </c>
      <c r="N536" s="3" t="str">
        <f t="shared" ca="1" si="107"/>
        <v xml:space="preserve">0 Tahun 5 bulan </v>
      </c>
      <c r="O536" s="36"/>
      <c r="P536" s="36" t="str">
        <f t="shared" ref="P536" si="118">P488</f>
        <v>Islam</v>
      </c>
      <c r="Q536" s="4" t="str">
        <f t="shared" si="110"/>
        <v>Laki-Laki</v>
      </c>
      <c r="R536" s="4">
        <f t="shared" si="104"/>
        <v>1</v>
      </c>
      <c r="S536" s="4" t="str">
        <f>IF(E536="LOWONG","0","1")</f>
        <v>1</v>
      </c>
      <c r="T536" s="4">
        <f t="shared" si="116"/>
        <v>0</v>
      </c>
      <c r="U536" s="29"/>
      <c r="V536" s="30" t="s">
        <v>50</v>
      </c>
      <c r="W536" s="30"/>
      <c r="X536" s="30"/>
      <c r="Y536" s="30"/>
      <c r="Z536" s="30"/>
      <c r="AA536" s="30"/>
      <c r="AB536" s="29"/>
      <c r="AC536" s="29"/>
      <c r="AD536" s="37">
        <f t="shared" si="112"/>
        <v>29514</v>
      </c>
      <c r="AE536" s="3" t="str">
        <f t="shared" ca="1" si="111"/>
        <v>45 Tahun 10 bulan 12 Hari</v>
      </c>
      <c r="AF536" s="38">
        <f t="shared" si="113"/>
        <v>51441</v>
      </c>
      <c r="AG536" s="7"/>
    </row>
    <row r="537" spans="1:33" ht="32.15" customHeight="1" x14ac:dyDescent="0.35">
      <c r="A537" s="26">
        <f t="shared" si="117"/>
        <v>505</v>
      </c>
      <c r="B537" s="27" t="s">
        <v>1545</v>
      </c>
      <c r="C537" s="26"/>
      <c r="D537" s="50" t="s">
        <v>1549</v>
      </c>
      <c r="E537" s="51" t="s">
        <v>1069</v>
      </c>
      <c r="F537" s="39" t="s">
        <v>43</v>
      </c>
      <c r="G537" s="4" t="s">
        <v>2976</v>
      </c>
      <c r="H537" s="4" t="s">
        <v>135</v>
      </c>
      <c r="I537" s="4" t="s">
        <v>2977</v>
      </c>
      <c r="J537" s="105">
        <v>46087</v>
      </c>
      <c r="K537" s="3" t="str">
        <f t="shared" ca="1" si="109"/>
        <v xml:space="preserve">0 Tahun 5 bulan </v>
      </c>
      <c r="L537" s="30" t="s">
        <v>200</v>
      </c>
      <c r="M537" s="105">
        <v>46087</v>
      </c>
      <c r="N537" s="3" t="str">
        <f t="shared" ca="1" si="107"/>
        <v xml:space="preserve">0 Tahun 5 bulan </v>
      </c>
      <c r="O537" s="4"/>
      <c r="P537" s="4">
        <f>P350</f>
        <v>0</v>
      </c>
      <c r="Q537" s="4" t="str">
        <f t="shared" si="110"/>
        <v>Laki-Laki</v>
      </c>
      <c r="R537" s="4">
        <f t="shared" si="104"/>
        <v>1</v>
      </c>
      <c r="S537" s="4" t="str">
        <f>IF(E537="LOWONG","0","1")</f>
        <v>1</v>
      </c>
      <c r="T537" s="4">
        <f t="shared" si="116"/>
        <v>0</v>
      </c>
      <c r="U537" s="29"/>
      <c r="V537" s="30"/>
      <c r="W537" s="30"/>
      <c r="X537" s="30"/>
      <c r="Y537" s="30"/>
      <c r="Z537" s="30"/>
      <c r="AA537" s="30"/>
      <c r="AB537" s="29"/>
      <c r="AC537" s="29"/>
      <c r="AD537" s="37">
        <f t="shared" si="112"/>
        <v>30459</v>
      </c>
      <c r="AE537" s="3" t="str">
        <f t="shared" ca="1" si="111"/>
        <v>43 Tahun 3 bulan 9 Hari</v>
      </c>
      <c r="AF537" s="38">
        <f t="shared" si="113"/>
        <v>52383</v>
      </c>
      <c r="AG537" s="7"/>
    </row>
    <row r="538" spans="1:33" ht="32.15" customHeight="1" x14ac:dyDescent="0.35">
      <c r="A538" s="26">
        <f t="shared" si="117"/>
        <v>506</v>
      </c>
      <c r="B538" s="27" t="s">
        <v>1545</v>
      </c>
      <c r="C538" s="26"/>
      <c r="D538" s="50" t="s">
        <v>1550</v>
      </c>
      <c r="E538" s="58" t="s">
        <v>108</v>
      </c>
      <c r="F538" s="83"/>
      <c r="G538" s="29"/>
      <c r="H538" s="29"/>
      <c r="I538" s="29"/>
      <c r="J538" s="88"/>
      <c r="K538" s="3" t="str">
        <f t="shared" ca="1" si="109"/>
        <v/>
      </c>
      <c r="L538" s="30" t="s">
        <v>88</v>
      </c>
      <c r="M538" s="88"/>
      <c r="N538" s="3" t="str">
        <f t="shared" ca="1" si="107"/>
        <v/>
      </c>
      <c r="O538" s="29"/>
      <c r="P538" s="29"/>
      <c r="Q538" s="4" t="str">
        <f t="shared" si="110"/>
        <v/>
      </c>
      <c r="R538" s="4">
        <f t="shared" ref="R538:R599" si="119">R537</f>
        <v>1</v>
      </c>
      <c r="S538" s="4" t="e">
        <f>IF(#REF!="LOWONG","0","1")</f>
        <v>#REF!</v>
      </c>
      <c r="T538" s="4" t="e">
        <f t="shared" si="116"/>
        <v>#REF!</v>
      </c>
      <c r="U538" s="29"/>
      <c r="V538" s="30"/>
      <c r="W538" s="30"/>
      <c r="X538" s="30"/>
      <c r="Y538" s="30"/>
      <c r="Z538" s="30"/>
      <c r="AA538" s="30"/>
      <c r="AB538" s="29"/>
      <c r="AC538" s="29"/>
      <c r="AD538" s="37" t="str">
        <f t="shared" si="112"/>
        <v/>
      </c>
      <c r="AE538" s="3" t="str">
        <f t="shared" ca="1" si="111"/>
        <v/>
      </c>
      <c r="AF538" s="38" t="str">
        <f t="shared" si="113"/>
        <v/>
      </c>
      <c r="AG538" s="7"/>
    </row>
    <row r="539" spans="1:33" ht="32.15" customHeight="1" x14ac:dyDescent="0.35">
      <c r="A539" s="26">
        <f t="shared" si="117"/>
        <v>507</v>
      </c>
      <c r="B539" s="27" t="s">
        <v>1545</v>
      </c>
      <c r="C539" s="26"/>
      <c r="D539" s="50" t="s">
        <v>1551</v>
      </c>
      <c r="E539" s="45" t="s">
        <v>108</v>
      </c>
      <c r="F539" s="45"/>
      <c r="G539" s="44"/>
      <c r="H539" s="4"/>
      <c r="I539" s="36"/>
      <c r="J539" s="84"/>
      <c r="K539" s="3" t="str">
        <f t="shared" ca="1" si="109"/>
        <v/>
      </c>
      <c r="L539" s="30" t="s">
        <v>88</v>
      </c>
      <c r="M539" s="84"/>
      <c r="N539" s="3" t="str">
        <f t="shared" ca="1" si="107"/>
        <v/>
      </c>
      <c r="O539" s="36"/>
      <c r="P539" s="4"/>
      <c r="Q539" s="4" t="str">
        <f t="shared" si="110"/>
        <v/>
      </c>
      <c r="R539" s="4">
        <f t="shared" si="119"/>
        <v>1</v>
      </c>
      <c r="S539" s="4" t="str">
        <f t="shared" ref="S539:S544" si="120">IF(E539="LOWONG","0","1")</f>
        <v>0</v>
      </c>
      <c r="T539" s="4">
        <f t="shared" si="116"/>
        <v>1</v>
      </c>
      <c r="U539" s="29"/>
      <c r="V539" s="30" t="s">
        <v>50</v>
      </c>
      <c r="W539" s="30"/>
      <c r="X539" s="30"/>
      <c r="Y539" s="30"/>
      <c r="Z539" s="30"/>
      <c r="AA539" s="30"/>
      <c r="AB539" s="29"/>
      <c r="AC539" s="29"/>
      <c r="AD539" s="37" t="str">
        <f t="shared" si="112"/>
        <v/>
      </c>
      <c r="AE539" s="3" t="str">
        <f t="shared" ca="1" si="111"/>
        <v/>
      </c>
      <c r="AF539" s="38" t="str">
        <f t="shared" si="113"/>
        <v/>
      </c>
      <c r="AG539" s="7"/>
    </row>
    <row r="540" spans="1:33" ht="32.15" customHeight="1" x14ac:dyDescent="0.35">
      <c r="A540" s="26">
        <f t="shared" si="117"/>
        <v>508</v>
      </c>
      <c r="B540" s="27" t="s">
        <v>1545</v>
      </c>
      <c r="C540" s="256" t="s">
        <v>1552</v>
      </c>
      <c r="D540" s="257"/>
      <c r="E540" s="24" t="s">
        <v>1553</v>
      </c>
      <c r="F540" s="24" t="s">
        <v>43</v>
      </c>
      <c r="G540" s="52" t="s">
        <v>2842</v>
      </c>
      <c r="H540" s="4" t="s">
        <v>887</v>
      </c>
      <c r="I540" s="25" t="s">
        <v>759</v>
      </c>
      <c r="J540" s="81">
        <v>45993</v>
      </c>
      <c r="K540" s="3" t="str">
        <f t="shared" ca="1" si="109"/>
        <v xml:space="preserve">0 Tahun 8 bulan </v>
      </c>
      <c r="L540" s="30" t="s">
        <v>346</v>
      </c>
      <c r="M540" s="5"/>
      <c r="N540" s="3" t="str">
        <f t="shared" ca="1" si="107"/>
        <v/>
      </c>
      <c r="O540" s="24"/>
      <c r="P540" s="4" t="s">
        <v>35</v>
      </c>
      <c r="Q540" s="4" t="str">
        <f t="shared" si="110"/>
        <v>Laki-Laki</v>
      </c>
      <c r="R540" s="4">
        <f>R533</f>
        <v>1</v>
      </c>
      <c r="S540" s="4" t="str">
        <f t="shared" si="120"/>
        <v>1</v>
      </c>
      <c r="T540" s="4">
        <f t="shared" si="106"/>
        <v>0</v>
      </c>
      <c r="U540" s="29"/>
      <c r="V540" s="30" t="s">
        <v>50</v>
      </c>
      <c r="W540" s="30"/>
      <c r="X540" s="30"/>
      <c r="Y540" s="30"/>
      <c r="Z540" s="30"/>
      <c r="AA540" s="30"/>
      <c r="AB540" s="29"/>
      <c r="AC540" s="29"/>
      <c r="AD540" s="37">
        <f t="shared" si="112"/>
        <v>31310</v>
      </c>
      <c r="AE540" s="3" t="str">
        <f t="shared" ca="1" si="111"/>
        <v>40 Tahun 11 bulan 12 Hari</v>
      </c>
      <c r="AF540" s="38">
        <f t="shared" si="113"/>
        <v>53236</v>
      </c>
      <c r="AG540" s="7"/>
    </row>
    <row r="541" spans="1:33" ht="39" customHeight="1" x14ac:dyDescent="0.35">
      <c r="A541" s="26">
        <f t="shared" si="115"/>
        <v>509</v>
      </c>
      <c r="B541" s="27" t="s">
        <v>1545</v>
      </c>
      <c r="C541" s="26"/>
      <c r="D541" s="50" t="s">
        <v>1554</v>
      </c>
      <c r="E541" s="51" t="s">
        <v>1177</v>
      </c>
      <c r="F541" s="24" t="s">
        <v>43</v>
      </c>
      <c r="G541" s="52" t="s">
        <v>1178</v>
      </c>
      <c r="H541" s="36" t="s">
        <v>1555</v>
      </c>
      <c r="I541" s="33" t="s">
        <v>1556</v>
      </c>
      <c r="J541" s="81">
        <v>46087</v>
      </c>
      <c r="K541" s="3" t="str">
        <f t="shared" ca="1" si="109"/>
        <v xml:space="preserve">0 Tahun 5 bulan </v>
      </c>
      <c r="L541" s="30" t="s">
        <v>200</v>
      </c>
      <c r="M541" s="5" t="s">
        <v>1557</v>
      </c>
      <c r="N541" s="3" t="str">
        <f t="shared" ca="1" si="107"/>
        <v xml:space="preserve">5 Tahun 8 bulan </v>
      </c>
      <c r="O541" s="4"/>
      <c r="P541" s="4" t="s">
        <v>35</v>
      </c>
      <c r="Q541" s="4" t="str">
        <f t="shared" si="110"/>
        <v/>
      </c>
      <c r="R541" s="4">
        <f t="shared" si="119"/>
        <v>1</v>
      </c>
      <c r="S541" s="4" t="str">
        <f t="shared" si="120"/>
        <v>1</v>
      </c>
      <c r="T541" s="4">
        <f t="shared" si="106"/>
        <v>0</v>
      </c>
      <c r="U541" s="29"/>
      <c r="V541" s="30"/>
      <c r="W541" s="30"/>
      <c r="X541" s="30"/>
      <c r="Y541" s="30"/>
      <c r="Z541" s="30"/>
      <c r="AA541" s="30"/>
      <c r="AB541" s="29"/>
      <c r="AC541" s="29"/>
      <c r="AD541" s="37">
        <f t="shared" si="112"/>
        <v>30060</v>
      </c>
      <c r="AE541" s="3" t="str">
        <f t="shared" ca="1" si="111"/>
        <v>44 Tahun 4 bulan 13 Hari</v>
      </c>
      <c r="AF541" s="38">
        <f t="shared" si="113"/>
        <v>51987</v>
      </c>
      <c r="AG541" s="7"/>
    </row>
    <row r="542" spans="1:33" ht="37.5" customHeight="1" x14ac:dyDescent="0.35">
      <c r="A542" s="26">
        <f t="shared" si="115"/>
        <v>510</v>
      </c>
      <c r="B542" s="27" t="s">
        <v>1545</v>
      </c>
      <c r="C542" s="26"/>
      <c r="D542" s="50" t="s">
        <v>1558</v>
      </c>
      <c r="E542" s="45" t="s">
        <v>2906</v>
      </c>
      <c r="F542" s="24" t="s">
        <v>43</v>
      </c>
      <c r="G542" s="44" t="s">
        <v>2907</v>
      </c>
      <c r="H542" s="4" t="s">
        <v>148</v>
      </c>
      <c r="I542" s="36" t="s">
        <v>1961</v>
      </c>
      <c r="J542" s="81">
        <v>46087</v>
      </c>
      <c r="K542" s="3" t="str">
        <f t="shared" ca="1" si="109"/>
        <v xml:space="preserve">0 Tahun 5 bulan </v>
      </c>
      <c r="L542" s="30" t="s">
        <v>200</v>
      </c>
      <c r="M542" s="81">
        <v>46087</v>
      </c>
      <c r="N542" s="3" t="str">
        <f t="shared" ca="1" si="107"/>
        <v xml:space="preserve">0 Tahun 5 bulan </v>
      </c>
      <c r="O542" s="36"/>
      <c r="P542" s="4" t="s">
        <v>35</v>
      </c>
      <c r="Q542" s="4" t="str">
        <f t="shared" si="110"/>
        <v>Perempuan</v>
      </c>
      <c r="R542" s="4">
        <f t="shared" si="119"/>
        <v>1</v>
      </c>
      <c r="S542" s="4" t="str">
        <f t="shared" si="120"/>
        <v>1</v>
      </c>
      <c r="T542" s="4">
        <f t="shared" si="106"/>
        <v>0</v>
      </c>
      <c r="U542" s="29"/>
      <c r="V542" s="30" t="s">
        <v>50</v>
      </c>
      <c r="W542" s="30"/>
      <c r="X542" s="30"/>
      <c r="Y542" s="30"/>
      <c r="Z542" s="30"/>
      <c r="AA542" s="30"/>
      <c r="AB542" s="29"/>
      <c r="AC542" s="29"/>
      <c r="AD542" s="37">
        <f t="shared" si="112"/>
        <v>25167</v>
      </c>
      <c r="AE542" s="3" t="str">
        <f t="shared" ca="1" si="111"/>
        <v>57 Tahun 9 bulan 7 Hari</v>
      </c>
      <c r="AF542" s="38">
        <f t="shared" si="113"/>
        <v>47088</v>
      </c>
      <c r="AG542" s="11" t="s">
        <v>3144</v>
      </c>
    </row>
    <row r="543" spans="1:33" ht="32.15" customHeight="1" x14ac:dyDescent="0.35">
      <c r="A543" s="26">
        <f t="shared" si="115"/>
        <v>511</v>
      </c>
      <c r="B543" s="27" t="s">
        <v>1545</v>
      </c>
      <c r="C543" s="26"/>
      <c r="D543" s="50" t="s">
        <v>1551</v>
      </c>
      <c r="E543" s="24" t="s">
        <v>1559</v>
      </c>
      <c r="F543" s="24" t="s">
        <v>43</v>
      </c>
      <c r="G543" s="3" t="s">
        <v>1560</v>
      </c>
      <c r="H543" s="4" t="s">
        <v>1031</v>
      </c>
      <c r="I543" s="33" t="s">
        <v>1561</v>
      </c>
      <c r="J543" s="5" t="s">
        <v>87</v>
      </c>
      <c r="K543" s="3" t="str">
        <f t="shared" ca="1" si="109"/>
        <v xml:space="preserve">4 Tahun 8 bulan </v>
      </c>
      <c r="L543" s="30" t="s">
        <v>88</v>
      </c>
      <c r="M543" s="5">
        <v>44561</v>
      </c>
      <c r="N543" s="3" t="str">
        <f t="shared" ca="1" si="107"/>
        <v xml:space="preserve">4 Tahun 8 bulan </v>
      </c>
      <c r="O543" s="4"/>
      <c r="P543" s="4" t="s">
        <v>35</v>
      </c>
      <c r="Q543" s="4" t="str">
        <f t="shared" si="110"/>
        <v>Laki-Laki</v>
      </c>
      <c r="R543" s="4">
        <f t="shared" si="119"/>
        <v>1</v>
      </c>
      <c r="S543" s="4" t="str">
        <f t="shared" si="120"/>
        <v>1</v>
      </c>
      <c r="T543" s="4">
        <f t="shared" si="106"/>
        <v>0</v>
      </c>
      <c r="U543" s="29"/>
      <c r="V543" s="30" t="s">
        <v>50</v>
      </c>
      <c r="W543" s="30"/>
      <c r="X543" s="30"/>
      <c r="Y543" s="30"/>
      <c r="Z543" s="30"/>
      <c r="AA543" s="30"/>
      <c r="AB543" s="29"/>
      <c r="AC543" s="29"/>
      <c r="AD543" s="37">
        <f t="shared" si="112"/>
        <v>33106</v>
      </c>
      <c r="AE543" s="3" t="str">
        <f t="shared" ca="1" si="111"/>
        <v>36 Tahun 0 bulan 11 Hari</v>
      </c>
      <c r="AF543" s="38">
        <f t="shared" si="113"/>
        <v>55032</v>
      </c>
      <c r="AG543" s="7"/>
    </row>
    <row r="544" spans="1:33" ht="32.15" customHeight="1" x14ac:dyDescent="0.35">
      <c r="A544" s="26">
        <f t="shared" si="115"/>
        <v>512</v>
      </c>
      <c r="B544" s="27" t="s">
        <v>1545</v>
      </c>
      <c r="C544" s="256" t="s">
        <v>1562</v>
      </c>
      <c r="D544" s="257"/>
      <c r="E544" s="24" t="s">
        <v>1563</v>
      </c>
      <c r="F544" s="24" t="s">
        <v>43</v>
      </c>
      <c r="G544" s="4" t="s">
        <v>1583</v>
      </c>
      <c r="H544" s="4" t="s">
        <v>385</v>
      </c>
      <c r="I544" s="33" t="s">
        <v>759</v>
      </c>
      <c r="J544" s="5">
        <v>45993</v>
      </c>
      <c r="K544" s="3" t="str">
        <f t="shared" ca="1" si="109"/>
        <v xml:space="preserve">0 Tahun 8 bulan </v>
      </c>
      <c r="L544" s="30" t="s">
        <v>346</v>
      </c>
      <c r="M544" s="5"/>
      <c r="N544" s="3" t="str">
        <f t="shared" ca="1" si="107"/>
        <v/>
      </c>
      <c r="O544" s="35"/>
      <c r="P544" s="4" t="s">
        <v>35</v>
      </c>
      <c r="Q544" s="4" t="str">
        <f t="shared" si="110"/>
        <v>Perempuan</v>
      </c>
      <c r="R544" s="4">
        <f t="shared" si="119"/>
        <v>1</v>
      </c>
      <c r="S544" s="4" t="str">
        <f t="shared" si="120"/>
        <v>1</v>
      </c>
      <c r="T544" s="4">
        <f t="shared" si="106"/>
        <v>0</v>
      </c>
      <c r="U544" s="29"/>
      <c r="V544" s="30" t="s">
        <v>50</v>
      </c>
      <c r="W544" s="30"/>
      <c r="X544" s="30"/>
      <c r="Y544" s="30"/>
      <c r="Z544" s="30"/>
      <c r="AA544" s="30"/>
      <c r="AB544" s="29"/>
      <c r="AC544" s="29"/>
      <c r="AD544" s="37">
        <f t="shared" si="112"/>
        <v>30367</v>
      </c>
      <c r="AE544" s="3" t="str">
        <f t="shared" ca="1" si="111"/>
        <v>43 Tahun 6 bulan 12 Hari</v>
      </c>
      <c r="AF544" s="38">
        <f t="shared" si="113"/>
        <v>52291</v>
      </c>
      <c r="AG544" s="7"/>
    </row>
    <row r="545" spans="1:32" s="7" customFormat="1" ht="39.75" customHeight="1" x14ac:dyDescent="0.35">
      <c r="A545" s="26">
        <f t="shared" si="115"/>
        <v>513</v>
      </c>
      <c r="B545" s="27" t="s">
        <v>1545</v>
      </c>
      <c r="C545" s="26"/>
      <c r="D545" s="50" t="s">
        <v>1564</v>
      </c>
      <c r="E545" s="24" t="s">
        <v>2908</v>
      </c>
      <c r="F545" s="24" t="s">
        <v>43</v>
      </c>
      <c r="G545" s="3" t="s">
        <v>1585</v>
      </c>
      <c r="H545" s="4" t="s">
        <v>2909</v>
      </c>
      <c r="I545" s="41" t="s">
        <v>1656</v>
      </c>
      <c r="J545" s="81">
        <v>46087</v>
      </c>
      <c r="K545" s="3" t="str">
        <f t="shared" ca="1" si="109"/>
        <v xml:space="preserve">0 Tahun 5 bulan </v>
      </c>
      <c r="L545" s="30" t="s">
        <v>200</v>
      </c>
      <c r="M545" s="5">
        <v>46087</v>
      </c>
      <c r="N545" s="3" t="str">
        <f t="shared" ca="1" si="107"/>
        <v xml:space="preserve">0 Tahun 5 bulan </v>
      </c>
      <c r="O545" s="4"/>
      <c r="P545" s="4" t="s">
        <v>35</v>
      </c>
      <c r="Q545" s="4" t="str">
        <f t="shared" si="110"/>
        <v>Laki-Laki</v>
      </c>
      <c r="R545" s="4">
        <f t="shared" si="119"/>
        <v>1</v>
      </c>
      <c r="S545" s="4" t="e">
        <f>IF(#REF!="LOWONG","0","1")</f>
        <v>#REF!</v>
      </c>
      <c r="T545" s="4" t="e">
        <f t="shared" si="106"/>
        <v>#REF!</v>
      </c>
      <c r="U545" s="29"/>
      <c r="V545" s="30"/>
      <c r="W545" s="30"/>
      <c r="X545" s="30"/>
      <c r="Y545" s="30"/>
      <c r="Z545" s="30"/>
      <c r="AA545" s="30"/>
      <c r="AB545" s="29"/>
      <c r="AC545" s="29"/>
      <c r="AD545" s="37">
        <f t="shared" si="112"/>
        <v>28434</v>
      </c>
      <c r="AE545" s="3" t="str">
        <f t="shared" ca="1" si="111"/>
        <v>48 Tahun 9 bulan 27 Hari</v>
      </c>
      <c r="AF545" s="38">
        <f t="shared" si="113"/>
        <v>50375</v>
      </c>
    </row>
    <row r="546" spans="1:32" s="7" customFormat="1" ht="40.5" customHeight="1" x14ac:dyDescent="0.35">
      <c r="A546" s="26">
        <f t="shared" si="115"/>
        <v>514</v>
      </c>
      <c r="B546" s="27" t="s">
        <v>1545</v>
      </c>
      <c r="C546" s="26"/>
      <c r="D546" s="50" t="s">
        <v>1566</v>
      </c>
      <c r="E546" s="51" t="s">
        <v>2939</v>
      </c>
      <c r="F546" s="51" t="s">
        <v>43</v>
      </c>
      <c r="G546" s="4" t="s">
        <v>2940</v>
      </c>
      <c r="H546" s="4" t="s">
        <v>2941</v>
      </c>
      <c r="I546" s="33" t="s">
        <v>2942</v>
      </c>
      <c r="J546" s="5">
        <v>46260</v>
      </c>
      <c r="K546" s="3" t="str">
        <f t="shared" ca="1" si="109"/>
        <v xml:space="preserve">0 Tahun 0 bulan </v>
      </c>
      <c r="L546" s="30" t="s">
        <v>200</v>
      </c>
      <c r="M546" s="5">
        <v>46260</v>
      </c>
      <c r="N546" s="3" t="str">
        <f t="shared" ca="1" si="107"/>
        <v xml:space="preserve">0 Tahun 0 bulan </v>
      </c>
      <c r="O546" s="4"/>
      <c r="P546" s="4" t="s">
        <v>35</v>
      </c>
      <c r="Q546" s="4" t="str">
        <f t="shared" si="110"/>
        <v>Laki-Laki</v>
      </c>
      <c r="R546" s="4">
        <f t="shared" si="119"/>
        <v>1</v>
      </c>
      <c r="S546" s="4" t="str">
        <f t="shared" ref="S546:S555" si="121">IF(E546="LOWONG","0","1")</f>
        <v>1</v>
      </c>
      <c r="T546" s="4">
        <f t="shared" si="106"/>
        <v>0</v>
      </c>
      <c r="U546" s="29"/>
      <c r="V546" s="30"/>
      <c r="W546" s="30"/>
      <c r="X546" s="30"/>
      <c r="Y546" s="30"/>
      <c r="Z546" s="30"/>
      <c r="AA546" s="30"/>
      <c r="AB546" s="29"/>
      <c r="AC546" s="29"/>
      <c r="AD546" s="37">
        <f t="shared" si="112"/>
        <v>36451</v>
      </c>
      <c r="AE546" s="3" t="str">
        <f t="shared" ca="1" si="111"/>
        <v>26 Tahun 10 bulan 14 Hari</v>
      </c>
      <c r="AF546" s="38">
        <f t="shared" si="113"/>
        <v>58380</v>
      </c>
    </row>
    <row r="547" spans="1:32" s="7" customFormat="1" ht="32.15" customHeight="1" x14ac:dyDescent="0.35">
      <c r="A547" s="26">
        <f t="shared" si="115"/>
        <v>515</v>
      </c>
      <c r="B547" s="27" t="s">
        <v>1545</v>
      </c>
      <c r="C547" s="26"/>
      <c r="D547" s="50" t="s">
        <v>1551</v>
      </c>
      <c r="E547" s="24" t="s">
        <v>1567</v>
      </c>
      <c r="F547" s="24" t="s">
        <v>43</v>
      </c>
      <c r="G547" s="4" t="s">
        <v>1568</v>
      </c>
      <c r="H547" s="4" t="s">
        <v>181</v>
      </c>
      <c r="I547" s="33" t="s">
        <v>46</v>
      </c>
      <c r="J547" s="5" t="s">
        <v>87</v>
      </c>
      <c r="K547" s="3" t="str">
        <f t="shared" ca="1" si="109"/>
        <v xml:space="preserve">4 Tahun 8 bulan </v>
      </c>
      <c r="L547" s="30" t="s">
        <v>88</v>
      </c>
      <c r="M547" s="5">
        <v>44560</v>
      </c>
      <c r="N547" s="3" t="str">
        <f t="shared" ca="1" si="107"/>
        <v xml:space="preserve">4 Tahun 8 bulan </v>
      </c>
      <c r="O547" s="4"/>
      <c r="P547" s="4" t="s">
        <v>35</v>
      </c>
      <c r="Q547" s="4" t="str">
        <f t="shared" si="110"/>
        <v>Laki-Laki</v>
      </c>
      <c r="R547" s="4">
        <f t="shared" si="119"/>
        <v>1</v>
      </c>
      <c r="S547" s="4" t="str">
        <f t="shared" si="121"/>
        <v>1</v>
      </c>
      <c r="T547" s="4">
        <f t="shared" si="106"/>
        <v>0</v>
      </c>
      <c r="U547" s="29"/>
      <c r="V547" s="30" t="s">
        <v>50</v>
      </c>
      <c r="W547" s="30"/>
      <c r="X547" s="30"/>
      <c r="Y547" s="30"/>
      <c r="Z547" s="30"/>
      <c r="AA547" s="30"/>
      <c r="AB547" s="29"/>
      <c r="AC547" s="29"/>
      <c r="AD547" s="37">
        <f t="shared" si="112"/>
        <v>30575</v>
      </c>
      <c r="AE547" s="3" t="str">
        <f t="shared" ca="1" si="111"/>
        <v>42 Tahun 11 bulan 16 Hari</v>
      </c>
      <c r="AF547" s="38">
        <f t="shared" si="113"/>
        <v>52505</v>
      </c>
    </row>
    <row r="548" spans="1:32" s="7" customFormat="1" ht="32.15" customHeight="1" x14ac:dyDescent="0.35">
      <c r="A548" s="26">
        <f t="shared" si="115"/>
        <v>516</v>
      </c>
      <c r="B548" s="27" t="s">
        <v>1545</v>
      </c>
      <c r="C548" s="256" t="s">
        <v>1569</v>
      </c>
      <c r="D548" s="257"/>
      <c r="E548" s="24" t="s">
        <v>1570</v>
      </c>
      <c r="F548" s="24" t="s">
        <v>43</v>
      </c>
      <c r="G548" s="4" t="s">
        <v>1571</v>
      </c>
      <c r="H548" s="4" t="s">
        <v>1031</v>
      </c>
      <c r="I548" s="4" t="s">
        <v>46</v>
      </c>
      <c r="J548" s="33">
        <v>45916</v>
      </c>
      <c r="K548" s="3" t="str">
        <f t="shared" ca="1" si="109"/>
        <v xml:space="preserve">0 Tahun 11 bulan </v>
      </c>
      <c r="L548" s="30" t="s">
        <v>346</v>
      </c>
      <c r="M548" s="106">
        <v>45916</v>
      </c>
      <c r="N548" s="3" t="str">
        <f t="shared" ca="1" si="107"/>
        <v xml:space="preserve">0 Tahun 11 bulan </v>
      </c>
      <c r="O548" s="24"/>
      <c r="P548" s="4" t="s">
        <v>35</v>
      </c>
      <c r="Q548" s="4" t="s">
        <v>591</v>
      </c>
      <c r="R548" s="4">
        <f>R541</f>
        <v>1</v>
      </c>
      <c r="S548" s="4" t="str">
        <f t="shared" si="121"/>
        <v>1</v>
      </c>
      <c r="T548" s="4">
        <f t="shared" si="106"/>
        <v>0</v>
      </c>
      <c r="U548" s="29"/>
      <c r="V548" s="30" t="s">
        <v>50</v>
      </c>
      <c r="W548" s="30"/>
      <c r="X548" s="30"/>
      <c r="Y548" s="30"/>
      <c r="Z548" s="30"/>
      <c r="AA548" s="30"/>
      <c r="AB548" s="29"/>
      <c r="AC548" s="29"/>
      <c r="AD548" s="37">
        <f t="shared" si="112"/>
        <v>28154</v>
      </c>
      <c r="AE548" s="3" t="str">
        <f t="shared" ca="1" si="111"/>
        <v>49 Tahun 7 bulan 3 Hari</v>
      </c>
      <c r="AF548" s="38">
        <f t="shared" si="113"/>
        <v>50072</v>
      </c>
    </row>
    <row r="549" spans="1:32" s="7" customFormat="1" ht="39" customHeight="1" x14ac:dyDescent="0.35">
      <c r="A549" s="26">
        <f t="shared" si="115"/>
        <v>517</v>
      </c>
      <c r="B549" s="27" t="s">
        <v>1545</v>
      </c>
      <c r="C549" s="26"/>
      <c r="D549" s="50" t="s">
        <v>1572</v>
      </c>
      <c r="E549" s="51" t="s">
        <v>1565</v>
      </c>
      <c r="F549" s="24" t="s">
        <v>43</v>
      </c>
      <c r="G549" s="4" t="s">
        <v>1573</v>
      </c>
      <c r="H549" s="36" t="s">
        <v>259</v>
      </c>
      <c r="I549" s="33" t="s">
        <v>46</v>
      </c>
      <c r="J549" s="5">
        <v>45993</v>
      </c>
      <c r="K549" s="3" t="str">
        <f t="shared" ca="1" si="109"/>
        <v xml:space="preserve">0 Tahun 8 bulan </v>
      </c>
      <c r="L549" s="30" t="s">
        <v>200</v>
      </c>
      <c r="M549" s="5" t="s">
        <v>565</v>
      </c>
      <c r="N549" s="3" t="str">
        <f t="shared" ca="1" si="107"/>
        <v xml:space="preserve">5 Tahun 9 bulan </v>
      </c>
      <c r="O549" s="4"/>
      <c r="P549" s="4" t="s">
        <v>35</v>
      </c>
      <c r="Q549" s="4" t="str">
        <f t="shared" si="110"/>
        <v>Perempuan</v>
      </c>
      <c r="R549" s="4">
        <f t="shared" ref="R549:R554" si="122">R548</f>
        <v>1</v>
      </c>
      <c r="S549" s="4" t="str">
        <f t="shared" si="121"/>
        <v>1</v>
      </c>
      <c r="T549" s="4">
        <f t="shared" si="106"/>
        <v>0</v>
      </c>
      <c r="U549" s="29"/>
      <c r="V549" s="30"/>
      <c r="W549" s="30"/>
      <c r="X549" s="30"/>
      <c r="Y549" s="30"/>
      <c r="Z549" s="30"/>
      <c r="AA549" s="30"/>
      <c r="AB549" s="29"/>
      <c r="AC549" s="29"/>
      <c r="AD549" s="37">
        <f t="shared" si="112"/>
        <v>31021</v>
      </c>
      <c r="AE549" s="3" t="str">
        <f t="shared" ca="1" si="111"/>
        <v>41 Tahun 8 bulan 27 Hari</v>
      </c>
      <c r="AF549" s="38">
        <f t="shared" si="113"/>
        <v>52963</v>
      </c>
    </row>
    <row r="550" spans="1:32" s="7" customFormat="1" ht="37.5" customHeight="1" x14ac:dyDescent="0.35">
      <c r="A550" s="26">
        <f t="shared" si="115"/>
        <v>518</v>
      </c>
      <c r="B550" s="27" t="s">
        <v>1545</v>
      </c>
      <c r="C550" s="26"/>
      <c r="D550" s="50" t="s">
        <v>1574</v>
      </c>
      <c r="E550" s="51" t="s">
        <v>1575</v>
      </c>
      <c r="F550" s="24" t="s">
        <v>43</v>
      </c>
      <c r="G550" s="4" t="s">
        <v>1576</v>
      </c>
      <c r="H550" s="36" t="s">
        <v>135</v>
      </c>
      <c r="I550" s="33" t="s">
        <v>1577</v>
      </c>
      <c r="J550" s="5">
        <v>45993</v>
      </c>
      <c r="K550" s="3" t="str">
        <f t="shared" ca="1" si="109"/>
        <v xml:space="preserve">0 Tahun 8 bulan </v>
      </c>
      <c r="L550" s="30" t="s">
        <v>200</v>
      </c>
      <c r="M550" s="5" t="s">
        <v>1578</v>
      </c>
      <c r="N550" s="3" t="str">
        <f t="shared" ca="1" si="107"/>
        <v xml:space="preserve">3 Tahun 2 bulan </v>
      </c>
      <c r="O550" s="4"/>
      <c r="P550" s="4" t="s">
        <v>35</v>
      </c>
      <c r="Q550" s="4" t="str">
        <f t="shared" si="110"/>
        <v>Laki-Laki</v>
      </c>
      <c r="R550" s="4">
        <f t="shared" si="122"/>
        <v>1</v>
      </c>
      <c r="S550" s="4" t="str">
        <f t="shared" si="121"/>
        <v>1</v>
      </c>
      <c r="T550" s="4">
        <f t="shared" si="106"/>
        <v>0</v>
      </c>
      <c r="U550" s="29"/>
      <c r="V550" s="30" t="s">
        <v>50</v>
      </c>
      <c r="W550" s="30"/>
      <c r="X550" s="30"/>
      <c r="Y550" s="30"/>
      <c r="Z550" s="30"/>
      <c r="AA550" s="30"/>
      <c r="AB550" s="29"/>
      <c r="AC550" s="29"/>
      <c r="AD550" s="37">
        <f t="shared" si="112"/>
        <v>29373</v>
      </c>
      <c r="AE550" s="3" t="str">
        <f t="shared" ca="1" si="111"/>
        <v>46 Tahun 3 bulan 0 Hari</v>
      </c>
      <c r="AF550" s="38">
        <f t="shared" si="113"/>
        <v>51318</v>
      </c>
    </row>
    <row r="551" spans="1:32" s="7" customFormat="1" ht="32.15" customHeight="1" x14ac:dyDescent="0.35">
      <c r="A551" s="26">
        <f t="shared" si="115"/>
        <v>519</v>
      </c>
      <c r="B551" s="27" t="s">
        <v>1545</v>
      </c>
      <c r="C551" s="26"/>
      <c r="D551" s="50" t="s">
        <v>1551</v>
      </c>
      <c r="E551" s="24" t="s">
        <v>108</v>
      </c>
      <c r="F551" s="24"/>
      <c r="G551" s="3"/>
      <c r="H551" s="4"/>
      <c r="I551" s="33"/>
      <c r="J551" s="49"/>
      <c r="K551" s="3" t="str">
        <f t="shared" ca="1" si="109"/>
        <v/>
      </c>
      <c r="L551" s="30" t="s">
        <v>88</v>
      </c>
      <c r="M551" s="49"/>
      <c r="N551" s="3" t="str">
        <f t="shared" ca="1" si="107"/>
        <v/>
      </c>
      <c r="O551" s="4"/>
      <c r="P551" s="4"/>
      <c r="Q551" s="4" t="str">
        <f t="shared" si="110"/>
        <v/>
      </c>
      <c r="R551" s="4">
        <f t="shared" si="122"/>
        <v>1</v>
      </c>
      <c r="S551" s="4" t="str">
        <f t="shared" si="121"/>
        <v>0</v>
      </c>
      <c r="T551" s="4">
        <f t="shared" si="106"/>
        <v>1</v>
      </c>
      <c r="U551" s="29"/>
      <c r="V551" s="30" t="s">
        <v>50</v>
      </c>
      <c r="W551" s="30"/>
      <c r="X551" s="30"/>
      <c r="Y551" s="30"/>
      <c r="Z551" s="30"/>
      <c r="AA551" s="30"/>
      <c r="AB551" s="29"/>
      <c r="AC551" s="29"/>
      <c r="AD551" s="37" t="str">
        <f t="shared" si="112"/>
        <v/>
      </c>
      <c r="AE551" s="3" t="str">
        <f t="shared" ca="1" si="111"/>
        <v/>
      </c>
      <c r="AF551" s="38" t="str">
        <f t="shared" si="113"/>
        <v/>
      </c>
    </row>
    <row r="552" spans="1:32" s="7" customFormat="1" ht="32.15" customHeight="1" x14ac:dyDescent="0.35">
      <c r="A552" s="26">
        <f t="shared" si="115"/>
        <v>520</v>
      </c>
      <c r="B552" s="27" t="s">
        <v>1545</v>
      </c>
      <c r="C552" s="256" t="s">
        <v>1579</v>
      </c>
      <c r="D552" s="257"/>
      <c r="E552" s="24" t="s">
        <v>1580</v>
      </c>
      <c r="F552" s="24" t="s">
        <v>43</v>
      </c>
      <c r="G552" s="4" t="s">
        <v>1581</v>
      </c>
      <c r="H552" s="4" t="s">
        <v>1063</v>
      </c>
      <c r="I552" s="4" t="s">
        <v>46</v>
      </c>
      <c r="J552" s="5">
        <v>45916</v>
      </c>
      <c r="K552" s="3" t="str">
        <f t="shared" ca="1" si="109"/>
        <v xml:space="preserve">0 Tahun 11 bulan </v>
      </c>
      <c r="L552" s="30" t="s">
        <v>346</v>
      </c>
      <c r="M552" s="5">
        <v>45916</v>
      </c>
      <c r="N552" s="3" t="str">
        <f t="shared" ca="1" si="107"/>
        <v xml:space="preserve">0 Tahun 11 bulan </v>
      </c>
      <c r="O552" s="35"/>
      <c r="P552" s="25">
        <f t="shared" ref="P552" si="123">P234</f>
        <v>0</v>
      </c>
      <c r="Q552" s="4" t="str">
        <f t="shared" si="110"/>
        <v>Perempuan</v>
      </c>
      <c r="R552" s="4">
        <f t="shared" si="122"/>
        <v>1</v>
      </c>
      <c r="S552" s="4" t="str">
        <f t="shared" si="121"/>
        <v>1</v>
      </c>
      <c r="T552" s="4">
        <f t="shared" si="106"/>
        <v>0</v>
      </c>
      <c r="U552" s="29"/>
      <c r="V552" s="30" t="s">
        <v>50</v>
      </c>
      <c r="W552" s="30"/>
      <c r="X552" s="30"/>
      <c r="Y552" s="30"/>
      <c r="Z552" s="30"/>
      <c r="AA552" s="30"/>
      <c r="AB552" s="29"/>
      <c r="AC552" s="29"/>
      <c r="AD552" s="37">
        <f t="shared" si="112"/>
        <v>27421</v>
      </c>
      <c r="AE552" s="3" t="str">
        <f t="shared" ca="1" si="111"/>
        <v>51 Tahun 7 bulan 5 Hari</v>
      </c>
      <c r="AF552" s="38">
        <f t="shared" si="113"/>
        <v>49341</v>
      </c>
    </row>
    <row r="553" spans="1:32" s="7" customFormat="1" ht="39.75" customHeight="1" x14ac:dyDescent="0.35">
      <c r="A553" s="26">
        <f t="shared" si="115"/>
        <v>521</v>
      </c>
      <c r="B553" s="27" t="s">
        <v>1545</v>
      </c>
      <c r="C553" s="26"/>
      <c r="D553" s="50" t="s">
        <v>1582</v>
      </c>
      <c r="E553" s="51" t="s">
        <v>3090</v>
      </c>
      <c r="F553" s="51" t="s">
        <v>43</v>
      </c>
      <c r="G553" s="4" t="s">
        <v>3091</v>
      </c>
      <c r="H553" s="4" t="s">
        <v>3092</v>
      </c>
      <c r="I553" s="33"/>
      <c r="J553" s="5">
        <v>46260</v>
      </c>
      <c r="K553" s="3" t="str">
        <f t="shared" ca="1" si="109"/>
        <v xml:space="preserve">0 Tahun 0 bulan </v>
      </c>
      <c r="L553" s="30" t="s">
        <v>200</v>
      </c>
      <c r="M553" s="5">
        <v>46260</v>
      </c>
      <c r="N553" s="3" t="str">
        <f t="shared" ca="1" si="107"/>
        <v xml:space="preserve">0 Tahun 0 bulan </v>
      </c>
      <c r="O553" s="4"/>
      <c r="P553" s="4" t="s">
        <v>35</v>
      </c>
      <c r="Q553" s="4" t="str">
        <f t="shared" si="110"/>
        <v>Laki-Laki</v>
      </c>
      <c r="R553" s="4">
        <f t="shared" si="122"/>
        <v>1</v>
      </c>
      <c r="S553" s="4" t="str">
        <f t="shared" si="121"/>
        <v>1</v>
      </c>
      <c r="T553" s="4">
        <f t="shared" si="106"/>
        <v>0</v>
      </c>
      <c r="U553" s="29"/>
      <c r="V553" s="30"/>
      <c r="W553" s="30"/>
      <c r="X553" s="30"/>
      <c r="Y553" s="30"/>
      <c r="Z553" s="30"/>
      <c r="AA553" s="30"/>
      <c r="AB553" s="29"/>
      <c r="AC553" s="29"/>
      <c r="AD553" s="37">
        <f t="shared" si="112"/>
        <v>34580</v>
      </c>
      <c r="AE553" s="3" t="str">
        <f t="shared" ca="1" si="111"/>
        <v>31 Tahun 11 bulan 29 Hari</v>
      </c>
      <c r="AF553" s="38">
        <f t="shared" si="113"/>
        <v>56523</v>
      </c>
    </row>
    <row r="554" spans="1:32" s="7" customFormat="1" ht="40.5" customHeight="1" x14ac:dyDescent="0.35">
      <c r="A554" s="26">
        <f t="shared" si="115"/>
        <v>522</v>
      </c>
      <c r="B554" s="27" t="s">
        <v>1545</v>
      </c>
      <c r="C554" s="26"/>
      <c r="D554" s="50" t="s">
        <v>1584</v>
      </c>
      <c r="E554" s="51" t="s">
        <v>848</v>
      </c>
      <c r="F554" s="51" t="s">
        <v>43</v>
      </c>
      <c r="G554" s="52" t="s">
        <v>849</v>
      </c>
      <c r="H554" s="4" t="s">
        <v>106</v>
      </c>
      <c r="I554" s="33" t="s">
        <v>2910</v>
      </c>
      <c r="J554" s="5">
        <v>46087</v>
      </c>
      <c r="K554" s="3" t="str">
        <f t="shared" ca="1" si="109"/>
        <v xml:space="preserve">0 Tahun 5 bulan </v>
      </c>
      <c r="L554" s="30" t="s">
        <v>200</v>
      </c>
      <c r="M554" s="5">
        <v>46087</v>
      </c>
      <c r="N554" s="3" t="str">
        <f t="shared" ca="1" si="107"/>
        <v xml:space="preserve">0 Tahun 5 bulan </v>
      </c>
      <c r="O554" s="4"/>
      <c r="P554" s="4" t="s">
        <v>35</v>
      </c>
      <c r="Q554" s="4" t="str">
        <f t="shared" si="110"/>
        <v>Laki-Laki</v>
      </c>
      <c r="R554" s="4">
        <f t="shared" si="122"/>
        <v>1</v>
      </c>
      <c r="S554" s="4" t="str">
        <f t="shared" si="121"/>
        <v>1</v>
      </c>
      <c r="T554" s="4">
        <f t="shared" si="106"/>
        <v>0</v>
      </c>
      <c r="U554" s="29"/>
      <c r="V554" s="30"/>
      <c r="W554" s="30"/>
      <c r="X554" s="30"/>
      <c r="Y554" s="30"/>
      <c r="Z554" s="30"/>
      <c r="AA554" s="30"/>
      <c r="AB554" s="29"/>
      <c r="AC554" s="29"/>
      <c r="AD554" s="37">
        <f t="shared" si="112"/>
        <v>29282</v>
      </c>
      <c r="AE554" s="3" t="str">
        <f t="shared" ca="1" si="111"/>
        <v>46 Tahun 5 bulan 30 Hari</v>
      </c>
      <c r="AF554" s="38">
        <f t="shared" si="113"/>
        <v>51227</v>
      </c>
    </row>
    <row r="555" spans="1:32" s="7" customFormat="1" ht="32.15" customHeight="1" x14ac:dyDescent="0.35">
      <c r="A555" s="26">
        <f t="shared" si="115"/>
        <v>523</v>
      </c>
      <c r="B555" s="27" t="s">
        <v>1545</v>
      </c>
      <c r="C555" s="26"/>
      <c r="D555" s="50" t="s">
        <v>1551</v>
      </c>
      <c r="E555" s="24" t="s">
        <v>108</v>
      </c>
      <c r="F555" s="24"/>
      <c r="G555" s="4"/>
      <c r="H555" s="4"/>
      <c r="I555" s="33"/>
      <c r="J555" s="49"/>
      <c r="K555" s="3" t="str">
        <f t="shared" ca="1" si="109"/>
        <v/>
      </c>
      <c r="L555" s="30" t="s">
        <v>88</v>
      </c>
      <c r="M555" s="49"/>
      <c r="N555" s="3" t="str">
        <f t="shared" ca="1" si="107"/>
        <v/>
      </c>
      <c r="O555" s="4"/>
      <c r="P555" s="4"/>
      <c r="Q555" s="4" t="str">
        <f t="shared" si="110"/>
        <v/>
      </c>
      <c r="R555" s="4">
        <f t="shared" si="119"/>
        <v>1</v>
      </c>
      <c r="S555" s="4" t="str">
        <f t="shared" si="121"/>
        <v>0</v>
      </c>
      <c r="T555" s="4">
        <f t="shared" si="106"/>
        <v>1</v>
      </c>
      <c r="U555" s="29"/>
      <c r="V555" s="30" t="s">
        <v>50</v>
      </c>
      <c r="W555" s="30"/>
      <c r="X555" s="30"/>
      <c r="Y555" s="30"/>
      <c r="Z555" s="30"/>
      <c r="AA555" s="30"/>
      <c r="AB555" s="29"/>
      <c r="AC555" s="29"/>
      <c r="AD555" s="37" t="str">
        <f t="shared" si="112"/>
        <v/>
      </c>
      <c r="AE555" s="3" t="str">
        <f t="shared" ca="1" si="111"/>
        <v/>
      </c>
      <c r="AF555" s="38" t="str">
        <f t="shared" si="113"/>
        <v/>
      </c>
    </row>
    <row r="556" spans="1:32" s="7" customFormat="1" ht="32.15" customHeight="1" x14ac:dyDescent="0.35">
      <c r="A556" s="26"/>
      <c r="B556" s="27" t="s">
        <v>1587</v>
      </c>
      <c r="C556" s="269" t="s">
        <v>1588</v>
      </c>
      <c r="D556" s="270"/>
      <c r="E556" s="24"/>
      <c r="F556" s="24"/>
      <c r="G556" s="4"/>
      <c r="H556" s="4"/>
      <c r="I556" s="33"/>
      <c r="J556" s="5"/>
      <c r="K556" s="3" t="str">
        <f t="shared" ca="1" si="109"/>
        <v/>
      </c>
      <c r="L556" s="30"/>
      <c r="M556" s="5"/>
      <c r="N556" s="3" t="str">
        <f t="shared" ca="1" si="107"/>
        <v/>
      </c>
      <c r="O556" s="4"/>
      <c r="P556" s="4"/>
      <c r="Q556" s="4"/>
      <c r="R556" s="4"/>
      <c r="S556" s="4"/>
      <c r="T556" s="4"/>
      <c r="U556" s="29"/>
      <c r="V556" s="30"/>
      <c r="W556" s="30"/>
      <c r="X556" s="30"/>
      <c r="Y556" s="30"/>
      <c r="Z556" s="29"/>
      <c r="AA556" s="29"/>
      <c r="AB556" s="29"/>
      <c r="AC556" s="29"/>
      <c r="AD556" s="37" t="str">
        <f t="shared" si="112"/>
        <v/>
      </c>
      <c r="AE556" s="3" t="str">
        <f t="shared" ca="1" si="111"/>
        <v/>
      </c>
      <c r="AF556" s="38" t="str">
        <f t="shared" si="113"/>
        <v/>
      </c>
    </row>
    <row r="557" spans="1:32" s="7" customFormat="1" ht="32.15" customHeight="1" x14ac:dyDescent="0.35">
      <c r="A557" s="26">
        <f>A555+1</f>
        <v>524</v>
      </c>
      <c r="B557" s="27" t="s">
        <v>1587</v>
      </c>
      <c r="C557" s="278" t="s">
        <v>1589</v>
      </c>
      <c r="D557" s="279"/>
      <c r="E557" s="24" t="s">
        <v>2868</v>
      </c>
      <c r="F557" s="24" t="s">
        <v>43</v>
      </c>
      <c r="G557" s="3" t="s">
        <v>2869</v>
      </c>
      <c r="H557" s="4" t="s">
        <v>2922</v>
      </c>
      <c r="I557" s="33" t="s">
        <v>2923</v>
      </c>
      <c r="J557" s="5">
        <v>46087</v>
      </c>
      <c r="K557" s="3" t="str">
        <f t="shared" ca="1" si="109"/>
        <v xml:space="preserve">0 Tahun 5 bulan </v>
      </c>
      <c r="L557" s="30" t="s">
        <v>56</v>
      </c>
      <c r="M557" s="5">
        <v>46087</v>
      </c>
      <c r="N557" s="3" t="str">
        <f t="shared" ca="1" si="107"/>
        <v xml:space="preserve">0 Tahun 5 bulan </v>
      </c>
      <c r="O557" s="4" t="s">
        <v>81</v>
      </c>
      <c r="P557" s="4" t="s">
        <v>35</v>
      </c>
      <c r="Q557" s="4" t="str">
        <f t="shared" si="110"/>
        <v>Laki-Laki</v>
      </c>
      <c r="R557" s="4">
        <f>R547</f>
        <v>1</v>
      </c>
      <c r="S557" s="4" t="str">
        <f t="shared" ref="S557:S571" si="124">IF(E557="LOWONG","0","1")</f>
        <v>1</v>
      </c>
      <c r="T557" s="4">
        <f t="shared" si="106"/>
        <v>0</v>
      </c>
      <c r="U557" s="107" t="s">
        <v>32</v>
      </c>
      <c r="V557" s="30" t="s">
        <v>50</v>
      </c>
      <c r="W557" s="65">
        <v>86.17</v>
      </c>
      <c r="X557" s="30">
        <f>30/32*100</f>
        <v>93.75</v>
      </c>
      <c r="Y557" s="30">
        <f>3/4*100</f>
        <v>75</v>
      </c>
      <c r="Z557" s="25" t="s">
        <v>1590</v>
      </c>
      <c r="AA557" s="30">
        <v>2022</v>
      </c>
      <c r="AB557" s="35" t="s">
        <v>1591</v>
      </c>
      <c r="AC557" s="35"/>
      <c r="AD557" s="37">
        <f t="shared" si="112"/>
        <v>27491</v>
      </c>
      <c r="AE557" s="3" t="str">
        <f t="shared" ca="1" si="111"/>
        <v>51 Tahun 4 bulan 25 Hari</v>
      </c>
      <c r="AF557" s="38">
        <f t="shared" si="113"/>
        <v>49430</v>
      </c>
    </row>
    <row r="558" spans="1:32" s="7" customFormat="1" ht="32.15" customHeight="1" x14ac:dyDescent="0.35">
      <c r="A558" s="26">
        <f t="shared" si="115"/>
        <v>525</v>
      </c>
      <c r="B558" s="27" t="s">
        <v>1587</v>
      </c>
      <c r="C558" s="256" t="s">
        <v>1592</v>
      </c>
      <c r="D558" s="257"/>
      <c r="E558" s="24" t="s">
        <v>3023</v>
      </c>
      <c r="F558" s="24" t="s">
        <v>43</v>
      </c>
      <c r="G558" s="3" t="s">
        <v>1593</v>
      </c>
      <c r="H558" s="4" t="s">
        <v>887</v>
      </c>
      <c r="I558" s="4" t="s">
        <v>1594</v>
      </c>
      <c r="J558" s="5">
        <v>45916</v>
      </c>
      <c r="K558" s="3" t="str">
        <f t="shared" ca="1" si="109"/>
        <v xml:space="preserve">0 Tahun 11 bulan </v>
      </c>
      <c r="L558" s="30" t="s">
        <v>79</v>
      </c>
      <c r="M558" s="5">
        <v>45916</v>
      </c>
      <c r="N558" s="3" t="str">
        <f t="shared" ca="1" si="107"/>
        <v xml:space="preserve">0 Tahun 11 bulan </v>
      </c>
      <c r="O558" s="4"/>
      <c r="P558" s="4" t="s">
        <v>35</v>
      </c>
      <c r="Q558" s="4" t="s">
        <v>591</v>
      </c>
      <c r="R558" s="4">
        <f t="shared" si="119"/>
        <v>1</v>
      </c>
      <c r="S558" s="4" t="str">
        <f t="shared" si="124"/>
        <v>1</v>
      </c>
      <c r="T558" s="4">
        <f t="shared" si="106"/>
        <v>0</v>
      </c>
      <c r="U558" s="29"/>
      <c r="V558" s="30" t="s">
        <v>50</v>
      </c>
      <c r="W558" s="30"/>
      <c r="X558" s="30"/>
      <c r="Y558" s="30"/>
      <c r="Z558" s="30"/>
      <c r="AA558" s="30"/>
      <c r="AB558" s="29"/>
      <c r="AC558" s="29"/>
      <c r="AD558" s="37">
        <f t="shared" si="112"/>
        <v>30667</v>
      </c>
      <c r="AE558" s="3" t="str">
        <f t="shared" ca="1" si="111"/>
        <v>42 Tahun 8 bulan 15 Hari</v>
      </c>
      <c r="AF558" s="38">
        <f t="shared" si="113"/>
        <v>52597</v>
      </c>
    </row>
    <row r="559" spans="1:32" s="7" customFormat="1" ht="32.15" customHeight="1" x14ac:dyDescent="0.35">
      <c r="A559" s="26">
        <f t="shared" si="115"/>
        <v>526</v>
      </c>
      <c r="B559" s="27" t="s">
        <v>1587</v>
      </c>
      <c r="C559" s="26"/>
      <c r="D559" s="50" t="s">
        <v>1595</v>
      </c>
      <c r="E559" s="51" t="s">
        <v>1596</v>
      </c>
      <c r="F559" s="24" t="s">
        <v>43</v>
      </c>
      <c r="G559" s="66" t="s">
        <v>1597</v>
      </c>
      <c r="H559" s="4" t="s">
        <v>1598</v>
      </c>
      <c r="I559" s="33" t="s">
        <v>107</v>
      </c>
      <c r="J559" s="5" t="s">
        <v>338</v>
      </c>
      <c r="K559" s="3" t="str">
        <f t="shared" ca="1" si="109"/>
        <v xml:space="preserve">2 Tahun 11 bulan </v>
      </c>
      <c r="L559" s="30" t="s">
        <v>200</v>
      </c>
      <c r="M559" s="5" t="s">
        <v>338</v>
      </c>
      <c r="N559" s="3" t="str">
        <f t="shared" ref="N559:N622" ca="1" si="125">IF(M559="","",CONCATENATE(DATEDIF(M559,NOW(),"Y")," Tahun ",DATEDIF(M559,NOW(),"YM")," bulan "))</f>
        <v xml:space="preserve">2 Tahun 11 bulan </v>
      </c>
      <c r="O559" s="4"/>
      <c r="P559" s="4" t="s">
        <v>35</v>
      </c>
      <c r="Q559" s="4" t="str">
        <f t="shared" si="110"/>
        <v>Perempuan</v>
      </c>
      <c r="R559" s="4">
        <f t="shared" si="119"/>
        <v>1</v>
      </c>
      <c r="S559" s="4" t="str">
        <f t="shared" si="124"/>
        <v>1</v>
      </c>
      <c r="T559" s="4">
        <f t="shared" si="106"/>
        <v>0</v>
      </c>
      <c r="U559" s="29"/>
      <c r="V559" s="30"/>
      <c r="W559" s="30"/>
      <c r="X559" s="30"/>
      <c r="Y559" s="30"/>
      <c r="Z559" s="30"/>
      <c r="AA559" s="30"/>
      <c r="AB559" s="29"/>
      <c r="AC559" s="29"/>
      <c r="AD559" s="37">
        <f t="shared" si="112"/>
        <v>31360</v>
      </c>
      <c r="AE559" s="3" t="str">
        <f t="shared" ca="1" si="111"/>
        <v>40 Tahun 9 bulan 23 Hari</v>
      </c>
      <c r="AF559" s="38">
        <f t="shared" si="113"/>
        <v>53297</v>
      </c>
    </row>
    <row r="560" spans="1:32" s="7" customFormat="1" ht="37.5" customHeight="1" x14ac:dyDescent="0.35">
      <c r="A560" s="26">
        <f t="shared" si="115"/>
        <v>527</v>
      </c>
      <c r="B560" s="27" t="s">
        <v>1587</v>
      </c>
      <c r="C560" s="26"/>
      <c r="D560" s="50" t="s">
        <v>1599</v>
      </c>
      <c r="E560" s="24" t="s">
        <v>1600</v>
      </c>
      <c r="F560" s="24" t="s">
        <v>43</v>
      </c>
      <c r="G560" s="5" t="s">
        <v>1601</v>
      </c>
      <c r="H560" s="36" t="s">
        <v>85</v>
      </c>
      <c r="I560" s="36" t="s">
        <v>86</v>
      </c>
      <c r="J560" s="5" t="s">
        <v>386</v>
      </c>
      <c r="K560" s="3" t="str">
        <f t="shared" ca="1" si="109"/>
        <v xml:space="preserve">5 Tahun 5 bulan </v>
      </c>
      <c r="L560" s="30" t="s">
        <v>200</v>
      </c>
      <c r="M560" s="5" t="s">
        <v>386</v>
      </c>
      <c r="N560" s="3" t="str">
        <f t="shared" ca="1" si="125"/>
        <v xml:space="preserve">5 Tahun 5 bulan </v>
      </c>
      <c r="O560" s="4"/>
      <c r="P560" s="4" t="s">
        <v>35</v>
      </c>
      <c r="Q560" s="4" t="str">
        <f t="shared" si="110"/>
        <v>Laki-Laki</v>
      </c>
      <c r="R560" s="4">
        <f t="shared" si="119"/>
        <v>1</v>
      </c>
      <c r="S560" s="4" t="str">
        <f t="shared" si="124"/>
        <v>1</v>
      </c>
      <c r="T560" s="4">
        <f t="shared" si="106"/>
        <v>0</v>
      </c>
      <c r="U560" s="29"/>
      <c r="V560" s="30" t="s">
        <v>50</v>
      </c>
      <c r="W560" s="30"/>
      <c r="X560" s="30"/>
      <c r="Y560" s="30"/>
      <c r="Z560" s="30"/>
      <c r="AA560" s="30"/>
      <c r="AB560" s="29"/>
      <c r="AC560" s="29"/>
      <c r="AD560" s="37">
        <f t="shared" si="112"/>
        <v>27572</v>
      </c>
      <c r="AE560" s="3" t="str">
        <f t="shared" ca="1" si="111"/>
        <v>51 Tahun 2 bulan 5 Hari</v>
      </c>
      <c r="AF560" s="38">
        <f t="shared" si="113"/>
        <v>49491</v>
      </c>
    </row>
    <row r="561" spans="1:32" s="7" customFormat="1" ht="32.15" customHeight="1" x14ac:dyDescent="0.35">
      <c r="A561" s="26">
        <f t="shared" si="115"/>
        <v>528</v>
      </c>
      <c r="B561" s="27" t="s">
        <v>1587</v>
      </c>
      <c r="C561" s="256" t="s">
        <v>1602</v>
      </c>
      <c r="D561" s="257"/>
      <c r="E561" s="24" t="s">
        <v>1603</v>
      </c>
      <c r="F561" s="24" t="s">
        <v>43</v>
      </c>
      <c r="G561" s="4" t="s">
        <v>1604</v>
      </c>
      <c r="H561" s="4" t="s">
        <v>188</v>
      </c>
      <c r="I561" s="41" t="s">
        <v>46</v>
      </c>
      <c r="J561" s="5" t="s">
        <v>275</v>
      </c>
      <c r="K561" s="3" t="str">
        <f t="shared" ca="1" si="109"/>
        <v xml:space="preserve">5 Tahun 10 bulan </v>
      </c>
      <c r="L561" s="30" t="s">
        <v>346</v>
      </c>
      <c r="M561" s="5" t="s">
        <v>275</v>
      </c>
      <c r="N561" s="3" t="str">
        <f t="shared" ca="1" si="125"/>
        <v xml:space="preserve">5 Tahun 10 bulan </v>
      </c>
      <c r="O561" s="4"/>
      <c r="P561" s="4" t="s">
        <v>35</v>
      </c>
      <c r="Q561" s="4" t="str">
        <f t="shared" si="110"/>
        <v>Laki-Laki</v>
      </c>
      <c r="R561" s="4">
        <f t="shared" si="119"/>
        <v>1</v>
      </c>
      <c r="S561" s="4" t="str">
        <f t="shared" si="124"/>
        <v>1</v>
      </c>
      <c r="T561" s="4">
        <f t="shared" si="106"/>
        <v>0</v>
      </c>
      <c r="U561" s="29"/>
      <c r="V561" s="30" t="s">
        <v>50</v>
      </c>
      <c r="W561" s="30"/>
      <c r="X561" s="30"/>
      <c r="Y561" s="30"/>
      <c r="Z561" s="30"/>
      <c r="AA561" s="30"/>
      <c r="AB561" s="29"/>
      <c r="AC561" s="29"/>
      <c r="AD561" s="37">
        <f t="shared" si="112"/>
        <v>29138</v>
      </c>
      <c r="AE561" s="3" t="str">
        <f t="shared" ca="1" si="111"/>
        <v>46 Tahun 10 bulan 22 Hari</v>
      </c>
      <c r="AF561" s="38">
        <f t="shared" si="113"/>
        <v>51075</v>
      </c>
    </row>
    <row r="562" spans="1:32" s="7" customFormat="1" ht="40.5" customHeight="1" x14ac:dyDescent="0.35">
      <c r="A562" s="26">
        <f t="shared" si="115"/>
        <v>529</v>
      </c>
      <c r="B562" s="27" t="s">
        <v>1587</v>
      </c>
      <c r="C562" s="26"/>
      <c r="D562" s="50" t="s">
        <v>1605</v>
      </c>
      <c r="E562" s="24" t="s">
        <v>1606</v>
      </c>
      <c r="F562" s="24" t="s">
        <v>43</v>
      </c>
      <c r="G562" s="3" t="s">
        <v>1607</v>
      </c>
      <c r="H562" s="4" t="s">
        <v>192</v>
      </c>
      <c r="I562" s="33" t="s">
        <v>107</v>
      </c>
      <c r="J562" s="5" t="s">
        <v>87</v>
      </c>
      <c r="K562" s="3" t="str">
        <f t="shared" ca="1" si="109"/>
        <v xml:space="preserve">4 Tahun 8 bulan </v>
      </c>
      <c r="L562" s="30" t="s">
        <v>88</v>
      </c>
      <c r="M562" s="5" t="s">
        <v>87</v>
      </c>
      <c r="N562" s="3" t="str">
        <f t="shared" ca="1" si="125"/>
        <v xml:space="preserve">4 Tahun 8 bulan </v>
      </c>
      <c r="O562" s="4"/>
      <c r="P562" s="4" t="s">
        <v>35</v>
      </c>
      <c r="Q562" s="4" t="str">
        <f t="shared" si="110"/>
        <v/>
      </c>
      <c r="R562" s="4">
        <f t="shared" si="119"/>
        <v>1</v>
      </c>
      <c r="S562" s="4" t="str">
        <f t="shared" si="124"/>
        <v>1</v>
      </c>
      <c r="T562" s="4">
        <f t="shared" si="106"/>
        <v>0</v>
      </c>
      <c r="U562" s="29"/>
      <c r="V562" s="30" t="s">
        <v>50</v>
      </c>
      <c r="W562" s="30"/>
      <c r="X562" s="30"/>
      <c r="Y562" s="30"/>
      <c r="Z562" s="30"/>
      <c r="AA562" s="30"/>
      <c r="AB562" s="29"/>
      <c r="AC562" s="29"/>
      <c r="AD562" s="37" t="e">
        <f t="shared" si="112"/>
        <v>#VALUE!</v>
      </c>
      <c r="AE562" s="3" t="e">
        <f t="shared" ca="1" si="111"/>
        <v>#VALUE!</v>
      </c>
      <c r="AF562" s="38" t="e">
        <f t="shared" si="113"/>
        <v>#VALUE!</v>
      </c>
    </row>
    <row r="563" spans="1:32" s="7" customFormat="1" ht="43.5" customHeight="1" x14ac:dyDescent="0.35">
      <c r="A563" s="26">
        <f t="shared" si="115"/>
        <v>530</v>
      </c>
      <c r="B563" s="27" t="s">
        <v>1587</v>
      </c>
      <c r="C563" s="26"/>
      <c r="D563" s="50" t="s">
        <v>1605</v>
      </c>
      <c r="E563" s="24" t="s">
        <v>1608</v>
      </c>
      <c r="F563" s="24" t="s">
        <v>43</v>
      </c>
      <c r="G563" s="3" t="s">
        <v>1609</v>
      </c>
      <c r="H563" s="36" t="s">
        <v>574</v>
      </c>
      <c r="I563" s="33" t="s">
        <v>86</v>
      </c>
      <c r="J563" s="5" t="s">
        <v>87</v>
      </c>
      <c r="K563" s="3" t="str">
        <f t="shared" ca="1" si="109"/>
        <v xml:space="preserve">4 Tahun 8 bulan </v>
      </c>
      <c r="L563" s="30" t="s">
        <v>88</v>
      </c>
      <c r="M563" s="5" t="s">
        <v>87</v>
      </c>
      <c r="N563" s="3" t="str">
        <f t="shared" ca="1" si="125"/>
        <v xml:space="preserve">4 Tahun 8 bulan </v>
      </c>
      <c r="O563" s="4"/>
      <c r="P563" s="4" t="s">
        <v>35</v>
      </c>
      <c r="Q563" s="4" t="str">
        <f t="shared" si="110"/>
        <v>Laki-Laki</v>
      </c>
      <c r="R563" s="4">
        <f t="shared" si="119"/>
        <v>1</v>
      </c>
      <c r="S563" s="4" t="str">
        <f t="shared" si="124"/>
        <v>1</v>
      </c>
      <c r="T563" s="4">
        <f t="shared" si="106"/>
        <v>0</v>
      </c>
      <c r="U563" s="29"/>
      <c r="V563" s="30" t="s">
        <v>50</v>
      </c>
      <c r="W563" s="30"/>
      <c r="X563" s="30"/>
      <c r="Y563" s="30"/>
      <c r="Z563" s="30"/>
      <c r="AA563" s="30"/>
      <c r="AB563" s="29"/>
      <c r="AC563" s="29"/>
      <c r="AD563" s="37">
        <f t="shared" si="112"/>
        <v>31581</v>
      </c>
      <c r="AE563" s="3" t="str">
        <f t="shared" ca="1" si="111"/>
        <v>40 Tahun 2 bulan 14 Hari</v>
      </c>
      <c r="AF563" s="38">
        <f t="shared" si="113"/>
        <v>53509</v>
      </c>
    </row>
    <row r="564" spans="1:32" s="7" customFormat="1" ht="39.75" customHeight="1" x14ac:dyDescent="0.35">
      <c r="A564" s="26">
        <f t="shared" si="115"/>
        <v>531</v>
      </c>
      <c r="B564" s="27" t="s">
        <v>1587</v>
      </c>
      <c r="C564" s="26"/>
      <c r="D564" s="50" t="s">
        <v>1610</v>
      </c>
      <c r="E564" s="39" t="s">
        <v>1611</v>
      </c>
      <c r="F564" s="24" t="s">
        <v>43</v>
      </c>
      <c r="G564" s="25" t="s">
        <v>1612</v>
      </c>
      <c r="H564" s="36" t="s">
        <v>241</v>
      </c>
      <c r="I564" s="25" t="s">
        <v>46</v>
      </c>
      <c r="J564" s="5" t="s">
        <v>87</v>
      </c>
      <c r="K564" s="3" t="str">
        <f t="shared" ca="1" si="109"/>
        <v xml:space="preserve">4 Tahun 8 bulan </v>
      </c>
      <c r="L564" s="30" t="s">
        <v>88</v>
      </c>
      <c r="M564" s="5" t="s">
        <v>87</v>
      </c>
      <c r="N564" s="3" t="str">
        <f t="shared" ca="1" si="125"/>
        <v xml:space="preserve">4 Tahun 8 bulan </v>
      </c>
      <c r="O564" s="35"/>
      <c r="P564" s="4" t="s">
        <v>35</v>
      </c>
      <c r="Q564" s="4" t="str">
        <f t="shared" si="110"/>
        <v>Laki-Laki</v>
      </c>
      <c r="R564" s="4">
        <f t="shared" si="119"/>
        <v>1</v>
      </c>
      <c r="S564" s="4" t="str">
        <f t="shared" si="124"/>
        <v>1</v>
      </c>
      <c r="T564" s="4">
        <f t="shared" si="106"/>
        <v>0</v>
      </c>
      <c r="U564" s="29"/>
      <c r="V564" s="30" t="s">
        <v>50</v>
      </c>
      <c r="W564" s="30"/>
      <c r="X564" s="30"/>
      <c r="Y564" s="30"/>
      <c r="Z564" s="30"/>
      <c r="AA564" s="30"/>
      <c r="AB564" s="29"/>
      <c r="AC564" s="29"/>
      <c r="AD564" s="37">
        <f t="shared" si="112"/>
        <v>29787</v>
      </c>
      <c r="AE564" s="3" t="str">
        <f t="shared" ca="1" si="111"/>
        <v>45 Tahun 1 bulan 12 Hari</v>
      </c>
      <c r="AF564" s="38">
        <f t="shared" si="113"/>
        <v>51714</v>
      </c>
    </row>
    <row r="565" spans="1:32" s="7" customFormat="1" ht="32.15" customHeight="1" x14ac:dyDescent="0.35">
      <c r="A565" s="26">
        <f t="shared" si="115"/>
        <v>532</v>
      </c>
      <c r="B565" s="27" t="s">
        <v>1587</v>
      </c>
      <c r="C565" s="256" t="s">
        <v>1613</v>
      </c>
      <c r="D565" s="257"/>
      <c r="E565" s="24" t="s">
        <v>1617</v>
      </c>
      <c r="F565" s="24" t="s">
        <v>71</v>
      </c>
      <c r="G565" s="3" t="s">
        <v>1618</v>
      </c>
      <c r="H565" s="4" t="s">
        <v>385</v>
      </c>
      <c r="I565" s="25" t="s">
        <v>46</v>
      </c>
      <c r="J565" s="5">
        <v>46260</v>
      </c>
      <c r="K565" s="3" t="str">
        <f t="shared" ca="1" si="109"/>
        <v xml:space="preserve">0 Tahun 0 bulan </v>
      </c>
      <c r="L565" s="30" t="s">
        <v>346</v>
      </c>
      <c r="M565" s="5">
        <v>46260</v>
      </c>
      <c r="N565" s="3" t="str">
        <f t="shared" ca="1" si="125"/>
        <v xml:space="preserve">0 Tahun 0 bulan </v>
      </c>
      <c r="O565" s="4" t="s">
        <v>1616</v>
      </c>
      <c r="P565" s="4" t="s">
        <v>35</v>
      </c>
      <c r="Q565" s="4" t="str">
        <f t="shared" si="110"/>
        <v>Perempuan</v>
      </c>
      <c r="R565" s="4">
        <f t="shared" si="119"/>
        <v>1</v>
      </c>
      <c r="S565" s="4" t="str">
        <f t="shared" si="124"/>
        <v>1</v>
      </c>
      <c r="T565" s="4">
        <f t="shared" si="106"/>
        <v>0</v>
      </c>
      <c r="U565" s="29"/>
      <c r="V565" s="30" t="s">
        <v>50</v>
      </c>
      <c r="W565" s="30"/>
      <c r="X565" s="30"/>
      <c r="Y565" s="30"/>
      <c r="Z565" s="30"/>
      <c r="AA565" s="30"/>
      <c r="AB565" s="29"/>
      <c r="AC565" s="29"/>
      <c r="AD565" s="37">
        <f t="shared" si="112"/>
        <v>28720</v>
      </c>
      <c r="AE565" s="3" t="str">
        <f t="shared" ca="1" si="111"/>
        <v>48 Tahun 0 bulan 14 Hari</v>
      </c>
      <c r="AF565" s="38">
        <f t="shared" si="113"/>
        <v>50649</v>
      </c>
    </row>
    <row r="566" spans="1:32" s="7" customFormat="1" ht="32.15" customHeight="1" x14ac:dyDescent="0.35">
      <c r="A566" s="26">
        <f t="shared" si="115"/>
        <v>533</v>
      </c>
      <c r="B566" s="27" t="s">
        <v>1587</v>
      </c>
      <c r="C566" s="26"/>
      <c r="D566" s="50" t="s">
        <v>1605</v>
      </c>
      <c r="E566" s="39" t="s">
        <v>108</v>
      </c>
      <c r="F566" s="39"/>
      <c r="G566" s="73"/>
      <c r="H566" s="4"/>
      <c r="I566" s="33"/>
      <c r="J566" s="5"/>
      <c r="K566" s="3" t="str">
        <f t="shared" ca="1" si="109"/>
        <v/>
      </c>
      <c r="L566" s="30" t="s">
        <v>88</v>
      </c>
      <c r="M566" s="5"/>
      <c r="N566" s="3" t="str">
        <f t="shared" ca="1" si="125"/>
        <v/>
      </c>
      <c r="O566" s="4"/>
      <c r="P566" s="4"/>
      <c r="Q566" s="4" t="str">
        <f t="shared" si="110"/>
        <v/>
      </c>
      <c r="R566" s="4">
        <f t="shared" si="119"/>
        <v>1</v>
      </c>
      <c r="S566" s="4" t="str">
        <f t="shared" si="124"/>
        <v>0</v>
      </c>
      <c r="T566" s="4">
        <f t="shared" si="106"/>
        <v>1</v>
      </c>
      <c r="U566" s="29"/>
      <c r="V566" s="30"/>
      <c r="W566" s="30"/>
      <c r="X566" s="30"/>
      <c r="Y566" s="30"/>
      <c r="Z566" s="30"/>
      <c r="AA566" s="30"/>
      <c r="AB566" s="29"/>
      <c r="AC566" s="29"/>
      <c r="AD566" s="37" t="str">
        <f t="shared" si="112"/>
        <v/>
      </c>
      <c r="AE566" s="3" t="str">
        <f t="shared" ca="1" si="111"/>
        <v/>
      </c>
      <c r="AF566" s="38" t="str">
        <f t="shared" si="113"/>
        <v/>
      </c>
    </row>
    <row r="567" spans="1:32" s="7" customFormat="1" ht="32.15" customHeight="1" x14ac:dyDescent="0.35">
      <c r="A567" s="26">
        <f t="shared" si="115"/>
        <v>534</v>
      </c>
      <c r="B567" s="27" t="s">
        <v>1587</v>
      </c>
      <c r="C567" s="26"/>
      <c r="D567" s="50" t="s">
        <v>1605</v>
      </c>
      <c r="E567" s="51" t="s">
        <v>1617</v>
      </c>
      <c r="F567" s="24" t="s">
        <v>43</v>
      </c>
      <c r="G567" s="66" t="s">
        <v>1618</v>
      </c>
      <c r="H567" s="4" t="s">
        <v>385</v>
      </c>
      <c r="I567" s="33" t="s">
        <v>46</v>
      </c>
      <c r="J567" s="5">
        <v>44561</v>
      </c>
      <c r="K567" s="3" t="str">
        <f t="shared" ca="1" si="109"/>
        <v xml:space="preserve">4 Tahun 8 bulan </v>
      </c>
      <c r="L567" s="30" t="s">
        <v>88</v>
      </c>
      <c r="M567" s="5">
        <v>44561</v>
      </c>
      <c r="N567" s="3" t="str">
        <f t="shared" ca="1" si="125"/>
        <v xml:space="preserve">4 Tahun 8 bulan </v>
      </c>
      <c r="O567" s="4" t="s">
        <v>1619</v>
      </c>
      <c r="P567" s="4" t="s">
        <v>35</v>
      </c>
      <c r="Q567" s="4" t="str">
        <f t="shared" si="110"/>
        <v>Perempuan</v>
      </c>
      <c r="R567" s="4">
        <f t="shared" si="119"/>
        <v>1</v>
      </c>
      <c r="S567" s="4" t="str">
        <f t="shared" si="124"/>
        <v>1</v>
      </c>
      <c r="T567" s="4">
        <f t="shared" si="106"/>
        <v>0</v>
      </c>
      <c r="U567" s="29"/>
      <c r="V567" s="30"/>
      <c r="W567" s="30"/>
      <c r="X567" s="30"/>
      <c r="Y567" s="30"/>
      <c r="Z567" s="30"/>
      <c r="AA567" s="30"/>
      <c r="AB567" s="29"/>
      <c r="AC567" s="29"/>
      <c r="AD567" s="37">
        <f t="shared" si="112"/>
        <v>28720</v>
      </c>
      <c r="AE567" s="3" t="str">
        <f t="shared" ca="1" si="111"/>
        <v>48 Tahun 0 bulan 14 Hari</v>
      </c>
      <c r="AF567" s="38">
        <f t="shared" si="113"/>
        <v>50649</v>
      </c>
    </row>
    <row r="568" spans="1:32" s="7" customFormat="1" ht="32.15" customHeight="1" x14ac:dyDescent="0.35">
      <c r="A568" s="26">
        <f t="shared" si="115"/>
        <v>535</v>
      </c>
      <c r="B568" s="27" t="s">
        <v>1587</v>
      </c>
      <c r="C568" s="256" t="s">
        <v>1620</v>
      </c>
      <c r="D568" s="257"/>
      <c r="E568" s="24" t="s">
        <v>1621</v>
      </c>
      <c r="F568" s="24" t="s">
        <v>43</v>
      </c>
      <c r="G568" s="3" t="s">
        <v>168</v>
      </c>
      <c r="H568" s="4" t="s">
        <v>135</v>
      </c>
      <c r="I568" s="33" t="s">
        <v>759</v>
      </c>
      <c r="J568" s="5">
        <v>45993</v>
      </c>
      <c r="K568" s="3" t="str">
        <f t="shared" ca="1" si="109"/>
        <v xml:space="preserve">0 Tahun 8 bulan </v>
      </c>
      <c r="L568" s="30" t="s">
        <v>346</v>
      </c>
      <c r="M568" s="5"/>
      <c r="N568" s="3" t="str">
        <f t="shared" ca="1" si="125"/>
        <v/>
      </c>
      <c r="O568" s="4"/>
      <c r="P568" s="4" t="s">
        <v>35</v>
      </c>
      <c r="Q568" s="4" t="str">
        <f t="shared" si="110"/>
        <v>Laki-Laki</v>
      </c>
      <c r="R568" s="4">
        <f t="shared" si="119"/>
        <v>1</v>
      </c>
      <c r="S568" s="4" t="str">
        <f t="shared" si="124"/>
        <v>1</v>
      </c>
      <c r="T568" s="4">
        <f t="shared" si="106"/>
        <v>0</v>
      </c>
      <c r="U568" s="29"/>
      <c r="V568" s="30" t="s">
        <v>50</v>
      </c>
      <c r="W568" s="30"/>
      <c r="X568" s="30"/>
      <c r="Y568" s="30"/>
      <c r="Z568" s="30"/>
      <c r="AA568" s="30"/>
      <c r="AB568" s="29"/>
      <c r="AC568" s="29"/>
      <c r="AD568" s="37">
        <f t="shared" si="112"/>
        <v>29887</v>
      </c>
      <c r="AE568" s="3" t="str">
        <f t="shared" ca="1" si="111"/>
        <v>44 Tahun 10 bulan 4 Hari</v>
      </c>
      <c r="AF568" s="38">
        <f t="shared" si="113"/>
        <v>51806</v>
      </c>
    </row>
    <row r="569" spans="1:32" s="7" customFormat="1" ht="32.15" customHeight="1" x14ac:dyDescent="0.35">
      <c r="A569" s="26">
        <f t="shared" si="115"/>
        <v>536</v>
      </c>
      <c r="B569" s="27" t="s">
        <v>1587</v>
      </c>
      <c r="C569" s="26"/>
      <c r="D569" s="50" t="s">
        <v>1605</v>
      </c>
      <c r="E569" s="24" t="s">
        <v>1622</v>
      </c>
      <c r="F569" s="24" t="s">
        <v>43</v>
      </c>
      <c r="G569" s="3" t="s">
        <v>1623</v>
      </c>
      <c r="H569" s="4" t="s">
        <v>337</v>
      </c>
      <c r="I569" s="33" t="s">
        <v>251</v>
      </c>
      <c r="J569" s="5" t="s">
        <v>87</v>
      </c>
      <c r="K569" s="3" t="str">
        <f t="shared" ca="1" si="109"/>
        <v xml:space="preserve">4 Tahun 8 bulan </v>
      </c>
      <c r="L569" s="30" t="s">
        <v>88</v>
      </c>
      <c r="M569" s="5" t="s">
        <v>87</v>
      </c>
      <c r="N569" s="3" t="str">
        <f t="shared" ca="1" si="125"/>
        <v xml:space="preserve">4 Tahun 8 bulan </v>
      </c>
      <c r="O569" s="4"/>
      <c r="P569" s="4" t="s">
        <v>35</v>
      </c>
      <c r="Q569" s="4" t="str">
        <f t="shared" si="110"/>
        <v>Laki-Laki</v>
      </c>
      <c r="R569" s="4">
        <f t="shared" si="119"/>
        <v>1</v>
      </c>
      <c r="S569" s="4" t="str">
        <f t="shared" si="124"/>
        <v>1</v>
      </c>
      <c r="T569" s="4">
        <f t="shared" si="106"/>
        <v>0</v>
      </c>
      <c r="U569" s="29"/>
      <c r="V569" s="30" t="s">
        <v>50</v>
      </c>
      <c r="W569" s="30"/>
      <c r="X569" s="30"/>
      <c r="Y569" s="30"/>
      <c r="Z569" s="30"/>
      <c r="AA569" s="30"/>
      <c r="AB569" s="29"/>
      <c r="AC569" s="29"/>
      <c r="AD569" s="37">
        <f t="shared" si="112"/>
        <v>29203</v>
      </c>
      <c r="AE569" s="3" t="str">
        <f t="shared" ca="1" si="111"/>
        <v>46 Tahun 8 bulan 18 Hari</v>
      </c>
      <c r="AF569" s="38">
        <f t="shared" si="113"/>
        <v>51136</v>
      </c>
    </row>
    <row r="570" spans="1:32" s="7" customFormat="1" ht="32.15" customHeight="1" x14ac:dyDescent="0.35">
      <c r="A570" s="26">
        <f t="shared" si="115"/>
        <v>537</v>
      </c>
      <c r="B570" s="27" t="s">
        <v>1587</v>
      </c>
      <c r="C570" s="26"/>
      <c r="D570" s="50" t="s">
        <v>1605</v>
      </c>
      <c r="E570" s="51" t="s">
        <v>1624</v>
      </c>
      <c r="F570" s="24" t="s">
        <v>43</v>
      </c>
      <c r="G570" s="66" t="s">
        <v>1625</v>
      </c>
      <c r="H570" s="4" t="s">
        <v>192</v>
      </c>
      <c r="I570" s="33" t="s">
        <v>107</v>
      </c>
      <c r="J570" s="95">
        <v>44561</v>
      </c>
      <c r="K570" s="3" t="str">
        <f t="shared" ca="1" si="109"/>
        <v xml:space="preserve">4 Tahun 8 bulan </v>
      </c>
      <c r="L570" s="30" t="s">
        <v>88</v>
      </c>
      <c r="M570" s="95">
        <v>44561</v>
      </c>
      <c r="N570" s="3" t="str">
        <f t="shared" ca="1" si="125"/>
        <v xml:space="preserve">4 Tahun 8 bulan </v>
      </c>
      <c r="O570" s="4"/>
      <c r="P570" s="4" t="s">
        <v>35</v>
      </c>
      <c r="Q570" s="4" t="str">
        <f t="shared" si="110"/>
        <v>Perempuan</v>
      </c>
      <c r="R570" s="4">
        <f t="shared" si="119"/>
        <v>1</v>
      </c>
      <c r="S570" s="4" t="str">
        <f t="shared" si="124"/>
        <v>1</v>
      </c>
      <c r="T570" s="4">
        <f t="shared" si="106"/>
        <v>0</v>
      </c>
      <c r="U570" s="29"/>
      <c r="V570" s="30" t="s">
        <v>50</v>
      </c>
      <c r="W570" s="30"/>
      <c r="X570" s="30"/>
      <c r="Y570" s="30"/>
      <c r="Z570" s="30"/>
      <c r="AA570" s="30"/>
      <c r="AB570" s="29"/>
      <c r="AC570" s="29"/>
      <c r="AD570" s="37">
        <f t="shared" si="112"/>
        <v>32691</v>
      </c>
      <c r="AE570" s="3" t="str">
        <f t="shared" ca="1" si="111"/>
        <v>37 Tahun 1 bulan 30 Hari</v>
      </c>
      <c r="AF570" s="38">
        <f t="shared" si="113"/>
        <v>54636</v>
      </c>
    </row>
    <row r="571" spans="1:32" s="7" customFormat="1" ht="32.15" customHeight="1" x14ac:dyDescent="0.35">
      <c r="A571" s="26">
        <f t="shared" si="115"/>
        <v>538</v>
      </c>
      <c r="B571" s="27" t="s">
        <v>1587</v>
      </c>
      <c r="C571" s="26"/>
      <c r="D571" s="50" t="s">
        <v>1626</v>
      </c>
      <c r="E571" s="79" t="s">
        <v>1627</v>
      </c>
      <c r="F571" s="24" t="s">
        <v>43</v>
      </c>
      <c r="G571" s="4" t="s">
        <v>1085</v>
      </c>
      <c r="H571" s="4" t="s">
        <v>574</v>
      </c>
      <c r="I571" s="33" t="s">
        <v>86</v>
      </c>
      <c r="J571" s="5" t="s">
        <v>87</v>
      </c>
      <c r="K571" s="3" t="str">
        <f t="shared" ca="1" si="109"/>
        <v xml:space="preserve">4 Tahun 8 bulan </v>
      </c>
      <c r="L571" s="30" t="s">
        <v>88</v>
      </c>
      <c r="M571" s="5" t="s">
        <v>87</v>
      </c>
      <c r="N571" s="3" t="str">
        <f t="shared" ca="1" si="125"/>
        <v xml:space="preserve">4 Tahun 8 bulan </v>
      </c>
      <c r="O571" s="4"/>
      <c r="P571" s="4" t="s">
        <v>35</v>
      </c>
      <c r="Q571" s="4" t="str">
        <f t="shared" si="110"/>
        <v>Perempuan</v>
      </c>
      <c r="R571" s="4">
        <f t="shared" si="119"/>
        <v>1</v>
      </c>
      <c r="S571" s="4" t="str">
        <f t="shared" si="124"/>
        <v>1</v>
      </c>
      <c r="T571" s="4">
        <f t="shared" ref="T571:T636" si="126">R571-S571</f>
        <v>0</v>
      </c>
      <c r="U571" s="29"/>
      <c r="V571" s="30" t="s">
        <v>50</v>
      </c>
      <c r="W571" s="30"/>
      <c r="X571" s="30"/>
      <c r="Y571" s="30"/>
      <c r="Z571" s="30"/>
      <c r="AA571" s="30"/>
      <c r="AB571" s="29"/>
      <c r="AC571" s="29"/>
      <c r="AD571" s="37">
        <f t="shared" si="112"/>
        <v>27939</v>
      </c>
      <c r="AE571" s="3" t="str">
        <f t="shared" ca="1" si="111"/>
        <v>50 Tahun 2 bulan 4 Hari</v>
      </c>
      <c r="AF571" s="38">
        <f t="shared" si="113"/>
        <v>49857</v>
      </c>
    </row>
    <row r="572" spans="1:32" s="7" customFormat="1" ht="32.15" customHeight="1" x14ac:dyDescent="0.35">
      <c r="A572" s="26"/>
      <c r="B572" s="27" t="s">
        <v>1628</v>
      </c>
      <c r="C572" s="280" t="s">
        <v>1629</v>
      </c>
      <c r="D572" s="281"/>
      <c r="E572" s="271" t="str">
        <f ca="1">IF(J572="","",CONCATENATE(DATEDIF(J572,NOW(),"Y")," Tahun ",DATEDIF(J572,NOW(),"YM")," bulan "))</f>
        <v/>
      </c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  <c r="AB572" s="272"/>
      <c r="AC572" s="272"/>
      <c r="AD572" s="272"/>
      <c r="AE572" s="272"/>
      <c r="AF572" s="273"/>
    </row>
    <row r="573" spans="1:32" s="7" customFormat="1" ht="32.15" customHeight="1" x14ac:dyDescent="0.35">
      <c r="A573" s="26">
        <f>A571+1</f>
        <v>539</v>
      </c>
      <c r="B573" s="27" t="s">
        <v>1628</v>
      </c>
      <c r="C573" s="278" t="s">
        <v>3025</v>
      </c>
      <c r="D573" s="279"/>
      <c r="E573" s="24" t="s">
        <v>1630</v>
      </c>
      <c r="F573" s="24" t="s">
        <v>43</v>
      </c>
      <c r="G573" s="3" t="s">
        <v>72</v>
      </c>
      <c r="H573" s="4" t="s">
        <v>181</v>
      </c>
      <c r="I573" s="25" t="s">
        <v>630</v>
      </c>
      <c r="J573" s="5" t="s">
        <v>325</v>
      </c>
      <c r="K573" s="3" t="str">
        <f t="shared" ca="1" si="109"/>
        <v xml:space="preserve">1 Tahun 9 bulan </v>
      </c>
      <c r="L573" s="30" t="s">
        <v>56</v>
      </c>
      <c r="M573" s="5" t="s">
        <v>325</v>
      </c>
      <c r="N573" s="3" t="str">
        <f t="shared" ca="1" si="125"/>
        <v xml:space="preserve">1 Tahun 9 bulan </v>
      </c>
      <c r="O573" s="4" t="s">
        <v>81</v>
      </c>
      <c r="P573" s="4" t="s">
        <v>35</v>
      </c>
      <c r="Q573" s="4" t="str">
        <f t="shared" si="110"/>
        <v>Laki-Laki</v>
      </c>
      <c r="R573" s="4">
        <f>R571</f>
        <v>1</v>
      </c>
      <c r="S573" s="4" t="str">
        <f t="shared" ref="S573:S585" si="127">IF(E573="LOWONG","0","1")</f>
        <v>1</v>
      </c>
      <c r="T573" s="4">
        <f t="shared" si="126"/>
        <v>0</v>
      </c>
      <c r="U573" s="29"/>
      <c r="V573" s="30" t="s">
        <v>50</v>
      </c>
      <c r="W573" s="30"/>
      <c r="X573" s="30"/>
      <c r="Y573" s="30"/>
      <c r="Z573" s="30"/>
      <c r="AA573" s="30"/>
      <c r="AB573" s="29"/>
      <c r="AC573" s="29"/>
      <c r="AD573" s="37">
        <f t="shared" si="112"/>
        <v>28694</v>
      </c>
      <c r="AE573" s="3" t="str">
        <f t="shared" ca="1" si="111"/>
        <v>48 Tahun 1 bulan 9 Hari</v>
      </c>
      <c r="AF573" s="38">
        <f t="shared" si="113"/>
        <v>50618</v>
      </c>
    </row>
    <row r="574" spans="1:32" s="7" customFormat="1" ht="32.15" customHeight="1" x14ac:dyDescent="0.35">
      <c r="A574" s="26">
        <f t="shared" si="115"/>
        <v>540</v>
      </c>
      <c r="B574" s="27" t="s">
        <v>1628</v>
      </c>
      <c r="C574" s="256" t="s">
        <v>1631</v>
      </c>
      <c r="D574" s="257"/>
      <c r="E574" s="24" t="s">
        <v>1632</v>
      </c>
      <c r="F574" s="24" t="s">
        <v>43</v>
      </c>
      <c r="G574" s="3" t="s">
        <v>1633</v>
      </c>
      <c r="H574" s="4" t="s">
        <v>830</v>
      </c>
      <c r="I574" s="41" t="s">
        <v>1634</v>
      </c>
      <c r="J574" s="5" t="s">
        <v>127</v>
      </c>
      <c r="K574" s="3" t="str">
        <f t="shared" ca="1" si="109"/>
        <v xml:space="preserve">5 Tahun 6 bulan </v>
      </c>
      <c r="L574" s="30" t="s">
        <v>79</v>
      </c>
      <c r="M574" s="5" t="s">
        <v>127</v>
      </c>
      <c r="N574" s="3" t="str">
        <f t="shared" ca="1" si="125"/>
        <v xml:space="preserve">5 Tahun 6 bulan </v>
      </c>
      <c r="O574" s="4" t="s">
        <v>128</v>
      </c>
      <c r="P574" s="4" t="s">
        <v>35</v>
      </c>
      <c r="Q574" s="4" t="str">
        <f t="shared" si="110"/>
        <v>Laki-Laki</v>
      </c>
      <c r="R574" s="4">
        <f t="shared" si="119"/>
        <v>1</v>
      </c>
      <c r="S574" s="4" t="str">
        <f t="shared" si="127"/>
        <v>1</v>
      </c>
      <c r="T574" s="4">
        <f t="shared" si="126"/>
        <v>0</v>
      </c>
      <c r="U574" s="29"/>
      <c r="V574" s="30" t="s">
        <v>50</v>
      </c>
      <c r="W574" s="30"/>
      <c r="X574" s="30"/>
      <c r="Y574" s="30"/>
      <c r="Z574" s="30"/>
      <c r="AA574" s="30"/>
      <c r="AB574" s="29"/>
      <c r="AC574" s="29"/>
      <c r="AD574" s="37">
        <f t="shared" si="112"/>
        <v>28671</v>
      </c>
      <c r="AE574" s="3" t="str">
        <f t="shared" ca="1" si="111"/>
        <v>48 Tahun 2 bulan 2 Hari</v>
      </c>
      <c r="AF574" s="38">
        <f t="shared" si="113"/>
        <v>50587</v>
      </c>
    </row>
    <row r="575" spans="1:32" s="7" customFormat="1" ht="32.15" customHeight="1" x14ac:dyDescent="0.35">
      <c r="A575" s="26">
        <f t="shared" si="115"/>
        <v>541</v>
      </c>
      <c r="B575" s="27" t="s">
        <v>1628</v>
      </c>
      <c r="C575" s="26"/>
      <c r="D575" s="50" t="s">
        <v>1635</v>
      </c>
      <c r="E575" s="24" t="s">
        <v>1636</v>
      </c>
      <c r="F575" s="24" t="s">
        <v>43</v>
      </c>
      <c r="G575" s="4" t="s">
        <v>1637</v>
      </c>
      <c r="H575" s="36" t="s">
        <v>85</v>
      </c>
      <c r="I575" s="41" t="s">
        <v>350</v>
      </c>
      <c r="J575" s="5" t="s">
        <v>386</v>
      </c>
      <c r="K575" s="3" t="str">
        <f t="shared" ca="1" si="109"/>
        <v xml:space="preserve">5 Tahun 5 bulan </v>
      </c>
      <c r="L575" s="30" t="s">
        <v>200</v>
      </c>
      <c r="M575" s="5" t="s">
        <v>386</v>
      </c>
      <c r="N575" s="3" t="str">
        <f t="shared" ca="1" si="125"/>
        <v xml:space="preserve">5 Tahun 5 bulan </v>
      </c>
      <c r="O575" s="4"/>
      <c r="P575" s="4" t="s">
        <v>35</v>
      </c>
      <c r="Q575" s="4" t="str">
        <f t="shared" si="110"/>
        <v>Laki-Laki</v>
      </c>
      <c r="R575" s="4">
        <f t="shared" si="119"/>
        <v>1</v>
      </c>
      <c r="S575" s="4" t="str">
        <f t="shared" si="127"/>
        <v>1</v>
      </c>
      <c r="T575" s="4">
        <f t="shared" si="126"/>
        <v>0</v>
      </c>
      <c r="U575" s="29"/>
      <c r="V575" s="30" t="s">
        <v>50</v>
      </c>
      <c r="W575" s="30"/>
      <c r="X575" s="30"/>
      <c r="Y575" s="30"/>
      <c r="Z575" s="30"/>
      <c r="AA575" s="30"/>
      <c r="AB575" s="29"/>
      <c r="AC575" s="29"/>
      <c r="AD575" s="37">
        <f t="shared" si="112"/>
        <v>26515</v>
      </c>
      <c r="AE575" s="3" t="str">
        <f t="shared" ca="1" si="111"/>
        <v>54 Tahun 0 bulan 28 Hari</v>
      </c>
      <c r="AF575" s="38">
        <f t="shared" si="113"/>
        <v>48458</v>
      </c>
    </row>
    <row r="576" spans="1:32" s="7" customFormat="1" ht="32.15" customHeight="1" x14ac:dyDescent="0.35">
      <c r="A576" s="26">
        <f t="shared" si="115"/>
        <v>542</v>
      </c>
      <c r="B576" s="27" t="s">
        <v>1628</v>
      </c>
      <c r="C576" s="26"/>
      <c r="D576" s="50" t="s">
        <v>1638</v>
      </c>
      <c r="E576" s="24" t="s">
        <v>1639</v>
      </c>
      <c r="F576" s="24" t="s">
        <v>43</v>
      </c>
      <c r="G576" s="4" t="s">
        <v>1640</v>
      </c>
      <c r="H576" s="36" t="s">
        <v>85</v>
      </c>
      <c r="I576" s="33" t="s">
        <v>1641</v>
      </c>
      <c r="J576" s="5" t="s">
        <v>87</v>
      </c>
      <c r="K576" s="3" t="str">
        <f t="shared" ca="1" si="109"/>
        <v xml:space="preserve">4 Tahun 8 bulan </v>
      </c>
      <c r="L576" s="30" t="s">
        <v>88</v>
      </c>
      <c r="M576" s="5">
        <v>44561</v>
      </c>
      <c r="N576" s="3" t="str">
        <f t="shared" ca="1" si="125"/>
        <v xml:space="preserve">4 Tahun 8 bulan </v>
      </c>
      <c r="O576" s="4"/>
      <c r="P576" s="4" t="s">
        <v>35</v>
      </c>
      <c r="Q576" s="4" t="str">
        <f t="shared" si="110"/>
        <v>Perempuan</v>
      </c>
      <c r="R576" s="4">
        <f t="shared" si="119"/>
        <v>1</v>
      </c>
      <c r="S576" s="4" t="str">
        <f t="shared" si="127"/>
        <v>1</v>
      </c>
      <c r="T576" s="4">
        <f t="shared" si="126"/>
        <v>0</v>
      </c>
      <c r="U576" s="29"/>
      <c r="V576" s="30"/>
      <c r="W576" s="30"/>
      <c r="X576" s="30"/>
      <c r="Y576" s="30"/>
      <c r="Z576" s="30"/>
      <c r="AA576" s="30"/>
      <c r="AB576" s="29"/>
      <c r="AC576" s="29"/>
      <c r="AD576" s="37">
        <f t="shared" si="112"/>
        <v>29517</v>
      </c>
      <c r="AE576" s="3" t="str">
        <f t="shared" ca="1" si="111"/>
        <v>45 Tahun 10 bulan 9 Hari</v>
      </c>
      <c r="AF576" s="38">
        <f t="shared" si="113"/>
        <v>51441</v>
      </c>
    </row>
    <row r="577" spans="1:32" s="7" customFormat="1" ht="32.15" customHeight="1" x14ac:dyDescent="0.35">
      <c r="A577" s="26">
        <f t="shared" si="115"/>
        <v>543</v>
      </c>
      <c r="B577" s="27" t="s">
        <v>1628</v>
      </c>
      <c r="C577" s="256" t="s">
        <v>1642</v>
      </c>
      <c r="D577" s="257"/>
      <c r="E577" s="45" t="s">
        <v>1643</v>
      </c>
      <c r="F577" s="24" t="s">
        <v>43</v>
      </c>
      <c r="G577" s="44" t="s">
        <v>1644</v>
      </c>
      <c r="H577" s="4" t="s">
        <v>385</v>
      </c>
      <c r="I577" s="36" t="s">
        <v>1645</v>
      </c>
      <c r="J577" s="82" t="s">
        <v>338</v>
      </c>
      <c r="K577" s="3" t="str">
        <f t="shared" ca="1" si="109"/>
        <v xml:space="preserve">2 Tahun 11 bulan </v>
      </c>
      <c r="L577" s="30" t="s">
        <v>346</v>
      </c>
      <c r="M577" s="82" t="s">
        <v>338</v>
      </c>
      <c r="N577" s="3" t="str">
        <f t="shared" ca="1" si="125"/>
        <v xml:space="preserve">2 Tahun 11 bulan </v>
      </c>
      <c r="O577" s="36"/>
      <c r="P577" s="4" t="s">
        <v>35</v>
      </c>
      <c r="Q577" s="4" t="str">
        <f t="shared" si="110"/>
        <v>Laki-Laki</v>
      </c>
      <c r="R577" s="4">
        <f t="shared" si="119"/>
        <v>1</v>
      </c>
      <c r="S577" s="4" t="str">
        <f t="shared" si="127"/>
        <v>1</v>
      </c>
      <c r="T577" s="4">
        <f t="shared" si="126"/>
        <v>0</v>
      </c>
      <c r="U577" s="29"/>
      <c r="V577" s="30" t="s">
        <v>50</v>
      </c>
      <c r="W577" s="30"/>
      <c r="X577" s="30"/>
      <c r="Y577" s="30"/>
      <c r="Z577" s="30"/>
      <c r="AA577" s="30"/>
      <c r="AB577" s="29"/>
      <c r="AC577" s="29"/>
      <c r="AD577" s="37">
        <f t="shared" si="112"/>
        <v>26836</v>
      </c>
      <c r="AE577" s="3" t="str">
        <f t="shared" ca="1" si="111"/>
        <v>53 Tahun 2 bulan 11 Hari</v>
      </c>
      <c r="AF577" s="38">
        <f t="shared" si="113"/>
        <v>48761</v>
      </c>
    </row>
    <row r="578" spans="1:32" s="7" customFormat="1" ht="32.15" customHeight="1" x14ac:dyDescent="0.35">
      <c r="A578" s="26">
        <f t="shared" si="115"/>
        <v>544</v>
      </c>
      <c r="B578" s="27" t="s">
        <v>1628</v>
      </c>
      <c r="C578" s="26"/>
      <c r="D578" s="67" t="s">
        <v>1646</v>
      </c>
      <c r="E578" s="45" t="s">
        <v>1647</v>
      </c>
      <c r="F578" s="24" t="s">
        <v>43</v>
      </c>
      <c r="G578" s="44" t="s">
        <v>1648</v>
      </c>
      <c r="H578" s="36" t="s">
        <v>85</v>
      </c>
      <c r="I578" s="33" t="s">
        <v>107</v>
      </c>
      <c r="J578" s="5" t="s">
        <v>87</v>
      </c>
      <c r="K578" s="3" t="str">
        <f t="shared" ca="1" si="109"/>
        <v xml:space="preserve">4 Tahun 8 bulan </v>
      </c>
      <c r="L578" s="30" t="s">
        <v>88</v>
      </c>
      <c r="M578" s="5">
        <v>44561</v>
      </c>
      <c r="N578" s="3" t="str">
        <f t="shared" ca="1" si="125"/>
        <v xml:space="preserve">4 Tahun 8 bulan </v>
      </c>
      <c r="O578" s="4"/>
      <c r="P578" s="4" t="s">
        <v>35</v>
      </c>
      <c r="Q578" s="4" t="str">
        <f t="shared" si="110"/>
        <v>Laki-Laki</v>
      </c>
      <c r="R578" s="4">
        <f t="shared" si="119"/>
        <v>1</v>
      </c>
      <c r="S578" s="4" t="str">
        <f t="shared" si="127"/>
        <v>1</v>
      </c>
      <c r="T578" s="4">
        <f t="shared" si="126"/>
        <v>0</v>
      </c>
      <c r="U578" s="29"/>
      <c r="V578" s="30" t="s">
        <v>50</v>
      </c>
      <c r="W578" s="30"/>
      <c r="X578" s="30"/>
      <c r="Y578" s="30"/>
      <c r="Z578" s="30"/>
      <c r="AA578" s="30"/>
      <c r="AB578" s="29"/>
      <c r="AC578" s="29"/>
      <c r="AD578" s="37">
        <f t="shared" si="112"/>
        <v>28425</v>
      </c>
      <c r="AE578" s="3" t="str">
        <f t="shared" ca="1" si="111"/>
        <v>48 Tahun 10 bulan 5 Hari</v>
      </c>
      <c r="AF578" s="38">
        <f t="shared" si="113"/>
        <v>50345</v>
      </c>
    </row>
    <row r="579" spans="1:32" s="7" customFormat="1" ht="32.15" customHeight="1" x14ac:dyDescent="0.35">
      <c r="A579" s="26">
        <f t="shared" si="115"/>
        <v>545</v>
      </c>
      <c r="B579" s="27" t="s">
        <v>1628</v>
      </c>
      <c r="C579" s="26"/>
      <c r="D579" s="67" t="s">
        <v>1649</v>
      </c>
      <c r="E579" s="39" t="s">
        <v>108</v>
      </c>
      <c r="F579" s="39"/>
      <c r="G579" s="25"/>
      <c r="H579" s="4"/>
      <c r="I579" s="36"/>
      <c r="J579" s="49"/>
      <c r="K579" s="3" t="str">
        <f t="shared" ca="1" si="109"/>
        <v/>
      </c>
      <c r="L579" s="30" t="s">
        <v>88</v>
      </c>
      <c r="M579" s="49"/>
      <c r="N579" s="3" t="str">
        <f t="shared" ca="1" si="125"/>
        <v/>
      </c>
      <c r="O579" s="35"/>
      <c r="P579" s="4"/>
      <c r="Q579" s="4" t="str">
        <f t="shared" si="110"/>
        <v/>
      </c>
      <c r="R579" s="4">
        <f t="shared" si="119"/>
        <v>1</v>
      </c>
      <c r="S579" s="4" t="str">
        <f t="shared" si="127"/>
        <v>0</v>
      </c>
      <c r="T579" s="4">
        <f t="shared" si="126"/>
        <v>1</v>
      </c>
      <c r="U579" s="29"/>
      <c r="V579" s="30"/>
      <c r="W579" s="30"/>
      <c r="X579" s="30"/>
      <c r="Y579" s="30"/>
      <c r="Z579" s="30"/>
      <c r="AA579" s="30"/>
      <c r="AB579" s="29"/>
      <c r="AC579" s="29"/>
      <c r="AD579" s="37" t="str">
        <f t="shared" si="112"/>
        <v/>
      </c>
      <c r="AE579" s="3" t="str">
        <f t="shared" ca="1" si="111"/>
        <v/>
      </c>
      <c r="AF579" s="38" t="str">
        <f t="shared" si="113"/>
        <v/>
      </c>
    </row>
    <row r="580" spans="1:32" s="7" customFormat="1" ht="32.15" customHeight="1" x14ac:dyDescent="0.35">
      <c r="A580" s="26">
        <f t="shared" si="115"/>
        <v>546</v>
      </c>
      <c r="B580" s="27" t="s">
        <v>1628</v>
      </c>
      <c r="C580" s="256" t="s">
        <v>1650</v>
      </c>
      <c r="D580" s="257"/>
      <c r="E580" s="24" t="s">
        <v>429</v>
      </c>
      <c r="F580" s="24" t="s">
        <v>43</v>
      </c>
      <c r="G580" s="3" t="s">
        <v>430</v>
      </c>
      <c r="H580" s="4" t="s">
        <v>135</v>
      </c>
      <c r="I580" s="33" t="s">
        <v>2826</v>
      </c>
      <c r="J580" s="5">
        <v>45993</v>
      </c>
      <c r="K580" s="3" t="str">
        <f t="shared" ca="1" si="109"/>
        <v xml:space="preserve">0 Tahun 8 bulan </v>
      </c>
      <c r="L580" s="30" t="s">
        <v>346</v>
      </c>
      <c r="M580" s="5"/>
      <c r="N580" s="3" t="str">
        <f t="shared" ca="1" si="125"/>
        <v/>
      </c>
      <c r="O580" s="4"/>
      <c r="P580" s="4" t="s">
        <v>968</v>
      </c>
      <c r="Q580" s="4" t="str">
        <f t="shared" si="110"/>
        <v>Laki-Laki</v>
      </c>
      <c r="R580" s="4">
        <f t="shared" si="119"/>
        <v>1</v>
      </c>
      <c r="S580" s="4" t="str">
        <f t="shared" si="127"/>
        <v>1</v>
      </c>
      <c r="T580" s="4">
        <f t="shared" si="126"/>
        <v>0</v>
      </c>
      <c r="U580" s="29"/>
      <c r="V580" s="30" t="s">
        <v>50</v>
      </c>
      <c r="W580" s="30"/>
      <c r="X580" s="30"/>
      <c r="Y580" s="30"/>
      <c r="Z580" s="30"/>
      <c r="AA580" s="30"/>
      <c r="AB580" s="29"/>
      <c r="AC580" s="29"/>
      <c r="AD580" s="37">
        <f t="shared" si="112"/>
        <v>28280</v>
      </c>
      <c r="AE580" s="3" t="str">
        <f t="shared" ca="1" si="111"/>
        <v>49 Tahun 2 bulan 28 Hari</v>
      </c>
      <c r="AF580" s="38">
        <f t="shared" si="113"/>
        <v>50222</v>
      </c>
    </row>
    <row r="581" spans="1:32" s="7" customFormat="1" ht="32.15" customHeight="1" x14ac:dyDescent="0.35">
      <c r="A581" s="26">
        <f t="shared" si="115"/>
        <v>547</v>
      </c>
      <c r="B581" s="27" t="s">
        <v>1628</v>
      </c>
      <c r="C581" s="26"/>
      <c r="D581" s="67" t="s">
        <v>1649</v>
      </c>
      <c r="E581" s="24" t="s">
        <v>108</v>
      </c>
      <c r="F581" s="24"/>
      <c r="G581" s="4"/>
      <c r="H581" s="4"/>
      <c r="I581" s="41"/>
      <c r="J581" s="91"/>
      <c r="K581" s="3" t="str">
        <f t="shared" ca="1" si="109"/>
        <v/>
      </c>
      <c r="L581" s="30" t="s">
        <v>88</v>
      </c>
      <c r="M581" s="91"/>
      <c r="N581" s="3" t="str">
        <f t="shared" ca="1" si="125"/>
        <v/>
      </c>
      <c r="O581" s="4"/>
      <c r="P581" s="4"/>
      <c r="Q581" s="4" t="str">
        <f t="shared" si="110"/>
        <v/>
      </c>
      <c r="R581" s="4">
        <f t="shared" si="119"/>
        <v>1</v>
      </c>
      <c r="S581" s="4" t="str">
        <f t="shared" si="127"/>
        <v>0</v>
      </c>
      <c r="T581" s="4">
        <f t="shared" si="126"/>
        <v>1</v>
      </c>
      <c r="U581" s="29"/>
      <c r="V581" s="30" t="s">
        <v>50</v>
      </c>
      <c r="W581" s="30"/>
      <c r="X581" s="30"/>
      <c r="Y581" s="30"/>
      <c r="Z581" s="30"/>
      <c r="AA581" s="30"/>
      <c r="AB581" s="29"/>
      <c r="AC581" s="29"/>
      <c r="AD581" s="37" t="str">
        <f t="shared" si="112"/>
        <v/>
      </c>
      <c r="AE581" s="3" t="str">
        <f t="shared" ca="1" si="111"/>
        <v/>
      </c>
      <c r="AF581" s="38" t="str">
        <f t="shared" si="113"/>
        <v/>
      </c>
    </row>
    <row r="582" spans="1:32" s="7" customFormat="1" ht="32.15" customHeight="1" x14ac:dyDescent="0.35">
      <c r="A582" s="26">
        <f t="shared" si="115"/>
        <v>548</v>
      </c>
      <c r="B582" s="27" t="s">
        <v>1628</v>
      </c>
      <c r="C582" s="26"/>
      <c r="D582" s="67" t="s">
        <v>1646</v>
      </c>
      <c r="E582" s="24" t="s">
        <v>1651</v>
      </c>
      <c r="F582" s="24" t="s">
        <v>43</v>
      </c>
      <c r="G582" s="4" t="s">
        <v>1652</v>
      </c>
      <c r="H582" s="4" t="s">
        <v>106</v>
      </c>
      <c r="I582" s="4" t="s">
        <v>350</v>
      </c>
      <c r="J582" s="5" t="s">
        <v>87</v>
      </c>
      <c r="K582" s="3" t="str">
        <f t="shared" ca="1" si="109"/>
        <v xml:space="preserve">4 Tahun 8 bulan </v>
      </c>
      <c r="L582" s="30" t="s">
        <v>88</v>
      </c>
      <c r="M582" s="5" t="s">
        <v>87</v>
      </c>
      <c r="N582" s="3" t="str">
        <f t="shared" ca="1" si="125"/>
        <v xml:space="preserve">4 Tahun 8 bulan </v>
      </c>
      <c r="O582" s="36"/>
      <c r="P582" s="4" t="s">
        <v>35</v>
      </c>
      <c r="Q582" s="4" t="str">
        <f t="shared" si="110"/>
        <v/>
      </c>
      <c r="R582" s="4">
        <f t="shared" si="119"/>
        <v>1</v>
      </c>
      <c r="S582" s="4" t="str">
        <f t="shared" si="127"/>
        <v>1</v>
      </c>
      <c r="T582" s="4">
        <f t="shared" si="126"/>
        <v>0</v>
      </c>
      <c r="U582" s="29"/>
      <c r="V582" s="30" t="s">
        <v>50</v>
      </c>
      <c r="W582" s="30"/>
      <c r="X582" s="30"/>
      <c r="Y582" s="30"/>
      <c r="Z582" s="30"/>
      <c r="AA582" s="30"/>
      <c r="AB582" s="29"/>
      <c r="AC582" s="29"/>
      <c r="AD582" s="37">
        <f t="shared" si="112"/>
        <v>27152</v>
      </c>
      <c r="AE582" s="3" t="str">
        <f t="shared" ca="1" si="111"/>
        <v>52 Tahun 3 bulan 29 Hari</v>
      </c>
      <c r="AF582" s="38">
        <f t="shared" si="113"/>
        <v>49096</v>
      </c>
    </row>
    <row r="583" spans="1:32" s="7" customFormat="1" ht="32.15" customHeight="1" x14ac:dyDescent="0.35">
      <c r="A583" s="26">
        <f t="shared" si="115"/>
        <v>549</v>
      </c>
      <c r="B583" s="27" t="s">
        <v>1628</v>
      </c>
      <c r="C583" s="256" t="s">
        <v>1653</v>
      </c>
      <c r="D583" s="257"/>
      <c r="E583" s="39" t="s">
        <v>1654</v>
      </c>
      <c r="F583" s="24" t="s">
        <v>43</v>
      </c>
      <c r="G583" s="25" t="s">
        <v>1655</v>
      </c>
      <c r="H583" s="4" t="s">
        <v>419</v>
      </c>
      <c r="I583" s="33" t="s">
        <v>1656</v>
      </c>
      <c r="J583" s="5" t="s">
        <v>953</v>
      </c>
      <c r="K583" s="3" t="str">
        <f t="shared" ref="K583:K646" ca="1" si="128">IF(J583="","",CONCATENATE(DATEDIF(J583,NOW(),"Y")," Tahun ",DATEDIF(J583,NOW(),"YM")," bulan "))</f>
        <v xml:space="preserve">3 Tahun 9 bulan </v>
      </c>
      <c r="L583" s="30" t="s">
        <v>346</v>
      </c>
      <c r="M583" s="5" t="s">
        <v>953</v>
      </c>
      <c r="N583" s="3" t="str">
        <f t="shared" ca="1" si="125"/>
        <v xml:space="preserve">3 Tahun 9 bulan </v>
      </c>
      <c r="O583" s="35"/>
      <c r="P583" s="4" t="s">
        <v>35</v>
      </c>
      <c r="Q583" s="4" t="str">
        <f t="shared" ref="Q583:Q646" si="129">CONCATENATE(IF(MID(G583,17,1)="1","Laki-Laki",IF(MID(G583,17,1)="2","Perempuan",)))</f>
        <v>Laki-Laki</v>
      </c>
      <c r="R583" s="4">
        <f t="shared" si="119"/>
        <v>1</v>
      </c>
      <c r="S583" s="4" t="str">
        <f t="shared" si="127"/>
        <v>1</v>
      </c>
      <c r="T583" s="4">
        <f t="shared" si="126"/>
        <v>0</v>
      </c>
      <c r="U583" s="29"/>
      <c r="V583" s="30" t="s">
        <v>50</v>
      </c>
      <c r="W583" s="30"/>
      <c r="X583" s="30"/>
      <c r="Y583" s="30"/>
      <c r="Z583" s="30"/>
      <c r="AA583" s="30"/>
      <c r="AB583" s="29"/>
      <c r="AC583" s="29"/>
      <c r="AD583" s="37">
        <f t="shared" si="112"/>
        <v>29429</v>
      </c>
      <c r="AE583" s="3" t="str">
        <f t="shared" ref="AE583:AE646" ca="1" si="130">IF(TRIM(AD583)="", "", CONCATENATE(DATEDIF(AD583,NOW(),"Y")," Tahun ",DATEDIF(AD583,NOW(),"YM")," bulan ",DATEDIF(AD583,NOW(),"MD")," Hari"))</f>
        <v>46 Tahun 1 bulan 5 Hari</v>
      </c>
      <c r="AF583" s="38">
        <f t="shared" si="113"/>
        <v>51349</v>
      </c>
    </row>
    <row r="584" spans="1:32" s="7" customFormat="1" ht="32.15" customHeight="1" x14ac:dyDescent="0.35">
      <c r="A584" s="26">
        <f t="shared" si="115"/>
        <v>550</v>
      </c>
      <c r="B584" s="27" t="s">
        <v>1628</v>
      </c>
      <c r="C584" s="26"/>
      <c r="D584" s="67" t="s">
        <v>1646</v>
      </c>
      <c r="E584" s="24" t="s">
        <v>1657</v>
      </c>
      <c r="F584" s="24" t="s">
        <v>43</v>
      </c>
      <c r="G584" s="4" t="s">
        <v>1658</v>
      </c>
      <c r="H584" s="4" t="s">
        <v>662</v>
      </c>
      <c r="I584" s="33" t="s">
        <v>107</v>
      </c>
      <c r="J584" s="5">
        <v>44561</v>
      </c>
      <c r="K584" s="3" t="str">
        <f t="shared" ca="1" si="128"/>
        <v xml:space="preserve">4 Tahun 8 bulan </v>
      </c>
      <c r="L584" s="30" t="s">
        <v>88</v>
      </c>
      <c r="M584" s="5">
        <v>44561</v>
      </c>
      <c r="N584" s="3" t="str">
        <f t="shared" ca="1" si="125"/>
        <v xml:space="preserve">4 Tahun 8 bulan </v>
      </c>
      <c r="O584" s="4"/>
      <c r="P584" s="4" t="s">
        <v>35</v>
      </c>
      <c r="Q584" s="4" t="str">
        <f t="shared" si="129"/>
        <v/>
      </c>
      <c r="R584" s="4">
        <f t="shared" si="119"/>
        <v>1</v>
      </c>
      <c r="S584" s="4" t="str">
        <f t="shared" si="127"/>
        <v>1</v>
      </c>
      <c r="T584" s="4">
        <f t="shared" si="126"/>
        <v>0</v>
      </c>
      <c r="U584" s="29"/>
      <c r="V584" s="30" t="s">
        <v>50</v>
      </c>
      <c r="W584" s="30"/>
      <c r="X584" s="30"/>
      <c r="Y584" s="30"/>
      <c r="Z584" s="30"/>
      <c r="AA584" s="30"/>
      <c r="AB584" s="29"/>
      <c r="AC584" s="29"/>
      <c r="AD584" s="37">
        <f t="shared" ref="AD584:AD647" si="131">IF(TRIM(G584)="", "", DATE(LEFT(G584,4),MID(G584,5,2),MID(G584,7,2)))</f>
        <v>31528</v>
      </c>
      <c r="AE584" s="3" t="str">
        <f t="shared" ca="1" si="130"/>
        <v>40 Tahun 4 bulan 6 Hari</v>
      </c>
      <c r="AF584" s="38">
        <f t="shared" ref="AF584:AF647" si="132">IF(TRIM(AD584)="","",DATE(YEAR(AD584)+60,MONTH(AD584)+1,1))</f>
        <v>53448</v>
      </c>
    </row>
    <row r="585" spans="1:32" s="7" customFormat="1" ht="32.15" customHeight="1" x14ac:dyDescent="0.35">
      <c r="A585" s="26">
        <f t="shared" si="115"/>
        <v>551</v>
      </c>
      <c r="B585" s="27" t="s">
        <v>1628</v>
      </c>
      <c r="C585" s="26"/>
      <c r="D585" s="67" t="s">
        <v>1649</v>
      </c>
      <c r="E585" s="39" t="s">
        <v>108</v>
      </c>
      <c r="F585" s="39"/>
      <c r="G585" s="25"/>
      <c r="H585" s="4"/>
      <c r="I585" s="33"/>
      <c r="J585" s="49"/>
      <c r="K585" s="3" t="str">
        <f t="shared" ca="1" si="128"/>
        <v/>
      </c>
      <c r="L585" s="30" t="s">
        <v>88</v>
      </c>
      <c r="M585" s="49"/>
      <c r="N585" s="3" t="str">
        <f t="shared" ca="1" si="125"/>
        <v/>
      </c>
      <c r="O585" s="35"/>
      <c r="P585" s="4"/>
      <c r="Q585" s="4" t="str">
        <f t="shared" si="129"/>
        <v/>
      </c>
      <c r="R585" s="4">
        <f t="shared" si="119"/>
        <v>1</v>
      </c>
      <c r="S585" s="4" t="str">
        <f t="shared" si="127"/>
        <v>0</v>
      </c>
      <c r="T585" s="4">
        <f t="shared" si="126"/>
        <v>1</v>
      </c>
      <c r="U585" s="29"/>
      <c r="V585" s="30"/>
      <c r="W585" s="30"/>
      <c r="X585" s="30"/>
      <c r="Y585" s="30"/>
      <c r="Z585" s="30"/>
      <c r="AA585" s="30"/>
      <c r="AB585" s="29"/>
      <c r="AC585" s="29"/>
      <c r="AD585" s="37" t="str">
        <f t="shared" si="131"/>
        <v/>
      </c>
      <c r="AE585" s="3" t="str">
        <f t="shared" ca="1" si="130"/>
        <v/>
      </c>
      <c r="AF585" s="38" t="str">
        <f t="shared" si="132"/>
        <v/>
      </c>
    </row>
    <row r="586" spans="1:32" s="7" customFormat="1" ht="32.15" customHeight="1" x14ac:dyDescent="0.35">
      <c r="A586" s="26"/>
      <c r="B586" s="27" t="s">
        <v>1659</v>
      </c>
      <c r="C586" s="280" t="s">
        <v>1660</v>
      </c>
      <c r="D586" s="281"/>
      <c r="E586" s="271" t="str">
        <f ca="1">IF(J586="","",CONCATENATE(DATEDIF(J586,NOW(),"Y")," Tahun ",DATEDIF(J586,NOW(),"YM")," bulan "))</f>
        <v/>
      </c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2"/>
      <c r="AD586" s="272"/>
      <c r="AE586" s="272"/>
      <c r="AF586" s="273"/>
    </row>
    <row r="587" spans="1:32" s="7" customFormat="1" ht="32.15" customHeight="1" x14ac:dyDescent="0.35">
      <c r="A587" s="26">
        <f>A585+1</f>
        <v>552</v>
      </c>
      <c r="B587" s="27" t="s">
        <v>1659</v>
      </c>
      <c r="C587" s="278" t="s">
        <v>1661</v>
      </c>
      <c r="D587" s="279"/>
      <c r="E587" s="24" t="s">
        <v>1662</v>
      </c>
      <c r="F587" s="24" t="s">
        <v>43</v>
      </c>
      <c r="G587" s="3" t="s">
        <v>1663</v>
      </c>
      <c r="H587" s="4" t="s">
        <v>291</v>
      </c>
      <c r="I587" s="41" t="s">
        <v>46</v>
      </c>
      <c r="J587" s="5" t="s">
        <v>68</v>
      </c>
      <c r="K587" s="3" t="str">
        <f t="shared" ca="1" si="128"/>
        <v xml:space="preserve">2 Tahun 3 bulan </v>
      </c>
      <c r="L587" s="30" t="s">
        <v>56</v>
      </c>
      <c r="M587" s="5" t="s">
        <v>680</v>
      </c>
      <c r="N587" s="3" t="str">
        <f t="shared" ca="1" si="125"/>
        <v xml:space="preserve">4 Tahun 9 bulan </v>
      </c>
      <c r="O587" s="4"/>
      <c r="P587" s="4"/>
      <c r="Q587" s="4" t="str">
        <f t="shared" si="129"/>
        <v>Laki-Laki</v>
      </c>
      <c r="R587" s="4">
        <f>R585</f>
        <v>1</v>
      </c>
      <c r="S587" s="4" t="str">
        <f>IF(E587="LOWONG","0","1")</f>
        <v>1</v>
      </c>
      <c r="T587" s="4">
        <f t="shared" si="126"/>
        <v>0</v>
      </c>
      <c r="U587" s="29"/>
      <c r="V587" s="30"/>
      <c r="W587" s="30"/>
      <c r="X587" s="30"/>
      <c r="Y587" s="30"/>
      <c r="Z587" s="30"/>
      <c r="AA587" s="30"/>
      <c r="AB587" s="29"/>
      <c r="AC587" s="29"/>
      <c r="AD587" s="37">
        <f t="shared" si="131"/>
        <v>26468</v>
      </c>
      <c r="AE587" s="3" t="str">
        <f t="shared" ca="1" si="130"/>
        <v>54 Tahun 2 bulan 14 Hari</v>
      </c>
      <c r="AF587" s="38">
        <f t="shared" si="132"/>
        <v>48396</v>
      </c>
    </row>
    <row r="588" spans="1:32" s="7" customFormat="1" ht="32.15" customHeight="1" x14ac:dyDescent="0.35">
      <c r="A588" s="26">
        <f t="shared" si="115"/>
        <v>553</v>
      </c>
      <c r="B588" s="27" t="s">
        <v>1659</v>
      </c>
      <c r="C588" s="62" t="s">
        <v>1664</v>
      </c>
      <c r="D588" s="63"/>
      <c r="E588" s="39" t="s">
        <v>1665</v>
      </c>
      <c r="F588" s="24" t="s">
        <v>43</v>
      </c>
      <c r="G588" s="40" t="s">
        <v>2845</v>
      </c>
      <c r="H588" s="4" t="s">
        <v>880</v>
      </c>
      <c r="I588" s="41" t="s">
        <v>759</v>
      </c>
      <c r="J588" s="5">
        <v>45993</v>
      </c>
      <c r="K588" s="3" t="str">
        <f t="shared" ca="1" si="128"/>
        <v xml:space="preserve">0 Tahun 8 bulan </v>
      </c>
      <c r="L588" s="30" t="s">
        <v>79</v>
      </c>
      <c r="M588" s="5"/>
      <c r="N588" s="3" t="str">
        <f t="shared" ca="1" si="125"/>
        <v/>
      </c>
      <c r="O588" s="25"/>
      <c r="P588" s="4"/>
      <c r="Q588" s="4" t="str">
        <f t="shared" si="129"/>
        <v>Laki-Laki</v>
      </c>
      <c r="R588" s="4">
        <f t="shared" si="119"/>
        <v>1</v>
      </c>
      <c r="S588" s="4" t="str">
        <f>IF(E588="LOWONG","0","1")</f>
        <v>1</v>
      </c>
      <c r="T588" s="4">
        <f t="shared" si="126"/>
        <v>0</v>
      </c>
      <c r="U588" s="29"/>
      <c r="V588" s="30" t="s">
        <v>50</v>
      </c>
      <c r="W588" s="30"/>
      <c r="X588" s="30"/>
      <c r="Y588" s="30"/>
      <c r="Z588" s="30"/>
      <c r="AA588" s="30"/>
      <c r="AB588" s="29"/>
      <c r="AC588" s="29"/>
      <c r="AD588" s="37">
        <f t="shared" si="131"/>
        <v>25535</v>
      </c>
      <c r="AE588" s="3" t="str">
        <f t="shared" ca="1" si="130"/>
        <v>56 Tahun 9 bulan 4 Hari</v>
      </c>
      <c r="AF588" s="38">
        <f t="shared" si="132"/>
        <v>47453</v>
      </c>
    </row>
    <row r="589" spans="1:32" s="7" customFormat="1" ht="32.15" customHeight="1" x14ac:dyDescent="0.35">
      <c r="A589" s="26">
        <f t="shared" si="115"/>
        <v>554</v>
      </c>
      <c r="B589" s="27" t="s">
        <v>1659</v>
      </c>
      <c r="C589" s="108"/>
      <c r="D589" s="67" t="s">
        <v>1666</v>
      </c>
      <c r="E589" s="39" t="s">
        <v>108</v>
      </c>
      <c r="F589" s="83"/>
      <c r="G589" s="29"/>
      <c r="H589" s="29"/>
      <c r="I589" s="29"/>
      <c r="J589" s="88"/>
      <c r="K589" s="3" t="str">
        <f t="shared" ca="1" si="128"/>
        <v/>
      </c>
      <c r="L589" s="30" t="s">
        <v>88</v>
      </c>
      <c r="M589" s="49"/>
      <c r="N589" s="3" t="str">
        <f t="shared" ca="1" si="125"/>
        <v/>
      </c>
      <c r="O589" s="4"/>
      <c r="P589" s="4"/>
      <c r="Q589" s="4" t="str">
        <f t="shared" si="129"/>
        <v/>
      </c>
      <c r="R589" s="4">
        <f t="shared" si="119"/>
        <v>1</v>
      </c>
      <c r="S589" s="4" t="str">
        <f>IF(E46="LOWONG","0","1")</f>
        <v>1</v>
      </c>
      <c r="T589" s="4">
        <f t="shared" si="126"/>
        <v>0</v>
      </c>
      <c r="U589" s="29"/>
      <c r="V589" s="30" t="s">
        <v>50</v>
      </c>
      <c r="W589" s="30"/>
      <c r="X589" s="30"/>
      <c r="Y589" s="30"/>
      <c r="Z589" s="30"/>
      <c r="AA589" s="30"/>
      <c r="AB589" s="29"/>
      <c r="AC589" s="29"/>
      <c r="AD589" s="37" t="str">
        <f t="shared" si="131"/>
        <v/>
      </c>
      <c r="AE589" s="3" t="str">
        <f t="shared" ca="1" si="130"/>
        <v/>
      </c>
      <c r="AF589" s="38" t="str">
        <f t="shared" si="132"/>
        <v/>
      </c>
    </row>
    <row r="590" spans="1:32" s="7" customFormat="1" ht="32.15" customHeight="1" x14ac:dyDescent="0.35">
      <c r="A590" s="26">
        <f t="shared" si="115"/>
        <v>555</v>
      </c>
      <c r="B590" s="27" t="s">
        <v>1659</v>
      </c>
      <c r="C590" s="108"/>
      <c r="D590" s="67" t="s">
        <v>1667</v>
      </c>
      <c r="E590" s="24" t="s">
        <v>1668</v>
      </c>
      <c r="F590" s="24" t="s">
        <v>43</v>
      </c>
      <c r="G590" s="4" t="s">
        <v>1669</v>
      </c>
      <c r="H590" s="4" t="s">
        <v>458</v>
      </c>
      <c r="I590" s="41" t="s">
        <v>55</v>
      </c>
      <c r="J590" s="5" t="s">
        <v>386</v>
      </c>
      <c r="K590" s="3" t="str">
        <f t="shared" ca="1" si="128"/>
        <v xml:space="preserve">5 Tahun 5 bulan </v>
      </c>
      <c r="L590" s="30" t="s">
        <v>200</v>
      </c>
      <c r="M590" s="5" t="s">
        <v>386</v>
      </c>
      <c r="N590" s="3" t="str">
        <f t="shared" ca="1" si="125"/>
        <v xml:space="preserve">5 Tahun 5 bulan </v>
      </c>
      <c r="O590" s="4"/>
      <c r="P590" s="4" t="s">
        <v>35</v>
      </c>
      <c r="Q590" s="4" t="str">
        <f t="shared" si="129"/>
        <v>Perempuan</v>
      </c>
      <c r="R590" s="4">
        <f t="shared" si="119"/>
        <v>1</v>
      </c>
      <c r="S590" s="4" t="str">
        <f t="shared" ref="S590:S599" si="133">IF(E590="LOWONG","0","1")</f>
        <v>1</v>
      </c>
      <c r="T590" s="4">
        <f t="shared" si="126"/>
        <v>0</v>
      </c>
      <c r="U590" s="29"/>
      <c r="V590" s="30"/>
      <c r="W590" s="30"/>
      <c r="X590" s="30"/>
      <c r="Y590" s="30"/>
      <c r="Z590" s="30"/>
      <c r="AA590" s="30"/>
      <c r="AB590" s="29"/>
      <c r="AC590" s="29"/>
      <c r="AD590" s="37">
        <f t="shared" si="131"/>
        <v>30013</v>
      </c>
      <c r="AE590" s="3" t="str">
        <f t="shared" ca="1" si="130"/>
        <v>44 Tahun 5 bulan 29 Hari</v>
      </c>
      <c r="AF590" s="38">
        <f t="shared" si="132"/>
        <v>51957</v>
      </c>
    </row>
    <row r="591" spans="1:32" s="7" customFormat="1" ht="35.25" customHeight="1" x14ac:dyDescent="0.35">
      <c r="A591" s="26">
        <f t="shared" si="115"/>
        <v>556</v>
      </c>
      <c r="B591" s="27" t="s">
        <v>1659</v>
      </c>
      <c r="C591" s="256" t="s">
        <v>1670</v>
      </c>
      <c r="D591" s="257"/>
      <c r="E591" s="45" t="s">
        <v>322</v>
      </c>
      <c r="F591" s="24" t="s">
        <v>43</v>
      </c>
      <c r="G591" s="44" t="s">
        <v>323</v>
      </c>
      <c r="H591" s="36" t="s">
        <v>303</v>
      </c>
      <c r="I591" s="36" t="s">
        <v>324</v>
      </c>
      <c r="J591" s="5">
        <v>46260</v>
      </c>
      <c r="K591" s="3" t="str">
        <f t="shared" ca="1" si="128"/>
        <v xml:space="preserve">0 Tahun 0 bulan </v>
      </c>
      <c r="L591" s="30" t="s">
        <v>346</v>
      </c>
      <c r="M591" s="5"/>
      <c r="N591" s="3" t="str">
        <f t="shared" ca="1" si="125"/>
        <v/>
      </c>
      <c r="O591" s="36" t="s">
        <v>1671</v>
      </c>
      <c r="P591" s="4" t="s">
        <v>35</v>
      </c>
      <c r="Q591" s="4" t="str">
        <f t="shared" si="129"/>
        <v>Laki-Laki</v>
      </c>
      <c r="R591" s="4">
        <f t="shared" si="119"/>
        <v>1</v>
      </c>
      <c r="S591" s="4" t="str">
        <f t="shared" si="133"/>
        <v>1</v>
      </c>
      <c r="T591" s="4">
        <f t="shared" si="126"/>
        <v>0</v>
      </c>
      <c r="U591" s="29"/>
      <c r="V591" s="30" t="s">
        <v>50</v>
      </c>
      <c r="W591" s="30"/>
      <c r="X591" s="30"/>
      <c r="Y591" s="30"/>
      <c r="Z591" s="30"/>
      <c r="AA591" s="30"/>
      <c r="AB591" s="29"/>
      <c r="AC591" s="29"/>
      <c r="AD591" s="37">
        <f t="shared" si="131"/>
        <v>30501</v>
      </c>
      <c r="AE591" s="3" t="str">
        <f t="shared" ca="1" si="130"/>
        <v>43 Tahun 1 bulan 28 Hari</v>
      </c>
      <c r="AF591" s="38">
        <f t="shared" si="132"/>
        <v>52444</v>
      </c>
    </row>
    <row r="592" spans="1:32" s="7" customFormat="1" ht="32.15" customHeight="1" x14ac:dyDescent="0.35">
      <c r="A592" s="26">
        <f t="shared" si="115"/>
        <v>557</v>
      </c>
      <c r="B592" s="27" t="s">
        <v>1659</v>
      </c>
      <c r="C592" s="108"/>
      <c r="D592" s="67" t="s">
        <v>1672</v>
      </c>
      <c r="E592" s="45" t="s">
        <v>1673</v>
      </c>
      <c r="F592" s="24" t="s">
        <v>43</v>
      </c>
      <c r="G592" s="44" t="s">
        <v>1674</v>
      </c>
      <c r="H592" s="4" t="s">
        <v>554</v>
      </c>
      <c r="I592" s="41" t="s">
        <v>55</v>
      </c>
      <c r="J592" s="5">
        <v>44561</v>
      </c>
      <c r="K592" s="3" t="str">
        <f t="shared" ca="1" si="128"/>
        <v xml:space="preserve">4 Tahun 8 bulan </v>
      </c>
      <c r="L592" s="30" t="s">
        <v>88</v>
      </c>
      <c r="M592" s="5">
        <v>44561</v>
      </c>
      <c r="N592" s="3" t="str">
        <f t="shared" ca="1" si="125"/>
        <v xml:space="preserve">4 Tahun 8 bulan </v>
      </c>
      <c r="O592" s="60"/>
      <c r="P592" s="4" t="s">
        <v>35</v>
      </c>
      <c r="Q592" s="4" t="str">
        <f t="shared" si="129"/>
        <v>Perempuan</v>
      </c>
      <c r="R592" s="4">
        <f t="shared" si="119"/>
        <v>1</v>
      </c>
      <c r="S592" s="4" t="str">
        <f t="shared" si="133"/>
        <v>1</v>
      </c>
      <c r="T592" s="4">
        <f t="shared" si="126"/>
        <v>0</v>
      </c>
      <c r="U592" s="29"/>
      <c r="V592" s="30" t="s">
        <v>50</v>
      </c>
      <c r="W592" s="30"/>
      <c r="X592" s="30"/>
      <c r="Y592" s="30"/>
      <c r="Z592" s="30"/>
      <c r="AA592" s="30"/>
      <c r="AB592" s="29"/>
      <c r="AC592" s="29"/>
      <c r="AD592" s="37">
        <f t="shared" si="131"/>
        <v>27941</v>
      </c>
      <c r="AE592" s="3" t="str">
        <f t="shared" ca="1" si="130"/>
        <v>50 Tahun 2 bulan 2 Hari</v>
      </c>
      <c r="AF592" s="38">
        <f t="shared" si="132"/>
        <v>49857</v>
      </c>
    </row>
    <row r="593" spans="1:33" ht="32.15" customHeight="1" x14ac:dyDescent="0.35">
      <c r="A593" s="26">
        <f t="shared" si="115"/>
        <v>558</v>
      </c>
      <c r="B593" s="27" t="s">
        <v>1659</v>
      </c>
      <c r="C593" s="26"/>
      <c r="D593" s="67" t="s">
        <v>1672</v>
      </c>
      <c r="E593" s="39" t="s">
        <v>1675</v>
      </c>
      <c r="F593" s="24" t="s">
        <v>43</v>
      </c>
      <c r="G593" s="25" t="s">
        <v>1676</v>
      </c>
      <c r="H593" s="4" t="s">
        <v>241</v>
      </c>
      <c r="I593" s="36" t="s">
        <v>184</v>
      </c>
      <c r="J593" s="5">
        <v>44561</v>
      </c>
      <c r="K593" s="3" t="str">
        <f t="shared" ca="1" si="128"/>
        <v xml:space="preserve">4 Tahun 8 bulan </v>
      </c>
      <c r="L593" s="30" t="s">
        <v>88</v>
      </c>
      <c r="M593" s="5">
        <v>44561</v>
      </c>
      <c r="N593" s="3" t="str">
        <f t="shared" ca="1" si="125"/>
        <v xml:space="preserve">4 Tahun 8 bulan </v>
      </c>
      <c r="O593" s="35"/>
      <c r="P593" s="4" t="s">
        <v>35</v>
      </c>
      <c r="Q593" s="4" t="str">
        <f t="shared" si="129"/>
        <v>Laki-Laki</v>
      </c>
      <c r="R593" s="4">
        <f t="shared" si="119"/>
        <v>1</v>
      </c>
      <c r="S593" s="4" t="str">
        <f t="shared" si="133"/>
        <v>1</v>
      </c>
      <c r="T593" s="4">
        <f t="shared" si="126"/>
        <v>0</v>
      </c>
      <c r="U593" s="29"/>
      <c r="V593" s="30" t="s">
        <v>50</v>
      </c>
      <c r="W593" s="30"/>
      <c r="X593" s="30"/>
      <c r="Y593" s="30"/>
      <c r="Z593" s="30"/>
      <c r="AA593" s="30"/>
      <c r="AB593" s="29"/>
      <c r="AC593" s="29"/>
      <c r="AD593" s="37">
        <f t="shared" si="131"/>
        <v>28951</v>
      </c>
      <c r="AE593" s="3" t="str">
        <f t="shared" ca="1" si="130"/>
        <v>47 Tahun 4 bulan 26 Hari</v>
      </c>
      <c r="AF593" s="38">
        <f t="shared" si="132"/>
        <v>50891</v>
      </c>
      <c r="AG593" s="7"/>
    </row>
    <row r="594" spans="1:33" ht="32.15" customHeight="1" x14ac:dyDescent="0.35">
      <c r="A594" s="26">
        <f t="shared" ref="A594:A634" si="134">A593+1</f>
        <v>559</v>
      </c>
      <c r="B594" s="27" t="s">
        <v>1659</v>
      </c>
      <c r="C594" s="256" t="s">
        <v>1677</v>
      </c>
      <c r="D594" s="257"/>
      <c r="E594" s="24" t="s">
        <v>1678</v>
      </c>
      <c r="F594" s="24" t="s">
        <v>43</v>
      </c>
      <c r="G594" s="3" t="s">
        <v>1679</v>
      </c>
      <c r="H594" s="4" t="s">
        <v>259</v>
      </c>
      <c r="I594" s="33" t="s">
        <v>55</v>
      </c>
      <c r="J594" s="5" t="s">
        <v>127</v>
      </c>
      <c r="K594" s="3" t="str">
        <f t="shared" ca="1" si="128"/>
        <v xml:space="preserve">5 Tahun 6 bulan </v>
      </c>
      <c r="L594" s="30" t="s">
        <v>346</v>
      </c>
      <c r="M594" s="5" t="s">
        <v>127</v>
      </c>
      <c r="N594" s="3" t="str">
        <f t="shared" ca="1" si="125"/>
        <v xml:space="preserve">5 Tahun 6 bulan </v>
      </c>
      <c r="O594" s="4"/>
      <c r="P594" s="4" t="s">
        <v>35</v>
      </c>
      <c r="Q594" s="4" t="str">
        <f t="shared" si="129"/>
        <v>Perempuan</v>
      </c>
      <c r="R594" s="4">
        <f t="shared" si="119"/>
        <v>1</v>
      </c>
      <c r="S594" s="4" t="str">
        <f t="shared" si="133"/>
        <v>1</v>
      </c>
      <c r="T594" s="4">
        <f t="shared" si="126"/>
        <v>0</v>
      </c>
      <c r="U594" s="29"/>
      <c r="V594" s="30"/>
      <c r="W594" s="30"/>
      <c r="X594" s="30"/>
      <c r="Y594" s="30"/>
      <c r="Z594" s="30"/>
      <c r="AA594" s="30"/>
      <c r="AB594" s="29"/>
      <c r="AC594" s="29"/>
      <c r="AD594" s="37">
        <f t="shared" si="131"/>
        <v>27371</v>
      </c>
      <c r="AE594" s="3" t="str">
        <f t="shared" ca="1" si="130"/>
        <v>51 Tahun 8 bulan 24 Hari</v>
      </c>
      <c r="AF594" s="38">
        <f t="shared" si="132"/>
        <v>49310</v>
      </c>
      <c r="AG594" s="7"/>
    </row>
    <row r="595" spans="1:33" ht="32.15" customHeight="1" x14ac:dyDescent="0.35">
      <c r="A595" s="26">
        <f t="shared" si="134"/>
        <v>560</v>
      </c>
      <c r="B595" s="27" t="s">
        <v>1659</v>
      </c>
      <c r="C595" s="26"/>
      <c r="D595" s="67" t="s">
        <v>1672</v>
      </c>
      <c r="E595" s="24" t="s">
        <v>1680</v>
      </c>
      <c r="F595" s="24" t="s">
        <v>43</v>
      </c>
      <c r="G595" s="4" t="s">
        <v>1681</v>
      </c>
      <c r="H595" s="4" t="s">
        <v>662</v>
      </c>
      <c r="I595" s="33" t="s">
        <v>55</v>
      </c>
      <c r="J595" s="5">
        <v>44561</v>
      </c>
      <c r="K595" s="3" t="str">
        <f t="shared" ca="1" si="128"/>
        <v xml:space="preserve">4 Tahun 8 bulan </v>
      </c>
      <c r="L595" s="30" t="s">
        <v>88</v>
      </c>
      <c r="M595" s="5">
        <v>44561</v>
      </c>
      <c r="N595" s="3" t="str">
        <f t="shared" ca="1" si="125"/>
        <v xml:space="preserve">4 Tahun 8 bulan </v>
      </c>
      <c r="O595" s="4"/>
      <c r="P595" s="4" t="s">
        <v>35</v>
      </c>
      <c r="Q595" s="4" t="str">
        <f t="shared" si="129"/>
        <v>Perempuan</v>
      </c>
      <c r="R595" s="4">
        <f t="shared" si="119"/>
        <v>1</v>
      </c>
      <c r="S595" s="4" t="str">
        <f t="shared" si="133"/>
        <v>1</v>
      </c>
      <c r="T595" s="4">
        <f t="shared" si="126"/>
        <v>0</v>
      </c>
      <c r="U595" s="29"/>
      <c r="V595" s="30"/>
      <c r="W595" s="30"/>
      <c r="X595" s="30"/>
      <c r="Y595" s="30"/>
      <c r="Z595" s="30"/>
      <c r="AA595" s="30"/>
      <c r="AB595" s="29"/>
      <c r="AC595" s="29"/>
      <c r="AD595" s="37">
        <f t="shared" si="131"/>
        <v>29798</v>
      </c>
      <c r="AE595" s="3" t="str">
        <f t="shared" ca="1" si="130"/>
        <v>45 Tahun 1 bulan 1 Hari</v>
      </c>
      <c r="AF595" s="38">
        <f t="shared" si="132"/>
        <v>51714</v>
      </c>
      <c r="AG595" s="7"/>
    </row>
    <row r="596" spans="1:33" ht="32.15" customHeight="1" x14ac:dyDescent="0.35">
      <c r="A596" s="26">
        <f t="shared" si="134"/>
        <v>561</v>
      </c>
      <c r="B596" s="27" t="s">
        <v>1659</v>
      </c>
      <c r="C596" s="26"/>
      <c r="D596" s="67" t="s">
        <v>1672</v>
      </c>
      <c r="E596" s="24" t="s">
        <v>1682</v>
      </c>
      <c r="F596" s="24" t="s">
        <v>43</v>
      </c>
      <c r="G596" s="4" t="s">
        <v>1683</v>
      </c>
      <c r="H596" s="4" t="s">
        <v>94</v>
      </c>
      <c r="I596" s="36" t="s">
        <v>61</v>
      </c>
      <c r="J596" s="5">
        <v>44561</v>
      </c>
      <c r="K596" s="3" t="str">
        <f t="shared" ca="1" si="128"/>
        <v xml:space="preserve">4 Tahun 8 bulan </v>
      </c>
      <c r="L596" s="30" t="s">
        <v>88</v>
      </c>
      <c r="M596" s="5">
        <v>44561</v>
      </c>
      <c r="N596" s="3" t="str">
        <f t="shared" ca="1" si="125"/>
        <v xml:space="preserve">4 Tahun 8 bulan </v>
      </c>
      <c r="O596" s="4"/>
      <c r="P596" s="4" t="s">
        <v>35</v>
      </c>
      <c r="Q596" s="4" t="str">
        <f t="shared" si="129"/>
        <v>Perempuan</v>
      </c>
      <c r="R596" s="4">
        <f t="shared" si="119"/>
        <v>1</v>
      </c>
      <c r="S596" s="4" t="str">
        <f t="shared" si="133"/>
        <v>1</v>
      </c>
      <c r="T596" s="4">
        <f t="shared" si="126"/>
        <v>0</v>
      </c>
      <c r="U596" s="29"/>
      <c r="V596" s="30"/>
      <c r="W596" s="30"/>
      <c r="X596" s="30"/>
      <c r="Y596" s="30"/>
      <c r="Z596" s="30"/>
      <c r="AA596" s="30"/>
      <c r="AB596" s="29"/>
      <c r="AC596" s="29"/>
      <c r="AD596" s="37">
        <f t="shared" si="131"/>
        <v>28341</v>
      </c>
      <c r="AE596" s="3" t="str">
        <f t="shared" ca="1" si="130"/>
        <v>49 Tahun 0 bulan 28 Hari</v>
      </c>
      <c r="AF596" s="38">
        <f t="shared" si="132"/>
        <v>50284</v>
      </c>
      <c r="AG596" s="7"/>
    </row>
    <row r="597" spans="1:33" ht="32.15" customHeight="1" x14ac:dyDescent="0.35">
      <c r="A597" s="26">
        <f t="shared" si="134"/>
        <v>562</v>
      </c>
      <c r="B597" s="27" t="s">
        <v>1659</v>
      </c>
      <c r="C597" s="256" t="s">
        <v>1684</v>
      </c>
      <c r="D597" s="257"/>
      <c r="E597" s="39" t="s">
        <v>1685</v>
      </c>
      <c r="F597" s="24" t="s">
        <v>43</v>
      </c>
      <c r="G597" s="25" t="s">
        <v>1686</v>
      </c>
      <c r="H597" s="25" t="s">
        <v>891</v>
      </c>
      <c r="I597" s="25" t="s">
        <v>46</v>
      </c>
      <c r="J597" s="5">
        <v>45916</v>
      </c>
      <c r="K597" s="3" t="str">
        <f t="shared" ca="1" si="128"/>
        <v xml:space="preserve">0 Tahun 11 bulan </v>
      </c>
      <c r="L597" s="30" t="s">
        <v>346</v>
      </c>
      <c r="M597" s="5">
        <v>45916</v>
      </c>
      <c r="N597" s="3" t="str">
        <f t="shared" ca="1" si="125"/>
        <v xml:space="preserve">0 Tahun 11 bulan </v>
      </c>
      <c r="O597" s="35"/>
      <c r="P597" s="4" t="s">
        <v>35</v>
      </c>
      <c r="Q597" s="4" t="s">
        <v>591</v>
      </c>
      <c r="R597" s="4">
        <f t="shared" si="119"/>
        <v>1</v>
      </c>
      <c r="S597" s="4" t="str">
        <f t="shared" si="133"/>
        <v>1</v>
      </c>
      <c r="T597" s="4">
        <f t="shared" si="126"/>
        <v>0</v>
      </c>
      <c r="U597" s="29"/>
      <c r="V597" s="30" t="s">
        <v>50</v>
      </c>
      <c r="W597" s="30"/>
      <c r="X597" s="30"/>
      <c r="Y597" s="30"/>
      <c r="Z597" s="30"/>
      <c r="AA597" s="30"/>
      <c r="AB597" s="29"/>
      <c r="AC597" s="29"/>
      <c r="AD597" s="37">
        <f t="shared" si="131"/>
        <v>28330</v>
      </c>
      <c r="AE597" s="3" t="str">
        <f t="shared" ca="1" si="130"/>
        <v>49 Tahun 1 bulan 8 Hari</v>
      </c>
      <c r="AF597" s="38">
        <f t="shared" si="132"/>
        <v>50253</v>
      </c>
      <c r="AG597" s="7"/>
    </row>
    <row r="598" spans="1:33" ht="32.15" customHeight="1" x14ac:dyDescent="0.35">
      <c r="A598" s="26">
        <f t="shared" si="134"/>
        <v>563</v>
      </c>
      <c r="B598" s="27" t="s">
        <v>1659</v>
      </c>
      <c r="C598" s="26"/>
      <c r="D598" s="67" t="s">
        <v>1672</v>
      </c>
      <c r="E598" s="24" t="s">
        <v>108</v>
      </c>
      <c r="F598" s="24"/>
      <c r="G598" s="39"/>
      <c r="H598" s="4"/>
      <c r="I598" s="33"/>
      <c r="J598" s="49"/>
      <c r="K598" s="3" t="str">
        <f t="shared" ca="1" si="128"/>
        <v/>
      </c>
      <c r="L598" s="30" t="s">
        <v>88</v>
      </c>
      <c r="M598" s="49"/>
      <c r="N598" s="3" t="str">
        <f t="shared" ca="1" si="125"/>
        <v/>
      </c>
      <c r="O598" s="4"/>
      <c r="P598" s="4"/>
      <c r="Q598" s="4"/>
      <c r="R598" s="4">
        <f t="shared" si="119"/>
        <v>1</v>
      </c>
      <c r="S598" s="4" t="str">
        <f t="shared" si="133"/>
        <v>0</v>
      </c>
      <c r="T598" s="4">
        <f t="shared" si="126"/>
        <v>1</v>
      </c>
      <c r="U598" s="29"/>
      <c r="V598" s="30"/>
      <c r="W598" s="30"/>
      <c r="X598" s="30"/>
      <c r="Y598" s="30"/>
      <c r="Z598" s="30"/>
      <c r="AA598" s="30"/>
      <c r="AB598" s="29"/>
      <c r="AC598" s="29"/>
      <c r="AD598" s="37" t="str">
        <f t="shared" si="131"/>
        <v/>
      </c>
      <c r="AE598" s="3" t="str">
        <f t="shared" ca="1" si="130"/>
        <v/>
      </c>
      <c r="AF598" s="38" t="str">
        <f t="shared" si="132"/>
        <v/>
      </c>
      <c r="AG598" s="7"/>
    </row>
    <row r="599" spans="1:33" ht="32.15" customHeight="1" x14ac:dyDescent="0.35">
      <c r="A599" s="26">
        <f t="shared" si="134"/>
        <v>564</v>
      </c>
      <c r="B599" s="27" t="s">
        <v>1659</v>
      </c>
      <c r="C599" s="26"/>
      <c r="D599" s="67" t="s">
        <v>1672</v>
      </c>
      <c r="E599" s="39" t="s">
        <v>108</v>
      </c>
      <c r="F599" s="24"/>
      <c r="G599" s="25"/>
      <c r="H599" s="4"/>
      <c r="I599" s="33"/>
      <c r="J599" s="5"/>
      <c r="K599" s="3" t="str">
        <f t="shared" ca="1" si="128"/>
        <v/>
      </c>
      <c r="L599" s="30" t="s">
        <v>88</v>
      </c>
      <c r="M599" s="5"/>
      <c r="N599" s="3" t="str">
        <f t="shared" ca="1" si="125"/>
        <v/>
      </c>
      <c r="O599" s="35"/>
      <c r="P599" s="4" t="s">
        <v>35</v>
      </c>
      <c r="Q599" s="4" t="str">
        <f t="shared" si="129"/>
        <v/>
      </c>
      <c r="R599" s="4">
        <f t="shared" si="119"/>
        <v>1</v>
      </c>
      <c r="S599" s="4" t="str">
        <f t="shared" si="133"/>
        <v>0</v>
      </c>
      <c r="T599" s="4">
        <f t="shared" si="126"/>
        <v>1</v>
      </c>
      <c r="U599" s="29"/>
      <c r="V599" s="30" t="s">
        <v>50</v>
      </c>
      <c r="W599" s="30"/>
      <c r="X599" s="30"/>
      <c r="Y599" s="30"/>
      <c r="Z599" s="30"/>
      <c r="AA599" s="30"/>
      <c r="AB599" s="29"/>
      <c r="AC599" s="29"/>
      <c r="AD599" s="37" t="str">
        <f t="shared" si="131"/>
        <v/>
      </c>
      <c r="AE599" s="3" t="str">
        <f t="shared" ca="1" si="130"/>
        <v/>
      </c>
      <c r="AF599" s="38" t="str">
        <f t="shared" si="132"/>
        <v/>
      </c>
    </row>
    <row r="600" spans="1:33" ht="32.15" customHeight="1" x14ac:dyDescent="0.35">
      <c r="A600" s="26"/>
      <c r="B600" s="27" t="s">
        <v>1687</v>
      </c>
      <c r="C600" s="280" t="s">
        <v>1688</v>
      </c>
      <c r="D600" s="281"/>
      <c r="E600" s="271" t="str">
        <f ca="1">IF(J600="","",CONCATENATE(DATEDIF(J600,NOW(),"Y")," Tahun ",DATEDIF(J600,NOW(),"YM")," bulan "))</f>
        <v/>
      </c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  <c r="AB600" s="272"/>
      <c r="AC600" s="272"/>
      <c r="AD600" s="272"/>
      <c r="AE600" s="272"/>
      <c r="AF600" s="273"/>
      <c r="AG600" s="7"/>
    </row>
    <row r="601" spans="1:33" ht="32.15" customHeight="1" x14ac:dyDescent="0.35">
      <c r="A601" s="26">
        <f>A599+1</f>
        <v>565</v>
      </c>
      <c r="B601" s="27" t="s">
        <v>1687</v>
      </c>
      <c r="C601" s="256" t="s">
        <v>1689</v>
      </c>
      <c r="D601" s="257"/>
      <c r="E601" s="71" t="s">
        <v>1690</v>
      </c>
      <c r="F601" s="24" t="s">
        <v>43</v>
      </c>
      <c r="G601" s="70" t="s">
        <v>1691</v>
      </c>
      <c r="H601" s="56" t="s">
        <v>154</v>
      </c>
      <c r="I601" s="25" t="s">
        <v>1692</v>
      </c>
      <c r="J601" s="72" t="s">
        <v>98</v>
      </c>
      <c r="K601" s="3" t="str">
        <f t="shared" ca="1" si="128"/>
        <v xml:space="preserve">3 Tahun 0 bulan </v>
      </c>
      <c r="L601" s="25" t="s">
        <v>79</v>
      </c>
      <c r="M601" s="72" t="s">
        <v>98</v>
      </c>
      <c r="N601" s="3" t="str">
        <f t="shared" ca="1" si="125"/>
        <v xml:space="preserve">3 Tahun 0 bulan </v>
      </c>
      <c r="O601" s="25"/>
      <c r="P601" s="4" t="s">
        <v>968</v>
      </c>
      <c r="Q601" s="4" t="str">
        <f t="shared" si="129"/>
        <v>Perempuan</v>
      </c>
      <c r="R601" s="4">
        <f>R599</f>
        <v>1</v>
      </c>
      <c r="S601" s="4" t="str">
        <f t="shared" ref="S601:S614" si="135">IF(E601="LOWONG","0","1")</f>
        <v>1</v>
      </c>
      <c r="T601" s="4">
        <f t="shared" si="126"/>
        <v>0</v>
      </c>
      <c r="U601" s="29"/>
      <c r="V601" s="30"/>
      <c r="W601" s="30"/>
      <c r="X601" s="30"/>
      <c r="Y601" s="30"/>
      <c r="Z601" s="30"/>
      <c r="AA601" s="30"/>
      <c r="AB601" s="29"/>
      <c r="AC601" s="29"/>
      <c r="AD601" s="37">
        <f t="shared" si="131"/>
        <v>29274</v>
      </c>
      <c r="AE601" s="3" t="str">
        <f t="shared" ca="1" si="130"/>
        <v>46 Tahun 6 bulan 9 Hari</v>
      </c>
      <c r="AF601" s="38">
        <f t="shared" si="132"/>
        <v>51196</v>
      </c>
      <c r="AG601" s="7"/>
    </row>
    <row r="602" spans="1:33" ht="32.15" customHeight="1" x14ac:dyDescent="0.35">
      <c r="A602" s="26">
        <f t="shared" si="134"/>
        <v>566</v>
      </c>
      <c r="B602" s="27" t="s">
        <v>1687</v>
      </c>
      <c r="C602" s="256" t="s">
        <v>1693</v>
      </c>
      <c r="D602" s="257"/>
      <c r="E602" s="24" t="s">
        <v>1694</v>
      </c>
      <c r="F602" s="24" t="s">
        <v>43</v>
      </c>
      <c r="G602" s="3" t="s">
        <v>1695</v>
      </c>
      <c r="H602" s="4" t="s">
        <v>345</v>
      </c>
      <c r="I602" s="4" t="s">
        <v>46</v>
      </c>
      <c r="J602" s="5" t="s">
        <v>98</v>
      </c>
      <c r="K602" s="3" t="str">
        <f t="shared" ca="1" si="128"/>
        <v xml:space="preserve">3 Tahun 0 bulan </v>
      </c>
      <c r="L602" s="36" t="s">
        <v>200</v>
      </c>
      <c r="M602" s="5" t="s">
        <v>98</v>
      </c>
      <c r="N602" s="3" t="str">
        <f t="shared" ca="1" si="125"/>
        <v xml:space="preserve">3 Tahun 0 bulan </v>
      </c>
      <c r="O602" s="4"/>
      <c r="P602" s="4" t="s">
        <v>35</v>
      </c>
      <c r="Q602" s="4" t="str">
        <f t="shared" si="129"/>
        <v>Laki-Laki</v>
      </c>
      <c r="R602" s="4">
        <f t="shared" ref="R602:R614" si="136">R601</f>
        <v>1</v>
      </c>
      <c r="S602" s="4" t="str">
        <f t="shared" si="135"/>
        <v>1</v>
      </c>
      <c r="T602" s="4">
        <f t="shared" si="126"/>
        <v>0</v>
      </c>
      <c r="U602" s="29"/>
      <c r="V602" s="30" t="s">
        <v>50</v>
      </c>
      <c r="W602" s="30"/>
      <c r="X602" s="30"/>
      <c r="Y602" s="30"/>
      <c r="Z602" s="30"/>
      <c r="AA602" s="30"/>
      <c r="AB602" s="29"/>
      <c r="AC602" s="29"/>
      <c r="AD602" s="37">
        <f t="shared" si="131"/>
        <v>28278</v>
      </c>
      <c r="AE602" s="3" t="str">
        <f t="shared" ca="1" si="130"/>
        <v>49 Tahun 2 bulan 30 Hari</v>
      </c>
      <c r="AF602" s="38">
        <f t="shared" si="132"/>
        <v>50222</v>
      </c>
      <c r="AG602" s="7"/>
    </row>
    <row r="603" spans="1:33" ht="36" customHeight="1" x14ac:dyDescent="0.35">
      <c r="A603" s="26">
        <f t="shared" si="134"/>
        <v>567</v>
      </c>
      <c r="B603" s="27" t="s">
        <v>1687</v>
      </c>
      <c r="C603" s="108"/>
      <c r="D603" s="67" t="s">
        <v>1696</v>
      </c>
      <c r="E603" s="24" t="s">
        <v>1699</v>
      </c>
      <c r="F603" s="24" t="s">
        <v>43</v>
      </c>
      <c r="G603" s="3" t="s">
        <v>1700</v>
      </c>
      <c r="H603" s="4" t="s">
        <v>106</v>
      </c>
      <c r="I603" s="4" t="s">
        <v>585</v>
      </c>
      <c r="J603" s="72" t="s">
        <v>386</v>
      </c>
      <c r="K603" s="3" t="str">
        <f t="shared" ca="1" si="128"/>
        <v xml:space="preserve">5 Tahun 5 bulan </v>
      </c>
      <c r="L603" s="4" t="s">
        <v>200</v>
      </c>
      <c r="M603" s="72" t="s">
        <v>386</v>
      </c>
      <c r="N603" s="3" t="str">
        <f t="shared" ca="1" si="125"/>
        <v xml:space="preserve">5 Tahun 5 bulan </v>
      </c>
      <c r="O603" s="4"/>
      <c r="P603" s="4" t="s">
        <v>35</v>
      </c>
      <c r="Q603" s="4" t="str">
        <f t="shared" si="129"/>
        <v>Perempuan</v>
      </c>
      <c r="R603" s="4">
        <f t="shared" si="136"/>
        <v>1</v>
      </c>
      <c r="S603" s="4" t="str">
        <f t="shared" si="135"/>
        <v>1</v>
      </c>
      <c r="T603" s="4">
        <f t="shared" si="126"/>
        <v>0</v>
      </c>
      <c r="U603" s="29"/>
      <c r="V603" s="30"/>
      <c r="W603" s="30"/>
      <c r="X603" s="30"/>
      <c r="Y603" s="30"/>
      <c r="Z603" s="30"/>
      <c r="AA603" s="30"/>
      <c r="AB603" s="29"/>
      <c r="AC603" s="29"/>
      <c r="AD603" s="37">
        <f t="shared" si="131"/>
        <v>28769</v>
      </c>
      <c r="AE603" s="3" t="str">
        <f t="shared" ca="1" si="130"/>
        <v>47 Tahun 10 bulan 26 Hari</v>
      </c>
      <c r="AF603" s="38">
        <f t="shared" si="132"/>
        <v>50710</v>
      </c>
      <c r="AG603" s="7"/>
    </row>
    <row r="604" spans="1:33" ht="32.15" customHeight="1" x14ac:dyDescent="0.35">
      <c r="A604" s="26">
        <f t="shared" si="134"/>
        <v>568</v>
      </c>
      <c r="B604" s="27" t="s">
        <v>1687</v>
      </c>
      <c r="C604" s="108"/>
      <c r="D604" s="67" t="s">
        <v>1698</v>
      </c>
      <c r="E604" s="24" t="s">
        <v>1706</v>
      </c>
      <c r="F604" s="24" t="s">
        <v>43</v>
      </c>
      <c r="G604" s="3" t="s">
        <v>1707</v>
      </c>
      <c r="H604" s="4" t="s">
        <v>1708</v>
      </c>
      <c r="I604" s="4" t="s">
        <v>564</v>
      </c>
      <c r="J604" s="109">
        <v>46260</v>
      </c>
      <c r="K604" s="3" t="str">
        <f t="shared" ca="1" si="128"/>
        <v xml:space="preserve">0 Tahun 0 bulan </v>
      </c>
      <c r="L604" s="4" t="s">
        <v>200</v>
      </c>
      <c r="M604" s="72" t="s">
        <v>338</v>
      </c>
      <c r="N604" s="3" t="str">
        <f t="shared" ca="1" si="125"/>
        <v xml:space="preserve">2 Tahun 11 bulan </v>
      </c>
      <c r="O604" s="4"/>
      <c r="P604" s="4" t="s">
        <v>35</v>
      </c>
      <c r="Q604" s="4" t="str">
        <f t="shared" si="129"/>
        <v>Perempuan</v>
      </c>
      <c r="R604" s="4">
        <f t="shared" si="136"/>
        <v>1</v>
      </c>
      <c r="S604" s="4" t="str">
        <f t="shared" si="135"/>
        <v>1</v>
      </c>
      <c r="T604" s="4">
        <f t="shared" si="126"/>
        <v>0</v>
      </c>
      <c r="U604" s="29"/>
      <c r="V604" s="30"/>
      <c r="W604" s="30"/>
      <c r="X604" s="30"/>
      <c r="Y604" s="30"/>
      <c r="Z604" s="30"/>
      <c r="AA604" s="30"/>
      <c r="AB604" s="29"/>
      <c r="AC604" s="29"/>
      <c r="AD604" s="37">
        <f t="shared" si="131"/>
        <v>30625</v>
      </c>
      <c r="AE604" s="3" t="str">
        <f t="shared" ca="1" si="130"/>
        <v>42 Tahun 9 bulan 27 Hari</v>
      </c>
      <c r="AF604" s="38">
        <f t="shared" si="132"/>
        <v>52566</v>
      </c>
      <c r="AG604" s="7"/>
    </row>
    <row r="605" spans="1:33" ht="32.15" customHeight="1" x14ac:dyDescent="0.35">
      <c r="A605" s="26">
        <f t="shared" si="134"/>
        <v>569</v>
      </c>
      <c r="B605" s="27" t="s">
        <v>1687</v>
      </c>
      <c r="C605" s="108"/>
      <c r="D605" s="67" t="s">
        <v>1701</v>
      </c>
      <c r="E605" s="24" t="s">
        <v>1702</v>
      </c>
      <c r="F605" s="24" t="s">
        <v>43</v>
      </c>
      <c r="G605" s="4" t="s">
        <v>1703</v>
      </c>
      <c r="H605" s="4" t="s">
        <v>154</v>
      </c>
      <c r="I605" s="4" t="s">
        <v>46</v>
      </c>
      <c r="J605" s="72" t="s">
        <v>338</v>
      </c>
      <c r="K605" s="3" t="str">
        <f t="shared" ca="1" si="128"/>
        <v xml:space="preserve">2 Tahun 11 bulan </v>
      </c>
      <c r="L605" s="30" t="s">
        <v>200</v>
      </c>
      <c r="M605" s="72" t="s">
        <v>338</v>
      </c>
      <c r="N605" s="3" t="str">
        <f t="shared" ca="1" si="125"/>
        <v xml:space="preserve">2 Tahun 11 bulan </v>
      </c>
      <c r="O605" s="4"/>
      <c r="P605" s="4" t="s">
        <v>35</v>
      </c>
      <c r="Q605" s="4" t="str">
        <f t="shared" si="129"/>
        <v>Perempuan</v>
      </c>
      <c r="R605" s="4">
        <f t="shared" si="136"/>
        <v>1</v>
      </c>
      <c r="S605" s="4" t="str">
        <f t="shared" si="135"/>
        <v>1</v>
      </c>
      <c r="T605" s="4">
        <f t="shared" si="126"/>
        <v>0</v>
      </c>
      <c r="U605" s="29"/>
      <c r="V605" s="30"/>
      <c r="W605" s="30"/>
      <c r="X605" s="30"/>
      <c r="Y605" s="30"/>
      <c r="Z605" s="30"/>
      <c r="AA605" s="30"/>
      <c r="AB605" s="29"/>
      <c r="AC605" s="29"/>
      <c r="AD605" s="37">
        <f t="shared" si="131"/>
        <v>26580</v>
      </c>
      <c r="AE605" s="3" t="str">
        <f t="shared" ca="1" si="130"/>
        <v>53 Tahun 10 bulan 24 Hari</v>
      </c>
      <c r="AF605" s="38">
        <f t="shared" si="132"/>
        <v>48519</v>
      </c>
      <c r="AG605" s="7"/>
    </row>
    <row r="606" spans="1:33" ht="32.15" customHeight="1" x14ac:dyDescent="0.35">
      <c r="A606" s="26">
        <f t="shared" si="134"/>
        <v>570</v>
      </c>
      <c r="B606" s="27" t="s">
        <v>1687</v>
      </c>
      <c r="C606" s="256" t="s">
        <v>1704</v>
      </c>
      <c r="D606" s="257"/>
      <c r="E606" s="24" t="s">
        <v>570</v>
      </c>
      <c r="F606" s="24" t="s">
        <v>43</v>
      </c>
      <c r="G606" s="3" t="s">
        <v>571</v>
      </c>
      <c r="H606" s="4" t="s">
        <v>563</v>
      </c>
      <c r="I606" s="4" t="s">
        <v>1961</v>
      </c>
      <c r="J606" s="109">
        <v>46087</v>
      </c>
      <c r="K606" s="3" t="str">
        <f t="shared" ca="1" si="128"/>
        <v xml:space="preserve">0 Tahun 5 bulan </v>
      </c>
      <c r="L606" s="30" t="s">
        <v>346</v>
      </c>
      <c r="M606" s="109">
        <v>43798</v>
      </c>
      <c r="N606" s="3" t="str">
        <f t="shared" ca="1" si="125"/>
        <v xml:space="preserve">6 Tahun 9 bulan </v>
      </c>
      <c r="O606" s="4" t="s">
        <v>155</v>
      </c>
      <c r="P606" s="4" t="s">
        <v>35</v>
      </c>
      <c r="Q606" s="4" t="str">
        <f t="shared" si="129"/>
        <v>Laki-Laki</v>
      </c>
      <c r="R606" s="4">
        <f t="shared" si="136"/>
        <v>1</v>
      </c>
      <c r="S606" s="4" t="str">
        <f t="shared" si="135"/>
        <v>1</v>
      </c>
      <c r="T606" s="4">
        <f t="shared" si="126"/>
        <v>0</v>
      </c>
      <c r="U606" s="29"/>
      <c r="V606" s="30" t="s">
        <v>50</v>
      </c>
      <c r="W606" s="30"/>
      <c r="X606" s="30"/>
      <c r="Y606" s="30"/>
      <c r="Z606" s="30"/>
      <c r="AA606" s="30"/>
      <c r="AB606" s="29"/>
      <c r="AC606" s="29"/>
      <c r="AD606" s="37">
        <f t="shared" si="131"/>
        <v>29814</v>
      </c>
      <c r="AE606" s="3" t="str">
        <f t="shared" ca="1" si="130"/>
        <v>45 Tahun 0 bulan 16 Hari</v>
      </c>
      <c r="AF606" s="38">
        <f t="shared" si="132"/>
        <v>51745</v>
      </c>
      <c r="AG606" s="7"/>
    </row>
    <row r="607" spans="1:33" ht="30" x14ac:dyDescent="0.35">
      <c r="A607" s="26">
        <f t="shared" si="134"/>
        <v>571</v>
      </c>
      <c r="B607" s="27" t="s">
        <v>1687</v>
      </c>
      <c r="C607" s="108"/>
      <c r="D607" s="67" t="s">
        <v>1705</v>
      </c>
      <c r="E607" s="45" t="s">
        <v>1281</v>
      </c>
      <c r="F607" s="24" t="s">
        <v>43</v>
      </c>
      <c r="G607" s="44" t="s">
        <v>1282</v>
      </c>
      <c r="H607" s="56" t="s">
        <v>85</v>
      </c>
      <c r="I607" s="36" t="s">
        <v>1283</v>
      </c>
      <c r="J607" s="53">
        <v>46260</v>
      </c>
      <c r="K607" s="3" t="str">
        <f t="shared" ca="1" si="128"/>
        <v xml:space="preserve">0 Tahun 0 bulan </v>
      </c>
      <c r="L607" s="4" t="s">
        <v>200</v>
      </c>
      <c r="M607" s="53">
        <v>46260</v>
      </c>
      <c r="N607" s="3" t="str">
        <f t="shared" ca="1" si="125"/>
        <v xml:space="preserve">0 Tahun 0 bulan </v>
      </c>
      <c r="O607" s="4"/>
      <c r="P607" s="4" t="s">
        <v>35</v>
      </c>
      <c r="Q607" s="4" t="str">
        <f t="shared" si="129"/>
        <v>Laki-Laki</v>
      </c>
      <c r="R607" s="4">
        <f t="shared" si="136"/>
        <v>1</v>
      </c>
      <c r="S607" s="4" t="str">
        <f t="shared" si="135"/>
        <v>1</v>
      </c>
      <c r="T607" s="4">
        <f t="shared" si="126"/>
        <v>0</v>
      </c>
      <c r="U607" s="29"/>
      <c r="V607" s="30"/>
      <c r="W607" s="30"/>
      <c r="X607" s="30"/>
      <c r="Y607" s="30"/>
      <c r="Z607" s="30"/>
      <c r="AA607" s="30"/>
      <c r="AB607" s="29"/>
      <c r="AC607" s="29"/>
      <c r="AD607" s="37">
        <f t="shared" si="131"/>
        <v>29068</v>
      </c>
      <c r="AE607" s="3" t="str">
        <f t="shared" ca="1" si="130"/>
        <v>47 Tahun 1 bulan 0 Hari</v>
      </c>
      <c r="AF607" s="38">
        <f t="shared" si="132"/>
        <v>51014</v>
      </c>
      <c r="AG607" s="7"/>
    </row>
    <row r="608" spans="1:33" ht="32.15" customHeight="1" x14ac:dyDescent="0.35">
      <c r="A608" s="26">
        <f t="shared" si="134"/>
        <v>572</v>
      </c>
      <c r="B608" s="27" t="s">
        <v>1687</v>
      </c>
      <c r="C608" s="108"/>
      <c r="D608" s="67" t="s">
        <v>1709</v>
      </c>
      <c r="E608" s="24" t="s">
        <v>1710</v>
      </c>
      <c r="F608" s="24" t="s">
        <v>43</v>
      </c>
      <c r="G608" s="3" t="s">
        <v>1711</v>
      </c>
      <c r="H608" s="4" t="s">
        <v>662</v>
      </c>
      <c r="I608" s="36" t="s">
        <v>86</v>
      </c>
      <c r="J608" s="72" t="s">
        <v>1697</v>
      </c>
      <c r="K608" s="3" t="str">
        <f t="shared" ca="1" si="128"/>
        <v xml:space="preserve">6 Tahun 0 bulan </v>
      </c>
      <c r="L608" s="4" t="s">
        <v>200</v>
      </c>
      <c r="M608" s="72" t="s">
        <v>1697</v>
      </c>
      <c r="N608" s="3" t="str">
        <f t="shared" ca="1" si="125"/>
        <v xml:space="preserve">6 Tahun 0 bulan </v>
      </c>
      <c r="O608" s="4"/>
      <c r="P608" s="4" t="s">
        <v>35</v>
      </c>
      <c r="Q608" s="4" t="str">
        <f t="shared" si="129"/>
        <v>Perempuan</v>
      </c>
      <c r="R608" s="4">
        <f t="shared" si="136"/>
        <v>1</v>
      </c>
      <c r="S608" s="4" t="str">
        <f t="shared" si="135"/>
        <v>1</v>
      </c>
      <c r="T608" s="4">
        <f t="shared" si="126"/>
        <v>0</v>
      </c>
      <c r="U608" s="29"/>
      <c r="V608" s="30"/>
      <c r="W608" s="30"/>
      <c r="X608" s="30"/>
      <c r="Y608" s="30"/>
      <c r="Z608" s="30"/>
      <c r="AA608" s="30"/>
      <c r="AB608" s="29"/>
      <c r="AC608" s="29"/>
      <c r="AD608" s="37">
        <f t="shared" si="131"/>
        <v>30369</v>
      </c>
      <c r="AE608" s="3" t="str">
        <f t="shared" ca="1" si="130"/>
        <v>43 Tahun 6 bulan 10 Hari</v>
      </c>
      <c r="AF608" s="38">
        <f t="shared" si="132"/>
        <v>52291</v>
      </c>
      <c r="AG608" s="7"/>
    </row>
    <row r="609" spans="1:33" ht="32.15" customHeight="1" x14ac:dyDescent="0.35">
      <c r="A609" s="26">
        <f t="shared" si="134"/>
        <v>573</v>
      </c>
      <c r="B609" s="27" t="s">
        <v>1687</v>
      </c>
      <c r="C609" s="256" t="s">
        <v>1712</v>
      </c>
      <c r="D609" s="257"/>
      <c r="E609" s="24" t="s">
        <v>556</v>
      </c>
      <c r="F609" s="24" t="s">
        <v>43</v>
      </c>
      <c r="G609" s="70" t="s">
        <v>557</v>
      </c>
      <c r="H609" s="4" t="s">
        <v>259</v>
      </c>
      <c r="I609" s="4" t="s">
        <v>86</v>
      </c>
      <c r="J609" s="109">
        <v>46260</v>
      </c>
      <c r="K609" s="3" t="str">
        <f t="shared" ca="1" si="128"/>
        <v xml:space="preserve">0 Tahun 0 bulan </v>
      </c>
      <c r="L609" s="30" t="s">
        <v>346</v>
      </c>
      <c r="M609" s="5"/>
      <c r="N609" s="3" t="str">
        <f t="shared" ca="1" si="125"/>
        <v/>
      </c>
      <c r="O609" s="4"/>
      <c r="P609" s="4" t="s">
        <v>35</v>
      </c>
      <c r="Q609" s="4" t="str">
        <f t="shared" si="129"/>
        <v>Laki-Laki</v>
      </c>
      <c r="R609" s="4">
        <f t="shared" si="136"/>
        <v>1</v>
      </c>
      <c r="S609" s="4" t="str">
        <f t="shared" si="135"/>
        <v>1</v>
      </c>
      <c r="T609" s="4">
        <f t="shared" si="126"/>
        <v>0</v>
      </c>
      <c r="U609" s="29"/>
      <c r="V609" s="30" t="s">
        <v>50</v>
      </c>
      <c r="W609" s="30"/>
      <c r="X609" s="30"/>
      <c r="Y609" s="30"/>
      <c r="Z609" s="30"/>
      <c r="AA609" s="30"/>
      <c r="AB609" s="29"/>
      <c r="AC609" s="29"/>
      <c r="AD609" s="37">
        <f t="shared" si="131"/>
        <v>26733</v>
      </c>
      <c r="AE609" s="3" t="str">
        <f t="shared" ca="1" si="130"/>
        <v>53 Tahun 5 bulan 22 Hari</v>
      </c>
      <c r="AF609" s="38">
        <f t="shared" si="132"/>
        <v>48670</v>
      </c>
      <c r="AG609" s="7"/>
    </row>
    <row r="610" spans="1:33" ht="36" customHeight="1" x14ac:dyDescent="0.35">
      <c r="A610" s="26">
        <f t="shared" si="134"/>
        <v>574</v>
      </c>
      <c r="B610" s="27" t="s">
        <v>1687</v>
      </c>
      <c r="C610" s="108"/>
      <c r="D610" s="67" t="s">
        <v>1717</v>
      </c>
      <c r="E610" s="71" t="s">
        <v>1718</v>
      </c>
      <c r="F610" s="24" t="s">
        <v>43</v>
      </c>
      <c r="G610" s="70" t="s">
        <v>1719</v>
      </c>
      <c r="H610" s="4" t="s">
        <v>788</v>
      </c>
      <c r="I610" s="4" t="s">
        <v>1716</v>
      </c>
      <c r="J610" s="72" t="s">
        <v>1697</v>
      </c>
      <c r="K610" s="3" t="str">
        <f t="shared" ca="1" si="128"/>
        <v xml:space="preserve">6 Tahun 0 bulan </v>
      </c>
      <c r="L610" s="4" t="s">
        <v>200</v>
      </c>
      <c r="M610" s="72" t="s">
        <v>1697</v>
      </c>
      <c r="N610" s="3" t="str">
        <f t="shared" ca="1" si="125"/>
        <v xml:space="preserve">6 Tahun 0 bulan </v>
      </c>
      <c r="O610" s="56"/>
      <c r="P610" s="4" t="s">
        <v>35</v>
      </c>
      <c r="Q610" s="4" t="str">
        <f t="shared" si="129"/>
        <v>Perempuan</v>
      </c>
      <c r="R610" s="4">
        <f t="shared" si="136"/>
        <v>1</v>
      </c>
      <c r="S610" s="4" t="str">
        <f t="shared" si="135"/>
        <v>1</v>
      </c>
      <c r="T610" s="4">
        <f t="shared" si="126"/>
        <v>0</v>
      </c>
      <c r="U610" s="29"/>
      <c r="V610" s="30"/>
      <c r="W610" s="30"/>
      <c r="X610" s="30"/>
      <c r="Y610" s="30"/>
      <c r="Z610" s="30"/>
      <c r="AA610" s="30"/>
      <c r="AB610" s="29"/>
      <c r="AC610" s="29"/>
      <c r="AD610" s="37">
        <f t="shared" si="131"/>
        <v>30886</v>
      </c>
      <c r="AE610" s="3" t="str">
        <f t="shared" ca="1" si="130"/>
        <v>42 Tahun 1 bulan 9 Hari</v>
      </c>
      <c r="AF610" s="38">
        <f t="shared" si="132"/>
        <v>52810</v>
      </c>
      <c r="AG610" s="7"/>
    </row>
    <row r="611" spans="1:33" ht="37.5" customHeight="1" x14ac:dyDescent="0.35">
      <c r="A611" s="26">
        <f t="shared" si="134"/>
        <v>575</v>
      </c>
      <c r="B611" s="27" t="s">
        <v>1687</v>
      </c>
      <c r="C611" s="108"/>
      <c r="D611" s="67" t="s">
        <v>1720</v>
      </c>
      <c r="E611" s="71" t="s">
        <v>1721</v>
      </c>
      <c r="F611" s="24" t="s">
        <v>43</v>
      </c>
      <c r="G611" s="70" t="s">
        <v>1722</v>
      </c>
      <c r="H611" s="4" t="s">
        <v>1723</v>
      </c>
      <c r="I611" s="4" t="s">
        <v>1724</v>
      </c>
      <c r="J611" s="72" t="s">
        <v>386</v>
      </c>
      <c r="K611" s="3" t="str">
        <f t="shared" ca="1" si="128"/>
        <v xml:space="preserve">5 Tahun 5 bulan </v>
      </c>
      <c r="L611" s="4" t="s">
        <v>200</v>
      </c>
      <c r="M611" s="72" t="s">
        <v>386</v>
      </c>
      <c r="N611" s="3" t="str">
        <f t="shared" ca="1" si="125"/>
        <v xml:space="preserve">5 Tahun 5 bulan </v>
      </c>
      <c r="O611" s="56"/>
      <c r="P611" s="4" t="s">
        <v>35</v>
      </c>
      <c r="Q611" s="4" t="str">
        <f t="shared" si="129"/>
        <v>Perempuan</v>
      </c>
      <c r="R611" s="4">
        <f t="shared" si="136"/>
        <v>1</v>
      </c>
      <c r="S611" s="4" t="str">
        <f t="shared" si="135"/>
        <v>1</v>
      </c>
      <c r="T611" s="4">
        <f t="shared" si="126"/>
        <v>0</v>
      </c>
      <c r="U611" s="29"/>
      <c r="V611" s="30"/>
      <c r="W611" s="30"/>
      <c r="X611" s="30"/>
      <c r="Y611" s="30"/>
      <c r="Z611" s="30"/>
      <c r="AA611" s="30"/>
      <c r="AB611" s="29"/>
      <c r="AC611" s="29"/>
      <c r="AD611" s="37">
        <f t="shared" si="131"/>
        <v>31020</v>
      </c>
      <c r="AE611" s="3" t="str">
        <f t="shared" ca="1" si="130"/>
        <v>41 Tahun 8 bulan 28 Hari</v>
      </c>
      <c r="AF611" s="38">
        <f t="shared" si="132"/>
        <v>52963</v>
      </c>
      <c r="AG611" s="7"/>
    </row>
    <row r="612" spans="1:33" ht="32.15" customHeight="1" x14ac:dyDescent="0.35">
      <c r="A612" s="26">
        <f t="shared" si="134"/>
        <v>576</v>
      </c>
      <c r="B612" s="27" t="s">
        <v>1687</v>
      </c>
      <c r="C612" s="256" t="s">
        <v>1725</v>
      </c>
      <c r="D612" s="257"/>
      <c r="E612" s="24" t="s">
        <v>1726</v>
      </c>
      <c r="F612" s="24" t="s">
        <v>43</v>
      </c>
      <c r="G612" s="3" t="s">
        <v>1727</v>
      </c>
      <c r="H612" s="4" t="s">
        <v>1728</v>
      </c>
      <c r="I612" s="36" t="s">
        <v>1729</v>
      </c>
      <c r="J612" s="110">
        <v>45916</v>
      </c>
      <c r="K612" s="3" t="str">
        <f t="shared" ca="1" si="128"/>
        <v xml:space="preserve">0 Tahun 11 bulan </v>
      </c>
      <c r="L612" s="30" t="s">
        <v>346</v>
      </c>
      <c r="M612" s="110">
        <v>45916</v>
      </c>
      <c r="N612" s="3" t="str">
        <f t="shared" ca="1" si="125"/>
        <v xml:space="preserve">0 Tahun 11 bulan </v>
      </c>
      <c r="O612" s="4"/>
      <c r="P612" s="4" t="s">
        <v>35</v>
      </c>
      <c r="Q612" s="4" t="str">
        <f t="shared" si="129"/>
        <v>Laki-Laki</v>
      </c>
      <c r="R612" s="4">
        <f t="shared" si="136"/>
        <v>1</v>
      </c>
      <c r="S612" s="4" t="str">
        <f t="shared" si="135"/>
        <v>1</v>
      </c>
      <c r="T612" s="4">
        <f t="shared" si="126"/>
        <v>0</v>
      </c>
      <c r="U612" s="29"/>
      <c r="V612" s="30" t="s">
        <v>50</v>
      </c>
      <c r="W612" s="30"/>
      <c r="X612" s="30"/>
      <c r="Y612" s="30"/>
      <c r="Z612" s="30"/>
      <c r="AA612" s="30"/>
      <c r="AB612" s="29"/>
      <c r="AC612" s="29"/>
      <c r="AD612" s="37">
        <f t="shared" si="131"/>
        <v>33093</v>
      </c>
      <c r="AE612" s="3" t="str">
        <f t="shared" ca="1" si="130"/>
        <v>36 Tahun 0 bulan 24 Hari</v>
      </c>
      <c r="AF612" s="38">
        <f t="shared" si="132"/>
        <v>55032</v>
      </c>
      <c r="AG612" s="7"/>
    </row>
    <row r="613" spans="1:33" ht="32.15" customHeight="1" x14ac:dyDescent="0.35">
      <c r="A613" s="26">
        <f t="shared" si="134"/>
        <v>577</v>
      </c>
      <c r="B613" s="27" t="s">
        <v>1687</v>
      </c>
      <c r="C613" s="26"/>
      <c r="D613" s="67" t="s">
        <v>1730</v>
      </c>
      <c r="E613" s="24" t="s">
        <v>1731</v>
      </c>
      <c r="F613" s="24" t="s">
        <v>43</v>
      </c>
      <c r="G613" s="3" t="s">
        <v>1732</v>
      </c>
      <c r="H613" s="4" t="s">
        <v>1733</v>
      </c>
      <c r="I613" s="4" t="s">
        <v>1734</v>
      </c>
      <c r="J613" s="47" t="s">
        <v>1032</v>
      </c>
      <c r="K613" s="3" t="str">
        <f t="shared" ca="1" si="128"/>
        <v xml:space="preserve">4 Tahun 5 bulan </v>
      </c>
      <c r="L613" s="4" t="s">
        <v>200</v>
      </c>
      <c r="M613" s="47" t="s">
        <v>1032</v>
      </c>
      <c r="N613" s="3" t="str">
        <f t="shared" ca="1" si="125"/>
        <v xml:space="preserve">4 Tahun 5 bulan </v>
      </c>
      <c r="O613" s="4"/>
      <c r="P613" s="4" t="s">
        <v>35</v>
      </c>
      <c r="Q613" s="4" t="str">
        <f t="shared" si="129"/>
        <v>Perempuan</v>
      </c>
      <c r="R613" s="4">
        <f t="shared" si="136"/>
        <v>1</v>
      </c>
      <c r="S613" s="4" t="str">
        <f t="shared" si="135"/>
        <v>1</v>
      </c>
      <c r="T613" s="4">
        <f t="shared" si="126"/>
        <v>0</v>
      </c>
      <c r="U613" s="29"/>
      <c r="V613" s="30"/>
      <c r="W613" s="30"/>
      <c r="X613" s="30"/>
      <c r="Y613" s="30"/>
      <c r="Z613" s="30"/>
      <c r="AA613" s="30"/>
      <c r="AB613" s="29"/>
      <c r="AC613" s="29"/>
      <c r="AD613" s="37">
        <f t="shared" si="131"/>
        <v>30172</v>
      </c>
      <c r="AE613" s="3" t="str">
        <f t="shared" ca="1" si="130"/>
        <v>44 Tahun 0 bulan 23 Hari</v>
      </c>
      <c r="AF613" s="38">
        <f t="shared" si="132"/>
        <v>52110</v>
      </c>
      <c r="AG613" s="7"/>
    </row>
    <row r="614" spans="1:33" ht="32.15" customHeight="1" x14ac:dyDescent="0.35">
      <c r="A614" s="26">
        <f t="shared" si="134"/>
        <v>578</v>
      </c>
      <c r="B614" s="27" t="s">
        <v>1687</v>
      </c>
      <c r="C614" s="26"/>
      <c r="D614" s="67" t="s">
        <v>1735</v>
      </c>
      <c r="E614" s="24" t="s">
        <v>1713</v>
      </c>
      <c r="F614" s="24" t="s">
        <v>43</v>
      </c>
      <c r="G614" s="3" t="s">
        <v>1714</v>
      </c>
      <c r="H614" s="4" t="s">
        <v>1715</v>
      </c>
      <c r="I614" s="4" t="s">
        <v>1736</v>
      </c>
      <c r="J614" s="72" t="s">
        <v>338</v>
      </c>
      <c r="K614" s="3" t="str">
        <f t="shared" ca="1" si="128"/>
        <v xml:space="preserve">2 Tahun 11 bulan </v>
      </c>
      <c r="L614" s="4" t="s">
        <v>200</v>
      </c>
      <c r="M614" s="72" t="s">
        <v>338</v>
      </c>
      <c r="N614" s="3" t="str">
        <f t="shared" ca="1" si="125"/>
        <v xml:space="preserve">2 Tahun 11 bulan </v>
      </c>
      <c r="O614" s="4"/>
      <c r="P614" s="4" t="s">
        <v>35</v>
      </c>
      <c r="Q614" s="4" t="str">
        <f t="shared" si="129"/>
        <v>Perempuan</v>
      </c>
      <c r="R614" s="4">
        <f t="shared" si="136"/>
        <v>1</v>
      </c>
      <c r="S614" s="4" t="str">
        <f t="shared" si="135"/>
        <v>1</v>
      </c>
      <c r="T614" s="4">
        <f t="shared" si="126"/>
        <v>0</v>
      </c>
      <c r="U614" s="29"/>
      <c r="V614" s="30"/>
      <c r="W614" s="30"/>
      <c r="X614" s="30"/>
      <c r="Y614" s="30"/>
      <c r="Z614" s="30"/>
      <c r="AA614" s="30"/>
      <c r="AB614" s="29"/>
      <c r="AC614" s="29"/>
      <c r="AD614" s="37">
        <f t="shared" si="131"/>
        <v>28121</v>
      </c>
      <c r="AE614" s="3" t="str">
        <f t="shared" ca="1" si="130"/>
        <v>49 Tahun 8 bulan 5 Hari</v>
      </c>
      <c r="AF614" s="38">
        <f t="shared" si="132"/>
        <v>50041</v>
      </c>
      <c r="AG614" s="7"/>
    </row>
    <row r="615" spans="1:33" ht="27" customHeight="1" x14ac:dyDescent="0.35">
      <c r="A615" s="26"/>
      <c r="B615" s="27" t="s">
        <v>1737</v>
      </c>
      <c r="C615" s="280" t="s">
        <v>1738</v>
      </c>
      <c r="D615" s="281"/>
      <c r="E615" s="271" t="str">
        <f ca="1">IF(J615="","",CONCATENATE(DATEDIF(J615,NOW(),"Y")," Tahun ",DATEDIF(J615,NOW(),"YM")," bulan "))</f>
        <v/>
      </c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3"/>
      <c r="AG615" s="7"/>
    </row>
    <row r="616" spans="1:33" ht="32.15" customHeight="1" x14ac:dyDescent="0.35">
      <c r="A616" s="26">
        <f>A614+1</f>
        <v>579</v>
      </c>
      <c r="B616" s="27" t="s">
        <v>1737</v>
      </c>
      <c r="C616" s="282" t="s">
        <v>1739</v>
      </c>
      <c r="D616" s="283"/>
      <c r="E616" s="45" t="s">
        <v>2025</v>
      </c>
      <c r="F616" s="24" t="s">
        <v>43</v>
      </c>
      <c r="G616" s="44" t="s">
        <v>2853</v>
      </c>
      <c r="H616" s="4" t="s">
        <v>159</v>
      </c>
      <c r="I616" s="36" t="s">
        <v>759</v>
      </c>
      <c r="J616" s="53">
        <v>46260</v>
      </c>
      <c r="K616" s="3" t="str">
        <f t="shared" ca="1" si="128"/>
        <v xml:space="preserve">0 Tahun 0 bulan </v>
      </c>
      <c r="L616" s="36" t="s">
        <v>79</v>
      </c>
      <c r="M616" s="47" t="s">
        <v>369</v>
      </c>
      <c r="N616" s="3" t="str">
        <f t="shared" ca="1" si="125"/>
        <v xml:space="preserve">3 Tahun 11 bulan </v>
      </c>
      <c r="O616" s="36"/>
      <c r="P616" s="4" t="s">
        <v>35</v>
      </c>
      <c r="Q616" s="4" t="str">
        <f t="shared" si="129"/>
        <v>Laki-Laki</v>
      </c>
      <c r="R616" s="4">
        <f>R614</f>
        <v>1</v>
      </c>
      <c r="S616" s="4" t="str">
        <f t="shared" ref="S616:S624" si="137">IF(E616="LOWONG","0","1")</f>
        <v>1</v>
      </c>
      <c r="T616" s="4">
        <f t="shared" si="126"/>
        <v>0</v>
      </c>
      <c r="U616" s="29"/>
      <c r="V616" s="30" t="s">
        <v>50</v>
      </c>
      <c r="W616" s="30"/>
      <c r="X616" s="30"/>
      <c r="Y616" s="30"/>
      <c r="Z616" s="30"/>
      <c r="AA616" s="30"/>
      <c r="AB616" s="29"/>
      <c r="AC616" s="29"/>
      <c r="AD616" s="37">
        <f t="shared" si="131"/>
        <v>29399</v>
      </c>
      <c r="AE616" s="3" t="str">
        <f t="shared" ca="1" si="130"/>
        <v>46 Tahun 2 bulan 5 Hari</v>
      </c>
      <c r="AF616" s="38">
        <f t="shared" si="132"/>
        <v>51318</v>
      </c>
      <c r="AG616" s="7"/>
    </row>
    <row r="617" spans="1:33" ht="32.15" customHeight="1" x14ac:dyDescent="0.35">
      <c r="A617" s="26">
        <f t="shared" si="134"/>
        <v>580</v>
      </c>
      <c r="B617" s="27" t="s">
        <v>1737</v>
      </c>
      <c r="C617" s="282" t="s">
        <v>1742</v>
      </c>
      <c r="D617" s="283"/>
      <c r="E617" s="45" t="s">
        <v>2256</v>
      </c>
      <c r="F617" s="24" t="s">
        <v>43</v>
      </c>
      <c r="G617" s="44" t="s">
        <v>2257</v>
      </c>
      <c r="H617" s="4" t="s">
        <v>379</v>
      </c>
      <c r="I617" s="36" t="s">
        <v>86</v>
      </c>
      <c r="J617" s="53">
        <v>46260</v>
      </c>
      <c r="K617" s="3" t="str">
        <f t="shared" ca="1" si="128"/>
        <v xml:space="preserve">0 Tahun 0 bulan </v>
      </c>
      <c r="L617" s="36" t="s">
        <v>346</v>
      </c>
      <c r="M617" s="47" t="s">
        <v>338</v>
      </c>
      <c r="N617" s="3" t="str">
        <f t="shared" ca="1" si="125"/>
        <v xml:space="preserve">2 Tahun 11 bulan </v>
      </c>
      <c r="O617" s="36"/>
      <c r="P617" s="4" t="s">
        <v>35</v>
      </c>
      <c r="Q617" s="4" t="str">
        <f t="shared" si="129"/>
        <v>Laki-Laki</v>
      </c>
      <c r="R617" s="4">
        <f t="shared" ref="R617:R680" si="138">R616</f>
        <v>1</v>
      </c>
      <c r="S617" s="4" t="str">
        <f t="shared" si="137"/>
        <v>1</v>
      </c>
      <c r="T617" s="4">
        <f t="shared" si="126"/>
        <v>0</v>
      </c>
      <c r="U617" s="29"/>
      <c r="V617" s="30" t="s">
        <v>50</v>
      </c>
      <c r="W617" s="30"/>
      <c r="X617" s="30"/>
      <c r="Y617" s="30"/>
      <c r="Z617" s="30"/>
      <c r="AA617" s="30"/>
      <c r="AB617" s="29"/>
      <c r="AC617" s="29"/>
      <c r="AD617" s="37">
        <f t="shared" si="131"/>
        <v>26345</v>
      </c>
      <c r="AE617" s="3" t="str">
        <f t="shared" ca="1" si="130"/>
        <v>54 Tahun 6 bulan 16 Hari</v>
      </c>
      <c r="AF617" s="38">
        <f t="shared" si="132"/>
        <v>48274</v>
      </c>
      <c r="AG617" s="7"/>
    </row>
    <row r="618" spans="1:33" ht="32.15" customHeight="1" x14ac:dyDescent="0.35">
      <c r="A618" s="26">
        <f t="shared" si="134"/>
        <v>581</v>
      </c>
      <c r="B618" s="27" t="s">
        <v>1737</v>
      </c>
      <c r="C618" s="26"/>
      <c r="D618" s="111" t="s">
        <v>1745</v>
      </c>
      <c r="E618" s="45" t="s">
        <v>1746</v>
      </c>
      <c r="F618" s="24" t="s">
        <v>43</v>
      </c>
      <c r="G618" s="36" t="s">
        <v>1747</v>
      </c>
      <c r="H618" s="36" t="s">
        <v>414</v>
      </c>
      <c r="I618" s="36" t="s">
        <v>184</v>
      </c>
      <c r="J618" s="47" t="s">
        <v>1748</v>
      </c>
      <c r="K618" s="3" t="str">
        <f t="shared" ca="1" si="128"/>
        <v xml:space="preserve">9 Tahun 7 bulan </v>
      </c>
      <c r="L618" s="36" t="s">
        <v>1749</v>
      </c>
      <c r="M618" s="47" t="s">
        <v>1748</v>
      </c>
      <c r="N618" s="3" t="str">
        <f t="shared" ca="1" si="125"/>
        <v xml:space="preserve">9 Tahun 7 bulan </v>
      </c>
      <c r="O618" s="36"/>
      <c r="P618" s="4" t="s">
        <v>35</v>
      </c>
      <c r="Q618" s="4" t="str">
        <f t="shared" si="129"/>
        <v>Laki-Laki</v>
      </c>
      <c r="R618" s="4">
        <f t="shared" si="138"/>
        <v>1</v>
      </c>
      <c r="S618" s="4" t="str">
        <f t="shared" si="137"/>
        <v>1</v>
      </c>
      <c r="T618" s="4">
        <f t="shared" si="126"/>
        <v>0</v>
      </c>
      <c r="U618" s="29"/>
      <c r="V618" s="30" t="s">
        <v>50</v>
      </c>
      <c r="W618" s="30"/>
      <c r="X618" s="30"/>
      <c r="Y618" s="30"/>
      <c r="Z618" s="30"/>
      <c r="AA618" s="30"/>
      <c r="AB618" s="29"/>
      <c r="AC618" s="29"/>
      <c r="AD618" s="37">
        <f t="shared" si="131"/>
        <v>28532</v>
      </c>
      <c r="AE618" s="3" t="str">
        <f t="shared" ca="1" si="130"/>
        <v>48 Tahun 6 bulan 21 Hari</v>
      </c>
      <c r="AF618" s="38">
        <f t="shared" si="132"/>
        <v>50465</v>
      </c>
      <c r="AG618" s="7"/>
    </row>
    <row r="619" spans="1:33" ht="32.15" customHeight="1" x14ac:dyDescent="0.35">
      <c r="A619" s="26">
        <f t="shared" si="134"/>
        <v>582</v>
      </c>
      <c r="B619" s="27" t="s">
        <v>1737</v>
      </c>
      <c r="C619" s="26"/>
      <c r="D619" s="111" t="s">
        <v>1750</v>
      </c>
      <c r="E619" s="45" t="s">
        <v>1751</v>
      </c>
      <c r="F619" s="24" t="s">
        <v>43</v>
      </c>
      <c r="G619" s="36" t="s">
        <v>1752</v>
      </c>
      <c r="H619" s="36" t="s">
        <v>1753</v>
      </c>
      <c r="I619" s="36" t="s">
        <v>184</v>
      </c>
      <c r="J619" s="47" t="s">
        <v>1754</v>
      </c>
      <c r="K619" s="3" t="str">
        <f t="shared" ca="1" si="128"/>
        <v xml:space="preserve">4 Tahun 10 bulan </v>
      </c>
      <c r="L619" s="36" t="s">
        <v>1749</v>
      </c>
      <c r="M619" s="47" t="s">
        <v>1754</v>
      </c>
      <c r="N619" s="3" t="str">
        <f t="shared" ca="1" si="125"/>
        <v xml:space="preserve">4 Tahun 10 bulan </v>
      </c>
      <c r="O619" s="25"/>
      <c r="P619" s="4" t="s">
        <v>35</v>
      </c>
      <c r="Q619" s="4" t="str">
        <f t="shared" si="129"/>
        <v>Laki-Laki</v>
      </c>
      <c r="R619" s="4">
        <f t="shared" si="138"/>
        <v>1</v>
      </c>
      <c r="S619" s="4" t="str">
        <f t="shared" si="137"/>
        <v>1</v>
      </c>
      <c r="T619" s="4">
        <f t="shared" si="126"/>
        <v>0</v>
      </c>
      <c r="U619" s="29"/>
      <c r="V619" s="30" t="s">
        <v>50</v>
      </c>
      <c r="W619" s="30"/>
      <c r="X619" s="30"/>
      <c r="Y619" s="30"/>
      <c r="Z619" s="30"/>
      <c r="AA619" s="30"/>
      <c r="AB619" s="29"/>
      <c r="AC619" s="29"/>
      <c r="AD619" s="37">
        <f t="shared" si="131"/>
        <v>26041</v>
      </c>
      <c r="AE619" s="3" t="str">
        <f t="shared" ca="1" si="130"/>
        <v>55 Tahun 4 bulan 14 Hari</v>
      </c>
      <c r="AF619" s="38">
        <f t="shared" si="132"/>
        <v>47969</v>
      </c>
      <c r="AG619" s="7"/>
    </row>
    <row r="620" spans="1:33" ht="32.15" customHeight="1" x14ac:dyDescent="0.35">
      <c r="A620" s="26">
        <f t="shared" si="134"/>
        <v>583</v>
      </c>
      <c r="B620" s="27" t="s">
        <v>1737</v>
      </c>
      <c r="C620" s="26"/>
      <c r="D620" s="60" t="s">
        <v>1755</v>
      </c>
      <c r="E620" s="45" t="s">
        <v>1756</v>
      </c>
      <c r="F620" s="24" t="s">
        <v>43</v>
      </c>
      <c r="G620" s="36" t="s">
        <v>1757</v>
      </c>
      <c r="H620" s="36" t="s">
        <v>241</v>
      </c>
      <c r="I620" s="36" t="s">
        <v>184</v>
      </c>
      <c r="J620" s="47" t="s">
        <v>292</v>
      </c>
      <c r="K620" s="3" t="str">
        <f t="shared" ca="1" si="128"/>
        <v xml:space="preserve">7 Tahun 7 bulan </v>
      </c>
      <c r="L620" s="36" t="s">
        <v>200</v>
      </c>
      <c r="M620" s="47" t="s">
        <v>292</v>
      </c>
      <c r="N620" s="3" t="str">
        <f t="shared" ca="1" si="125"/>
        <v xml:space="preserve">7 Tahun 7 bulan </v>
      </c>
      <c r="O620" s="36"/>
      <c r="P620" s="4" t="s">
        <v>35</v>
      </c>
      <c r="Q620" s="4" t="str">
        <f t="shared" si="129"/>
        <v>Laki-Laki</v>
      </c>
      <c r="R620" s="4">
        <f t="shared" si="138"/>
        <v>1</v>
      </c>
      <c r="S620" s="4" t="str">
        <f t="shared" si="137"/>
        <v>1</v>
      </c>
      <c r="T620" s="4">
        <f t="shared" si="126"/>
        <v>0</v>
      </c>
      <c r="U620" s="29"/>
      <c r="V620" s="30" t="s">
        <v>50</v>
      </c>
      <c r="W620" s="30"/>
      <c r="X620" s="30"/>
      <c r="Y620" s="30"/>
      <c r="Z620" s="30"/>
      <c r="AA620" s="30"/>
      <c r="AB620" s="29"/>
      <c r="AC620" s="29"/>
      <c r="AD620" s="37">
        <f t="shared" si="131"/>
        <v>28827</v>
      </c>
      <c r="AE620" s="3" t="str">
        <f t="shared" ca="1" si="130"/>
        <v>47 Tahun 8 bulan 29 Hari</v>
      </c>
      <c r="AF620" s="38">
        <f t="shared" si="132"/>
        <v>50771</v>
      </c>
      <c r="AG620" s="7"/>
    </row>
    <row r="621" spans="1:33" ht="32.15" customHeight="1" x14ac:dyDescent="0.35">
      <c r="A621" s="26">
        <f t="shared" si="134"/>
        <v>584</v>
      </c>
      <c r="B621" s="27" t="s">
        <v>1737</v>
      </c>
      <c r="C621" s="319"/>
      <c r="D621" s="320" t="s">
        <v>1758</v>
      </c>
      <c r="E621" s="45" t="s">
        <v>1759</v>
      </c>
      <c r="F621" s="24" t="s">
        <v>43</v>
      </c>
      <c r="G621" s="36" t="s">
        <v>1760</v>
      </c>
      <c r="H621" s="36" t="s">
        <v>1761</v>
      </c>
      <c r="I621" s="36" t="s">
        <v>184</v>
      </c>
      <c r="J621" s="65" t="s">
        <v>1754</v>
      </c>
      <c r="K621" s="3" t="str">
        <f t="shared" ca="1" si="128"/>
        <v xml:space="preserve">4 Tahun 10 bulan </v>
      </c>
      <c r="L621" s="36" t="s">
        <v>200</v>
      </c>
      <c r="M621" s="65" t="s">
        <v>1754</v>
      </c>
      <c r="N621" s="3" t="str">
        <f t="shared" ca="1" si="125"/>
        <v xml:space="preserve">4 Tahun 10 bulan </v>
      </c>
      <c r="O621" s="25"/>
      <c r="P621" s="29" t="s">
        <v>35</v>
      </c>
      <c r="Q621" s="4" t="str">
        <f t="shared" si="129"/>
        <v>Laki-Laki</v>
      </c>
      <c r="R621" s="4">
        <f t="shared" si="138"/>
        <v>1</v>
      </c>
      <c r="S621" s="4" t="str">
        <f t="shared" si="137"/>
        <v>1</v>
      </c>
      <c r="T621" s="4">
        <f t="shared" si="126"/>
        <v>0</v>
      </c>
      <c r="U621" s="29"/>
      <c r="V621" s="30" t="s">
        <v>50</v>
      </c>
      <c r="W621" s="30"/>
      <c r="X621" s="30"/>
      <c r="Y621" s="30"/>
      <c r="Z621" s="30"/>
      <c r="AA621" s="30"/>
      <c r="AB621" s="29"/>
      <c r="AC621" s="29"/>
      <c r="AD621" s="37">
        <f t="shared" si="131"/>
        <v>25190</v>
      </c>
      <c r="AE621" s="3" t="str">
        <f t="shared" ca="1" si="130"/>
        <v>57 Tahun 8 bulan 14 Hari</v>
      </c>
      <c r="AF621" s="38">
        <f t="shared" si="132"/>
        <v>47119</v>
      </c>
      <c r="AG621" s="222" t="s">
        <v>3146</v>
      </c>
    </row>
    <row r="622" spans="1:33" ht="32.15" customHeight="1" x14ac:dyDescent="0.35">
      <c r="A622" s="26">
        <f t="shared" si="134"/>
        <v>585</v>
      </c>
      <c r="B622" s="27" t="s">
        <v>1737</v>
      </c>
      <c r="C622" s="26"/>
      <c r="D622" s="60" t="s">
        <v>1762</v>
      </c>
      <c r="E622" s="24" t="s">
        <v>1763</v>
      </c>
      <c r="F622" s="24" t="s">
        <v>43</v>
      </c>
      <c r="G622" s="4" t="s">
        <v>1764</v>
      </c>
      <c r="H622" s="36" t="s">
        <v>241</v>
      </c>
      <c r="I622" s="4" t="s">
        <v>1765</v>
      </c>
      <c r="J622" s="47" t="s">
        <v>1766</v>
      </c>
      <c r="K622" s="3" t="str">
        <f t="shared" ca="1" si="128"/>
        <v xml:space="preserve">9 Tahun 0 bulan </v>
      </c>
      <c r="L622" s="36" t="s">
        <v>200</v>
      </c>
      <c r="M622" s="47" t="s">
        <v>1766</v>
      </c>
      <c r="N622" s="3" t="str">
        <f t="shared" ca="1" si="125"/>
        <v xml:space="preserve">9 Tahun 0 bulan </v>
      </c>
      <c r="O622" s="36"/>
      <c r="P622" s="4" t="s">
        <v>35</v>
      </c>
      <c r="Q622" s="4" t="str">
        <f t="shared" si="129"/>
        <v>Laki-Laki</v>
      </c>
      <c r="R622" s="4">
        <f t="shared" si="138"/>
        <v>1</v>
      </c>
      <c r="S622" s="4" t="str">
        <f t="shared" si="137"/>
        <v>1</v>
      </c>
      <c r="T622" s="4">
        <f t="shared" si="126"/>
        <v>0</v>
      </c>
      <c r="U622" s="29"/>
      <c r="V622" s="30" t="s">
        <v>50</v>
      </c>
      <c r="W622" s="30"/>
      <c r="X622" s="30"/>
      <c r="Y622" s="30"/>
      <c r="Z622" s="30"/>
      <c r="AA622" s="30"/>
      <c r="AB622" s="29"/>
      <c r="AC622" s="29"/>
      <c r="AD622" s="37">
        <f t="shared" si="131"/>
        <v>27469</v>
      </c>
      <c r="AE622" s="3" t="str">
        <f t="shared" ca="1" si="130"/>
        <v>51 Tahun 5 bulan 16 Hari</v>
      </c>
      <c r="AF622" s="38">
        <f t="shared" si="132"/>
        <v>49400</v>
      </c>
      <c r="AG622" s="7"/>
    </row>
    <row r="623" spans="1:33" ht="32.15" customHeight="1" x14ac:dyDescent="0.35">
      <c r="A623" s="26">
        <f t="shared" si="134"/>
        <v>586</v>
      </c>
      <c r="B623" s="27" t="s">
        <v>1737</v>
      </c>
      <c r="C623" s="26"/>
      <c r="D623" s="60" t="s">
        <v>1767</v>
      </c>
      <c r="E623" s="45" t="s">
        <v>1768</v>
      </c>
      <c r="F623" s="24" t="s">
        <v>43</v>
      </c>
      <c r="G623" s="36" t="s">
        <v>1769</v>
      </c>
      <c r="H623" s="36" t="s">
        <v>85</v>
      </c>
      <c r="I623" s="36" t="s">
        <v>86</v>
      </c>
      <c r="J623" s="47" t="s">
        <v>1754</v>
      </c>
      <c r="K623" s="3" t="str">
        <f t="shared" ca="1" si="128"/>
        <v xml:space="preserve">4 Tahun 10 bulan </v>
      </c>
      <c r="L623" s="36" t="s">
        <v>200</v>
      </c>
      <c r="M623" s="47" t="s">
        <v>1754</v>
      </c>
      <c r="N623" s="3" t="str">
        <f t="shared" ref="N623:N686" ca="1" si="139">IF(M623="","",CONCATENATE(DATEDIF(M623,NOW(),"Y")," Tahun ",DATEDIF(M623,NOW(),"YM")," bulan "))</f>
        <v xml:space="preserve">4 Tahun 10 bulan </v>
      </c>
      <c r="O623" s="36"/>
      <c r="P623" s="4" t="s">
        <v>35</v>
      </c>
      <c r="Q623" s="4" t="str">
        <f t="shared" si="129"/>
        <v/>
      </c>
      <c r="R623" s="4">
        <f t="shared" si="138"/>
        <v>1</v>
      </c>
      <c r="S623" s="4" t="str">
        <f t="shared" si="137"/>
        <v>1</v>
      </c>
      <c r="T623" s="4">
        <f t="shared" si="126"/>
        <v>0</v>
      </c>
      <c r="U623" s="29"/>
      <c r="V623" s="30" t="s">
        <v>50</v>
      </c>
      <c r="W623" s="30"/>
      <c r="X623" s="30"/>
      <c r="Y623" s="30"/>
      <c r="Z623" s="30"/>
      <c r="AA623" s="30"/>
      <c r="AB623" s="29"/>
      <c r="AC623" s="29"/>
      <c r="AD623" s="37">
        <f t="shared" si="131"/>
        <v>29774</v>
      </c>
      <c r="AE623" s="3" t="str">
        <f t="shared" ca="1" si="130"/>
        <v>45 Tahun 1 bulan 25 Hari</v>
      </c>
      <c r="AF623" s="38">
        <f t="shared" si="132"/>
        <v>51714</v>
      </c>
      <c r="AG623" s="7"/>
    </row>
    <row r="624" spans="1:33" ht="32.15" customHeight="1" x14ac:dyDescent="0.35">
      <c r="A624" s="26">
        <f t="shared" si="134"/>
        <v>587</v>
      </c>
      <c r="B624" s="27" t="s">
        <v>1737</v>
      </c>
      <c r="C624" s="26"/>
      <c r="D624" s="60" t="s">
        <v>1770</v>
      </c>
      <c r="E624" s="24" t="s">
        <v>1771</v>
      </c>
      <c r="F624" s="24" t="s">
        <v>43</v>
      </c>
      <c r="G624" s="36" t="s">
        <v>1772</v>
      </c>
      <c r="H624" s="36" t="s">
        <v>414</v>
      </c>
      <c r="I624" s="36" t="s">
        <v>184</v>
      </c>
      <c r="J624" s="47" t="s">
        <v>354</v>
      </c>
      <c r="K624" s="3" t="str">
        <f t="shared" ca="1" si="128"/>
        <v xml:space="preserve">6 Tahun 9 bulan </v>
      </c>
      <c r="L624" s="36" t="s">
        <v>200</v>
      </c>
      <c r="M624" s="47" t="s">
        <v>354</v>
      </c>
      <c r="N624" s="3" t="str">
        <f t="shared" ca="1" si="139"/>
        <v xml:space="preserve">6 Tahun 9 bulan </v>
      </c>
      <c r="O624" s="36"/>
      <c r="P624" s="4" t="s">
        <v>35</v>
      </c>
      <c r="Q624" s="4" t="str">
        <f t="shared" si="129"/>
        <v>Perempuan</v>
      </c>
      <c r="R624" s="4">
        <f t="shared" si="138"/>
        <v>1</v>
      </c>
      <c r="S624" s="4" t="str">
        <f t="shared" si="137"/>
        <v>1</v>
      </c>
      <c r="T624" s="4">
        <f t="shared" si="126"/>
        <v>0</v>
      </c>
      <c r="U624" s="29"/>
      <c r="V624" s="30"/>
      <c r="W624" s="30"/>
      <c r="X624" s="30"/>
      <c r="Y624" s="30"/>
      <c r="Z624" s="30"/>
      <c r="AA624" s="30"/>
      <c r="AB624" s="29"/>
      <c r="AC624" s="29"/>
      <c r="AD624" s="37">
        <f t="shared" si="131"/>
        <v>26531</v>
      </c>
      <c r="AE624" s="3" t="str">
        <f t="shared" ca="1" si="130"/>
        <v>54 Tahun 0 bulan 12 Hari</v>
      </c>
      <c r="AF624" s="38">
        <f t="shared" si="132"/>
        <v>48458</v>
      </c>
      <c r="AG624" s="7"/>
    </row>
    <row r="625" spans="1:33" ht="32.15" customHeight="1" x14ac:dyDescent="0.35">
      <c r="A625" s="26"/>
      <c r="B625" s="32" t="s">
        <v>1773</v>
      </c>
      <c r="C625" s="280" t="s">
        <v>1774</v>
      </c>
      <c r="D625" s="281"/>
      <c r="E625" s="271" t="str">
        <f ca="1">IF(J625="","",CONCATENATE(DATEDIF(J625,NOW(),"Y")," Tahun ",DATEDIF(J625,NOW(),"YM")," bulan "))</f>
        <v/>
      </c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  <c r="AB625" s="272"/>
      <c r="AC625" s="272"/>
      <c r="AD625" s="272"/>
      <c r="AE625" s="272"/>
      <c r="AF625" s="273"/>
      <c r="AG625" s="7"/>
    </row>
    <row r="626" spans="1:33" ht="32.15" customHeight="1" x14ac:dyDescent="0.35">
      <c r="A626" s="26">
        <f>A624+1</f>
        <v>588</v>
      </c>
      <c r="B626" s="32" t="s">
        <v>1773</v>
      </c>
      <c r="C626" s="282" t="s">
        <v>1775</v>
      </c>
      <c r="D626" s="283"/>
      <c r="E626" s="24" t="s">
        <v>1776</v>
      </c>
      <c r="F626" s="24" t="s">
        <v>43</v>
      </c>
      <c r="G626" s="3" t="s">
        <v>1777</v>
      </c>
      <c r="H626" s="3" t="s">
        <v>1778</v>
      </c>
      <c r="I626" s="3" t="s">
        <v>1556</v>
      </c>
      <c r="J626" s="90">
        <v>45916</v>
      </c>
      <c r="K626" s="3" t="str">
        <f t="shared" ca="1" si="128"/>
        <v xml:space="preserve">0 Tahun 11 bulan </v>
      </c>
      <c r="L626" s="36" t="s">
        <v>79</v>
      </c>
      <c r="M626" s="53">
        <v>45916</v>
      </c>
      <c r="N626" s="3" t="str">
        <f t="shared" ca="1" si="139"/>
        <v xml:space="preserve">0 Tahun 11 bulan </v>
      </c>
      <c r="O626" s="36"/>
      <c r="P626" s="4" t="s">
        <v>35</v>
      </c>
      <c r="Q626" s="4" t="str">
        <f t="shared" si="129"/>
        <v>Laki-Laki</v>
      </c>
      <c r="R626" s="4">
        <f>R624</f>
        <v>1</v>
      </c>
      <c r="S626" s="4" t="str">
        <f t="shared" ref="S626:S634" si="140">IF(E626="LOWONG","0","1")</f>
        <v>1</v>
      </c>
      <c r="T626" s="4">
        <f t="shared" si="126"/>
        <v>0</v>
      </c>
      <c r="U626" s="29"/>
      <c r="V626" s="30" t="s">
        <v>50</v>
      </c>
      <c r="W626" s="30"/>
      <c r="X626" s="30"/>
      <c r="Y626" s="30"/>
      <c r="Z626" s="30"/>
      <c r="AA626" s="30"/>
      <c r="AB626" s="29"/>
      <c r="AC626" s="29"/>
      <c r="AD626" s="37">
        <f t="shared" si="131"/>
        <v>30545</v>
      </c>
      <c r="AE626" s="3" t="str">
        <f t="shared" ca="1" si="130"/>
        <v>43 Tahun 0 bulan 15 Hari</v>
      </c>
      <c r="AF626" s="38">
        <f t="shared" si="132"/>
        <v>52475</v>
      </c>
      <c r="AG626" s="7"/>
    </row>
    <row r="627" spans="1:33" ht="32.15" customHeight="1" x14ac:dyDescent="0.35">
      <c r="A627" s="26">
        <f t="shared" si="134"/>
        <v>589</v>
      </c>
      <c r="B627" s="32" t="s">
        <v>1773</v>
      </c>
      <c r="C627" s="282" t="s">
        <v>3059</v>
      </c>
      <c r="D627" s="283"/>
      <c r="E627" s="45" t="s">
        <v>1861</v>
      </c>
      <c r="F627" s="24" t="s">
        <v>43</v>
      </c>
      <c r="G627" s="44" t="s">
        <v>1862</v>
      </c>
      <c r="H627" s="4" t="s">
        <v>385</v>
      </c>
      <c r="I627" s="48" t="s">
        <v>86</v>
      </c>
      <c r="J627" s="53">
        <v>46260</v>
      </c>
      <c r="K627" s="3" t="str">
        <f t="shared" ca="1" si="128"/>
        <v xml:space="preserve">0 Tahun 0 bulan </v>
      </c>
      <c r="L627" s="4" t="s">
        <v>346</v>
      </c>
      <c r="M627" s="47" t="s">
        <v>275</v>
      </c>
      <c r="N627" s="3" t="str">
        <f t="shared" ca="1" si="139"/>
        <v xml:space="preserve">5 Tahun 10 bulan </v>
      </c>
      <c r="O627" s="4"/>
      <c r="P627" s="4" t="s">
        <v>35</v>
      </c>
      <c r="Q627" s="4" t="str">
        <f t="shared" si="129"/>
        <v>Laki-Laki</v>
      </c>
      <c r="R627" s="4">
        <f t="shared" si="138"/>
        <v>1</v>
      </c>
      <c r="S627" s="4" t="str">
        <f t="shared" si="140"/>
        <v>1</v>
      </c>
      <c r="T627" s="4">
        <f t="shared" si="126"/>
        <v>0</v>
      </c>
      <c r="U627" s="29"/>
      <c r="V627" s="30" t="s">
        <v>50</v>
      </c>
      <c r="W627" s="30"/>
      <c r="X627" s="30"/>
      <c r="Y627" s="30"/>
      <c r="Z627" s="30"/>
      <c r="AA627" s="30"/>
      <c r="AB627" s="29"/>
      <c r="AC627" s="29"/>
      <c r="AD627" s="37">
        <f t="shared" si="131"/>
        <v>25392</v>
      </c>
      <c r="AE627" s="3" t="str">
        <f t="shared" ca="1" si="130"/>
        <v>57 Tahun 1 bulan 24 Hari</v>
      </c>
      <c r="AF627" s="38">
        <f t="shared" si="132"/>
        <v>47331</v>
      </c>
      <c r="AG627" s="7"/>
    </row>
    <row r="628" spans="1:33" ht="32.15" customHeight="1" x14ac:dyDescent="0.35">
      <c r="A628" s="26">
        <f t="shared" si="134"/>
        <v>590</v>
      </c>
      <c r="B628" s="32" t="s">
        <v>1773</v>
      </c>
      <c r="C628" s="26"/>
      <c r="D628" s="111" t="s">
        <v>1779</v>
      </c>
      <c r="E628" s="45" t="s">
        <v>1780</v>
      </c>
      <c r="F628" s="24" t="s">
        <v>43</v>
      </c>
      <c r="G628" s="44" t="s">
        <v>1781</v>
      </c>
      <c r="H628" s="4" t="s">
        <v>91</v>
      </c>
      <c r="I628" s="48" t="s">
        <v>1782</v>
      </c>
      <c r="J628" s="65" t="s">
        <v>386</v>
      </c>
      <c r="K628" s="3" t="str">
        <f t="shared" ca="1" si="128"/>
        <v xml:space="preserve">5 Tahun 5 bulan </v>
      </c>
      <c r="L628" s="36" t="s">
        <v>1749</v>
      </c>
      <c r="M628" s="65" t="s">
        <v>386</v>
      </c>
      <c r="N628" s="3" t="str">
        <f t="shared" ca="1" si="139"/>
        <v xml:space="preserve">5 Tahun 5 bulan </v>
      </c>
      <c r="O628" s="36"/>
      <c r="P628" s="4" t="s">
        <v>35</v>
      </c>
      <c r="Q628" s="4" t="str">
        <f t="shared" si="129"/>
        <v>Laki-Laki</v>
      </c>
      <c r="R628" s="4">
        <f t="shared" si="138"/>
        <v>1</v>
      </c>
      <c r="S628" s="4" t="str">
        <f t="shared" si="140"/>
        <v>1</v>
      </c>
      <c r="T628" s="4">
        <f t="shared" si="126"/>
        <v>0</v>
      </c>
      <c r="U628" s="29"/>
      <c r="V628" s="30" t="s">
        <v>50</v>
      </c>
      <c r="W628" s="30"/>
      <c r="X628" s="30"/>
      <c r="Y628" s="30"/>
      <c r="Z628" s="30"/>
      <c r="AA628" s="30"/>
      <c r="AB628" s="29"/>
      <c r="AC628" s="29"/>
      <c r="AD628" s="37">
        <f t="shared" si="131"/>
        <v>26409</v>
      </c>
      <c r="AE628" s="3" t="str">
        <f t="shared" ca="1" si="130"/>
        <v>54 Tahun 4 bulan 12 Hari</v>
      </c>
      <c r="AF628" s="38">
        <f t="shared" si="132"/>
        <v>48335</v>
      </c>
      <c r="AG628" s="7"/>
    </row>
    <row r="629" spans="1:33" ht="32.15" customHeight="1" x14ac:dyDescent="0.35">
      <c r="A629" s="26">
        <f t="shared" si="134"/>
        <v>591</v>
      </c>
      <c r="B629" s="32" t="s">
        <v>1773</v>
      </c>
      <c r="C629" s="26"/>
      <c r="D629" s="111" t="s">
        <v>1783</v>
      </c>
      <c r="E629" s="45" t="s">
        <v>1784</v>
      </c>
      <c r="F629" s="24" t="s">
        <v>43</v>
      </c>
      <c r="G629" s="44" t="s">
        <v>1785</v>
      </c>
      <c r="H629" s="4" t="s">
        <v>870</v>
      </c>
      <c r="I629" s="48" t="s">
        <v>251</v>
      </c>
      <c r="J629" s="65" t="s">
        <v>1032</v>
      </c>
      <c r="K629" s="3" t="str">
        <f t="shared" ca="1" si="128"/>
        <v xml:space="preserve">4 Tahun 5 bulan </v>
      </c>
      <c r="L629" s="36" t="s">
        <v>1749</v>
      </c>
      <c r="M629" s="65" t="s">
        <v>1032</v>
      </c>
      <c r="N629" s="3" t="str">
        <f t="shared" ca="1" si="139"/>
        <v xml:space="preserve">4 Tahun 5 bulan </v>
      </c>
      <c r="O629" s="36"/>
      <c r="P629" s="4" t="s">
        <v>35</v>
      </c>
      <c r="Q629" s="4" t="str">
        <f t="shared" si="129"/>
        <v>Perempuan</v>
      </c>
      <c r="R629" s="4">
        <f t="shared" si="138"/>
        <v>1</v>
      </c>
      <c r="S629" s="4" t="str">
        <f t="shared" si="140"/>
        <v>1</v>
      </c>
      <c r="T629" s="4">
        <f t="shared" si="126"/>
        <v>0</v>
      </c>
      <c r="U629" s="29"/>
      <c r="V629" s="30"/>
      <c r="W629" s="30"/>
      <c r="X629" s="30"/>
      <c r="Y629" s="30"/>
      <c r="Z629" s="30"/>
      <c r="AA629" s="30"/>
      <c r="AB629" s="29"/>
      <c r="AC629" s="29"/>
      <c r="AD629" s="37">
        <f t="shared" si="131"/>
        <v>27976</v>
      </c>
      <c r="AE629" s="3" t="str">
        <f t="shared" ca="1" si="130"/>
        <v>50 Tahun 0 bulan 28 Hari</v>
      </c>
      <c r="AF629" s="38">
        <f t="shared" si="132"/>
        <v>49919</v>
      </c>
      <c r="AG629" s="7"/>
    </row>
    <row r="630" spans="1:33" ht="32.15" customHeight="1" x14ac:dyDescent="0.35">
      <c r="A630" s="26">
        <f t="shared" si="134"/>
        <v>592</v>
      </c>
      <c r="B630" s="32" t="s">
        <v>1773</v>
      </c>
      <c r="C630" s="26"/>
      <c r="D630" s="60" t="s">
        <v>1786</v>
      </c>
      <c r="E630" s="45" t="s">
        <v>2329</v>
      </c>
      <c r="F630" s="24" t="s">
        <v>43</v>
      </c>
      <c r="G630" s="44" t="s">
        <v>2978</v>
      </c>
      <c r="H630" s="4" t="s">
        <v>159</v>
      </c>
      <c r="I630" s="36" t="s">
        <v>1397</v>
      </c>
      <c r="J630" s="105">
        <v>46087</v>
      </c>
      <c r="K630" s="3" t="str">
        <f t="shared" ca="1" si="128"/>
        <v xml:space="preserve">0 Tahun 5 bulan </v>
      </c>
      <c r="L630" s="36" t="s">
        <v>200</v>
      </c>
      <c r="M630" s="105">
        <v>46087</v>
      </c>
      <c r="N630" s="3" t="str">
        <f t="shared" ca="1" si="139"/>
        <v xml:space="preserve">0 Tahun 5 bulan </v>
      </c>
      <c r="O630" s="36"/>
      <c r="P630" s="4" t="s">
        <v>35</v>
      </c>
      <c r="Q630" s="4" t="str">
        <f t="shared" si="129"/>
        <v>Laki-Laki</v>
      </c>
      <c r="R630" s="4">
        <f t="shared" si="138"/>
        <v>1</v>
      </c>
      <c r="S630" s="4" t="str">
        <f t="shared" si="140"/>
        <v>1</v>
      </c>
      <c r="T630" s="4">
        <f t="shared" si="126"/>
        <v>0</v>
      </c>
      <c r="U630" s="29"/>
      <c r="V630" s="30" t="s">
        <v>50</v>
      </c>
      <c r="W630" s="30"/>
      <c r="X630" s="30"/>
      <c r="Y630" s="30"/>
      <c r="Z630" s="30"/>
      <c r="AA630" s="30"/>
      <c r="AB630" s="29"/>
      <c r="AC630" s="29"/>
      <c r="AD630" s="37">
        <f t="shared" si="131"/>
        <v>27650</v>
      </c>
      <c r="AE630" s="3" t="str">
        <f t="shared" ca="1" si="130"/>
        <v>50 Tahun 11 bulan 19 Hari</v>
      </c>
      <c r="AF630" s="38">
        <f t="shared" si="132"/>
        <v>49583</v>
      </c>
      <c r="AG630" s="7"/>
    </row>
    <row r="631" spans="1:33" ht="32.15" customHeight="1" x14ac:dyDescent="0.35">
      <c r="A631" s="26">
        <f t="shared" si="134"/>
        <v>593</v>
      </c>
      <c r="B631" s="32" t="s">
        <v>1773</v>
      </c>
      <c r="C631" s="319"/>
      <c r="D631" s="320" t="s">
        <v>1788</v>
      </c>
      <c r="E631" s="45" t="s">
        <v>1789</v>
      </c>
      <c r="F631" s="24" t="s">
        <v>43</v>
      </c>
      <c r="G631" s="44" t="s">
        <v>1790</v>
      </c>
      <c r="H631" s="4" t="s">
        <v>1092</v>
      </c>
      <c r="I631" s="48" t="s">
        <v>184</v>
      </c>
      <c r="J631" s="47" t="s">
        <v>1748</v>
      </c>
      <c r="K631" s="3" t="str">
        <f t="shared" ca="1" si="128"/>
        <v xml:space="preserve">9 Tahun 7 bulan </v>
      </c>
      <c r="L631" s="36" t="s">
        <v>200</v>
      </c>
      <c r="M631" s="47" t="s">
        <v>1748</v>
      </c>
      <c r="N631" s="3" t="str">
        <f t="shared" ca="1" si="139"/>
        <v xml:space="preserve">9 Tahun 7 bulan </v>
      </c>
      <c r="O631" s="36"/>
      <c r="P631" s="4" t="s">
        <v>35</v>
      </c>
      <c r="Q631" s="4" t="str">
        <f t="shared" si="129"/>
        <v>Laki-Laki</v>
      </c>
      <c r="R631" s="4">
        <f t="shared" si="138"/>
        <v>1</v>
      </c>
      <c r="S631" s="4" t="str">
        <f t="shared" si="140"/>
        <v>1</v>
      </c>
      <c r="T631" s="4">
        <f t="shared" si="126"/>
        <v>0</v>
      </c>
      <c r="U631" s="29"/>
      <c r="V631" s="30" t="s">
        <v>50</v>
      </c>
      <c r="W631" s="30"/>
      <c r="X631" s="30"/>
      <c r="Y631" s="30"/>
      <c r="Z631" s="30"/>
      <c r="AA631" s="30"/>
      <c r="AB631" s="29"/>
      <c r="AC631" s="29"/>
      <c r="AD631" s="37">
        <f t="shared" si="131"/>
        <v>25183</v>
      </c>
      <c r="AE631" s="3" t="str">
        <f t="shared" ca="1" si="130"/>
        <v>57 Tahun 8 bulan 21 Hari</v>
      </c>
      <c r="AF631" s="38">
        <f t="shared" si="132"/>
        <v>47119</v>
      </c>
      <c r="AG631" s="11" t="s">
        <v>3146</v>
      </c>
    </row>
    <row r="632" spans="1:33" ht="32.15" customHeight="1" x14ac:dyDescent="0.35">
      <c r="A632" s="26">
        <f t="shared" si="134"/>
        <v>594</v>
      </c>
      <c r="B632" s="32" t="s">
        <v>1773</v>
      </c>
      <c r="C632" s="26"/>
      <c r="D632" s="111" t="s">
        <v>1791</v>
      </c>
      <c r="E632" s="45" t="s">
        <v>1792</v>
      </c>
      <c r="F632" s="24" t="s">
        <v>43</v>
      </c>
      <c r="G632" s="44" t="s">
        <v>1793</v>
      </c>
      <c r="H632" s="4" t="s">
        <v>662</v>
      </c>
      <c r="I632" s="48" t="s">
        <v>86</v>
      </c>
      <c r="J632" s="47" t="s">
        <v>338</v>
      </c>
      <c r="K632" s="3" t="str">
        <f t="shared" ca="1" si="128"/>
        <v xml:space="preserve">2 Tahun 11 bulan </v>
      </c>
      <c r="L632" s="36" t="s">
        <v>200</v>
      </c>
      <c r="M632" s="47" t="s">
        <v>338</v>
      </c>
      <c r="N632" s="3" t="str">
        <f t="shared" ca="1" si="139"/>
        <v xml:space="preserve">2 Tahun 11 bulan </v>
      </c>
      <c r="O632" s="36"/>
      <c r="P632" s="4" t="s">
        <v>35</v>
      </c>
      <c r="Q632" s="4" t="str">
        <f t="shared" si="129"/>
        <v>Laki-Laki</v>
      </c>
      <c r="R632" s="4">
        <f t="shared" si="138"/>
        <v>1</v>
      </c>
      <c r="S632" s="4" t="str">
        <f t="shared" si="140"/>
        <v>1</v>
      </c>
      <c r="T632" s="4">
        <f t="shared" si="126"/>
        <v>0</v>
      </c>
      <c r="U632" s="29"/>
      <c r="V632" s="30" t="s">
        <v>50</v>
      </c>
      <c r="W632" s="30"/>
      <c r="X632" s="30"/>
      <c r="Y632" s="30"/>
      <c r="Z632" s="30"/>
      <c r="AA632" s="30"/>
      <c r="AB632" s="29"/>
      <c r="AC632" s="29"/>
      <c r="AD632" s="37">
        <f t="shared" si="131"/>
        <v>29410</v>
      </c>
      <c r="AE632" s="3" t="str">
        <f t="shared" ca="1" si="130"/>
        <v>46 Tahun 1 bulan 24 Hari</v>
      </c>
      <c r="AF632" s="38">
        <f t="shared" si="132"/>
        <v>51349</v>
      </c>
      <c r="AG632" s="7"/>
    </row>
    <row r="633" spans="1:33" ht="32.15" customHeight="1" x14ac:dyDescent="0.35">
      <c r="A633" s="26">
        <f t="shared" si="134"/>
        <v>595</v>
      </c>
      <c r="B633" s="32" t="s">
        <v>1773</v>
      </c>
      <c r="C633" s="26"/>
      <c r="D633" s="60" t="s">
        <v>1794</v>
      </c>
      <c r="E633" s="39" t="s">
        <v>1795</v>
      </c>
      <c r="F633" s="24" t="s">
        <v>43</v>
      </c>
      <c r="G633" s="25" t="s">
        <v>1796</v>
      </c>
      <c r="H633" s="36" t="s">
        <v>947</v>
      </c>
      <c r="I633" s="36" t="s">
        <v>46</v>
      </c>
      <c r="J633" s="47" t="s">
        <v>1109</v>
      </c>
      <c r="K633" s="3" t="str">
        <f t="shared" ca="1" si="128"/>
        <v xml:space="preserve">6 Tahun 8 bulan </v>
      </c>
      <c r="L633" s="36" t="s">
        <v>200</v>
      </c>
      <c r="M633" s="47" t="s">
        <v>1109</v>
      </c>
      <c r="N633" s="3" t="str">
        <f t="shared" ca="1" si="139"/>
        <v xml:space="preserve">6 Tahun 8 bulan </v>
      </c>
      <c r="O633" s="36"/>
      <c r="P633" s="4" t="s">
        <v>35</v>
      </c>
      <c r="Q633" s="4" t="str">
        <f t="shared" si="129"/>
        <v>Perempuan</v>
      </c>
      <c r="R633" s="4">
        <f t="shared" si="138"/>
        <v>1</v>
      </c>
      <c r="S633" s="4" t="str">
        <f t="shared" si="140"/>
        <v>1</v>
      </c>
      <c r="T633" s="4">
        <f t="shared" si="126"/>
        <v>0</v>
      </c>
      <c r="U633" s="29"/>
      <c r="V633" s="30"/>
      <c r="W633" s="30"/>
      <c r="X633" s="30"/>
      <c r="Y633" s="30"/>
      <c r="Z633" s="30"/>
      <c r="AA633" s="30"/>
      <c r="AB633" s="29"/>
      <c r="AC633" s="29"/>
      <c r="AD633" s="37">
        <f t="shared" si="131"/>
        <v>29177</v>
      </c>
      <c r="AE633" s="3" t="str">
        <f t="shared" ca="1" si="130"/>
        <v>46 Tahun 9 bulan 14 Hari</v>
      </c>
      <c r="AF633" s="38">
        <f t="shared" si="132"/>
        <v>51105</v>
      </c>
      <c r="AG633" s="7"/>
    </row>
    <row r="634" spans="1:33" ht="32.15" customHeight="1" x14ac:dyDescent="0.35">
      <c r="A634" s="26">
        <f t="shared" si="134"/>
        <v>596</v>
      </c>
      <c r="B634" s="32" t="s">
        <v>1773</v>
      </c>
      <c r="C634" s="26"/>
      <c r="D634" s="111" t="s">
        <v>1797</v>
      </c>
      <c r="E634" s="45" t="s">
        <v>1798</v>
      </c>
      <c r="F634" s="24" t="s">
        <v>43</v>
      </c>
      <c r="G634" s="36" t="s">
        <v>1799</v>
      </c>
      <c r="H634" s="4" t="s">
        <v>337</v>
      </c>
      <c r="I634" s="36" t="s">
        <v>184</v>
      </c>
      <c r="J634" s="47" t="s">
        <v>565</v>
      </c>
      <c r="K634" s="3" t="str">
        <f t="shared" ca="1" si="128"/>
        <v xml:space="preserve">5 Tahun 9 bulan </v>
      </c>
      <c r="L634" s="36" t="s">
        <v>200</v>
      </c>
      <c r="M634" s="47" t="s">
        <v>565</v>
      </c>
      <c r="N634" s="3" t="str">
        <f t="shared" ca="1" si="139"/>
        <v xml:space="preserve">5 Tahun 9 bulan </v>
      </c>
      <c r="O634" s="36"/>
      <c r="P634" s="4" t="s">
        <v>35</v>
      </c>
      <c r="Q634" s="4" t="str">
        <f t="shared" si="129"/>
        <v>Laki-Laki</v>
      </c>
      <c r="R634" s="4">
        <f t="shared" si="138"/>
        <v>1</v>
      </c>
      <c r="S634" s="4" t="str">
        <f t="shared" si="140"/>
        <v>1</v>
      </c>
      <c r="T634" s="4">
        <f t="shared" si="126"/>
        <v>0</v>
      </c>
      <c r="U634" s="29"/>
      <c r="V634" s="30" t="s">
        <v>50</v>
      </c>
      <c r="W634" s="30"/>
      <c r="X634" s="30"/>
      <c r="Y634" s="30"/>
      <c r="Z634" s="30"/>
      <c r="AA634" s="30"/>
      <c r="AB634" s="29"/>
      <c r="AC634" s="29"/>
      <c r="AD634" s="37">
        <f t="shared" si="131"/>
        <v>27854</v>
      </c>
      <c r="AE634" s="3" t="str">
        <f t="shared" ca="1" si="130"/>
        <v>50 Tahun 4 bulan 28 Hari</v>
      </c>
      <c r="AF634" s="38">
        <f t="shared" si="132"/>
        <v>49796</v>
      </c>
      <c r="AG634" s="7"/>
    </row>
    <row r="635" spans="1:33" ht="26.25" customHeight="1" x14ac:dyDescent="0.35">
      <c r="A635" s="26"/>
      <c r="B635" s="27" t="s">
        <v>1800</v>
      </c>
      <c r="C635" s="280" t="s">
        <v>1801</v>
      </c>
      <c r="D635" s="281"/>
      <c r="E635" s="271" t="str">
        <f ca="1">IF(J635="","",CONCATENATE(DATEDIF(J635,NOW(),"Y")," Tahun ",DATEDIF(J635,NOW(),"YM")," bulan "))</f>
        <v/>
      </c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  <c r="AB635" s="272"/>
      <c r="AC635" s="272"/>
      <c r="AD635" s="272"/>
      <c r="AE635" s="272"/>
      <c r="AF635" s="273"/>
      <c r="AG635" s="7"/>
    </row>
    <row r="636" spans="1:33" ht="32.15" customHeight="1" x14ac:dyDescent="0.35">
      <c r="A636" s="26">
        <f>A634+1</f>
        <v>597</v>
      </c>
      <c r="B636" s="27" t="s">
        <v>1800</v>
      </c>
      <c r="C636" s="282" t="s">
        <v>1802</v>
      </c>
      <c r="D636" s="283"/>
      <c r="E636" s="45" t="s">
        <v>1803</v>
      </c>
      <c r="F636" s="24" t="s">
        <v>43</v>
      </c>
      <c r="G636" s="44" t="s">
        <v>2848</v>
      </c>
      <c r="H636" s="56" t="s">
        <v>2850</v>
      </c>
      <c r="I636" s="56" t="s">
        <v>2849</v>
      </c>
      <c r="J636" s="53" t="s">
        <v>898</v>
      </c>
      <c r="K636" s="3" t="str">
        <f t="shared" ca="1" si="128"/>
        <v xml:space="preserve">0 Tahun 8 bulan </v>
      </c>
      <c r="L636" s="36" t="s">
        <v>79</v>
      </c>
      <c r="M636" s="47"/>
      <c r="N636" s="3" t="str">
        <f t="shared" ca="1" si="139"/>
        <v/>
      </c>
      <c r="O636" s="36"/>
      <c r="P636" s="4" t="s">
        <v>35</v>
      </c>
      <c r="Q636" s="4" t="str">
        <f t="shared" si="129"/>
        <v>Laki-Laki</v>
      </c>
      <c r="R636" s="4">
        <f>R634</f>
        <v>1</v>
      </c>
      <c r="S636" s="4" t="str">
        <f t="shared" ref="S636:S644" si="141">IF(E636="LOWONG","0","1")</f>
        <v>1</v>
      </c>
      <c r="T636" s="4">
        <f t="shared" si="126"/>
        <v>0</v>
      </c>
      <c r="U636" s="29"/>
      <c r="V636" s="30" t="s">
        <v>50</v>
      </c>
      <c r="W636" s="30"/>
      <c r="X636" s="30"/>
      <c r="Y636" s="30"/>
      <c r="Z636" s="30"/>
      <c r="AA636" s="30"/>
      <c r="AB636" s="29"/>
      <c r="AC636" s="29"/>
      <c r="AD636" s="37">
        <f t="shared" si="131"/>
        <v>28992</v>
      </c>
      <c r="AE636" s="3" t="str">
        <f t="shared" ca="1" si="130"/>
        <v>47 Tahun 3 bulan 15 Hari</v>
      </c>
      <c r="AF636" s="38">
        <f t="shared" si="132"/>
        <v>50922</v>
      </c>
      <c r="AG636" s="7"/>
    </row>
    <row r="637" spans="1:33" ht="32.15" customHeight="1" x14ac:dyDescent="0.35">
      <c r="A637" s="26">
        <f t="shared" ref="A637:A700" si="142">A636+1</f>
        <v>598</v>
      </c>
      <c r="B637" s="27" t="s">
        <v>1800</v>
      </c>
      <c r="C637" s="282" t="s">
        <v>1804</v>
      </c>
      <c r="D637" s="283"/>
      <c r="E637" s="45" t="s">
        <v>1831</v>
      </c>
      <c r="F637" s="24" t="s">
        <v>43</v>
      </c>
      <c r="G637" s="36" t="s">
        <v>1832</v>
      </c>
      <c r="H637" s="4" t="s">
        <v>181</v>
      </c>
      <c r="I637" s="36" t="s">
        <v>184</v>
      </c>
      <c r="J637" s="212">
        <v>46260</v>
      </c>
      <c r="K637" s="3" t="str">
        <f t="shared" ca="1" si="128"/>
        <v xml:space="preserve">0 Tahun 0 bulan </v>
      </c>
      <c r="L637" s="36" t="s">
        <v>346</v>
      </c>
      <c r="M637" s="47" t="s">
        <v>275</v>
      </c>
      <c r="N637" s="3" t="str">
        <f t="shared" ca="1" si="139"/>
        <v xml:space="preserve">5 Tahun 10 bulan </v>
      </c>
      <c r="O637" s="36"/>
      <c r="P637" s="4" t="s">
        <v>35</v>
      </c>
      <c r="Q637" s="4" t="str">
        <f t="shared" si="129"/>
        <v>Laki-Laki</v>
      </c>
      <c r="R637" s="4">
        <f t="shared" si="138"/>
        <v>1</v>
      </c>
      <c r="S637" s="4" t="str">
        <f t="shared" si="141"/>
        <v>1</v>
      </c>
      <c r="T637" s="4">
        <f t="shared" ref="T637:T706" si="143">R637-S637</f>
        <v>0</v>
      </c>
      <c r="U637" s="29"/>
      <c r="V637" s="30" t="s">
        <v>50</v>
      </c>
      <c r="W637" s="30"/>
      <c r="X637" s="30"/>
      <c r="Y637" s="30"/>
      <c r="Z637" s="30"/>
      <c r="AA637" s="30"/>
      <c r="AB637" s="29"/>
      <c r="AC637" s="29"/>
      <c r="AD637" s="37">
        <f t="shared" si="131"/>
        <v>29871</v>
      </c>
      <c r="AE637" s="3" t="str">
        <f t="shared" ca="1" si="130"/>
        <v>44 Tahun 10 bulan 20 Hari</v>
      </c>
      <c r="AF637" s="38">
        <f t="shared" si="132"/>
        <v>51806</v>
      </c>
      <c r="AG637" s="7"/>
    </row>
    <row r="638" spans="1:33" ht="32.15" customHeight="1" x14ac:dyDescent="0.35">
      <c r="A638" s="26">
        <f t="shared" si="142"/>
        <v>599</v>
      </c>
      <c r="B638" s="27" t="s">
        <v>1800</v>
      </c>
      <c r="C638" s="26"/>
      <c r="D638" s="111" t="s">
        <v>1807</v>
      </c>
      <c r="E638" s="39" t="s">
        <v>1808</v>
      </c>
      <c r="F638" s="24" t="s">
        <v>43</v>
      </c>
      <c r="G638" s="25" t="s">
        <v>1809</v>
      </c>
      <c r="H638" s="4" t="s">
        <v>891</v>
      </c>
      <c r="I638" s="48" t="s">
        <v>86</v>
      </c>
      <c r="J638" s="47" t="s">
        <v>1748</v>
      </c>
      <c r="K638" s="3" t="str">
        <f t="shared" ca="1" si="128"/>
        <v xml:space="preserve">9 Tahun 7 bulan </v>
      </c>
      <c r="L638" s="36" t="s">
        <v>1749</v>
      </c>
      <c r="M638" s="47" t="s">
        <v>1748</v>
      </c>
      <c r="N638" s="3" t="str">
        <f t="shared" ca="1" si="139"/>
        <v xml:space="preserve">9 Tahun 7 bulan </v>
      </c>
      <c r="O638" s="36"/>
      <c r="P638" s="4" t="s">
        <v>35</v>
      </c>
      <c r="Q638" s="4" t="str">
        <f t="shared" si="129"/>
        <v>Perempuan</v>
      </c>
      <c r="R638" s="4">
        <f t="shared" si="138"/>
        <v>1</v>
      </c>
      <c r="S638" s="4" t="str">
        <f t="shared" si="141"/>
        <v>1</v>
      </c>
      <c r="T638" s="4">
        <f t="shared" si="143"/>
        <v>0</v>
      </c>
      <c r="U638" s="29"/>
      <c r="V638" s="30"/>
      <c r="W638" s="30"/>
      <c r="X638" s="30"/>
      <c r="Y638" s="30"/>
      <c r="Z638" s="30"/>
      <c r="AA638" s="30"/>
      <c r="AB638" s="29"/>
      <c r="AC638" s="29"/>
      <c r="AD638" s="37">
        <f t="shared" si="131"/>
        <v>27660</v>
      </c>
      <c r="AE638" s="3" t="str">
        <f t="shared" ca="1" si="130"/>
        <v>50 Tahun 11 bulan 9 Hari</v>
      </c>
      <c r="AF638" s="38">
        <f t="shared" si="132"/>
        <v>49583</v>
      </c>
      <c r="AG638" s="7"/>
    </row>
    <row r="639" spans="1:33" ht="32.15" customHeight="1" x14ac:dyDescent="0.35">
      <c r="A639" s="26">
        <f t="shared" si="142"/>
        <v>600</v>
      </c>
      <c r="B639" s="27" t="s">
        <v>1800</v>
      </c>
      <c r="C639" s="26"/>
      <c r="D639" s="111" t="s">
        <v>1810</v>
      </c>
      <c r="E639" s="24" t="s">
        <v>1811</v>
      </c>
      <c r="F639" s="24" t="s">
        <v>43</v>
      </c>
      <c r="G639" s="3" t="s">
        <v>1812</v>
      </c>
      <c r="H639" s="4" t="s">
        <v>662</v>
      </c>
      <c r="I639" s="48" t="s">
        <v>86</v>
      </c>
      <c r="J639" s="47" t="s">
        <v>1748</v>
      </c>
      <c r="K639" s="3" t="str">
        <f t="shared" ca="1" si="128"/>
        <v xml:space="preserve">9 Tahun 7 bulan </v>
      </c>
      <c r="L639" s="36" t="s">
        <v>1749</v>
      </c>
      <c r="M639" s="47" t="s">
        <v>1748</v>
      </c>
      <c r="N639" s="3" t="str">
        <f t="shared" ca="1" si="139"/>
        <v xml:space="preserve">9 Tahun 7 bulan </v>
      </c>
      <c r="O639" s="36"/>
      <c r="P639" s="4" t="s">
        <v>35</v>
      </c>
      <c r="Q639" s="4" t="str">
        <f t="shared" si="129"/>
        <v>Perempuan</v>
      </c>
      <c r="R639" s="4">
        <f t="shared" si="138"/>
        <v>1</v>
      </c>
      <c r="S639" s="4" t="str">
        <f t="shared" si="141"/>
        <v>1</v>
      </c>
      <c r="T639" s="4">
        <f t="shared" si="143"/>
        <v>0</v>
      </c>
      <c r="U639" s="29"/>
      <c r="V639" s="30"/>
      <c r="W639" s="30"/>
      <c r="X639" s="30"/>
      <c r="Y639" s="30"/>
      <c r="Z639" s="30"/>
      <c r="AA639" s="30"/>
      <c r="AB639" s="29"/>
      <c r="AC639" s="29"/>
      <c r="AD639" s="37">
        <f t="shared" si="131"/>
        <v>30508</v>
      </c>
      <c r="AE639" s="3" t="str">
        <f t="shared" ca="1" si="130"/>
        <v>43 Tahun 1 bulan 21 Hari</v>
      </c>
      <c r="AF639" s="38">
        <f t="shared" si="132"/>
        <v>52444</v>
      </c>
      <c r="AG639" s="7"/>
    </row>
    <row r="640" spans="1:33" ht="32.15" customHeight="1" x14ac:dyDescent="0.35">
      <c r="A640" s="26">
        <f t="shared" si="142"/>
        <v>601</v>
      </c>
      <c r="B640" s="27" t="s">
        <v>1800</v>
      </c>
      <c r="C640" s="26"/>
      <c r="D640" s="60" t="s">
        <v>1813</v>
      </c>
      <c r="E640" s="45" t="s">
        <v>108</v>
      </c>
      <c r="F640" s="24"/>
      <c r="G640" s="36"/>
      <c r="H640" s="4"/>
      <c r="I640" s="48"/>
      <c r="J640" s="47"/>
      <c r="K640" s="3" t="str">
        <f t="shared" ca="1" si="128"/>
        <v/>
      </c>
      <c r="L640" s="36" t="s">
        <v>200</v>
      </c>
      <c r="M640" s="47"/>
      <c r="N640" s="3" t="str">
        <f t="shared" ca="1" si="139"/>
        <v/>
      </c>
      <c r="O640" s="36"/>
      <c r="P640" s="4" t="s">
        <v>35</v>
      </c>
      <c r="Q640" s="4" t="str">
        <f t="shared" si="129"/>
        <v/>
      </c>
      <c r="R640" s="4">
        <f t="shared" si="138"/>
        <v>1</v>
      </c>
      <c r="S640" s="4" t="str">
        <f t="shared" si="141"/>
        <v>0</v>
      </c>
      <c r="T640" s="4">
        <f t="shared" si="143"/>
        <v>1</v>
      </c>
      <c r="U640" s="29"/>
      <c r="V640" s="30"/>
      <c r="W640" s="30"/>
      <c r="X640" s="30"/>
      <c r="Y640" s="30"/>
      <c r="Z640" s="30"/>
      <c r="AA640" s="30"/>
      <c r="AB640" s="29"/>
      <c r="AC640" s="29"/>
      <c r="AD640" s="37" t="str">
        <f t="shared" si="131"/>
        <v/>
      </c>
      <c r="AE640" s="3" t="str">
        <f t="shared" ca="1" si="130"/>
        <v/>
      </c>
      <c r="AF640" s="38" t="str">
        <f t="shared" si="132"/>
        <v/>
      </c>
      <c r="AG640" s="7"/>
    </row>
    <row r="641" spans="1:32" s="7" customFormat="1" ht="32.15" customHeight="1" x14ac:dyDescent="0.35">
      <c r="A641" s="26">
        <f t="shared" si="142"/>
        <v>602</v>
      </c>
      <c r="B641" s="27" t="s">
        <v>1800</v>
      </c>
      <c r="C641" s="26"/>
      <c r="D641" s="60" t="s">
        <v>1815</v>
      </c>
      <c r="E641" s="51" t="s">
        <v>1816</v>
      </c>
      <c r="F641" s="24" t="s">
        <v>43</v>
      </c>
      <c r="G641" s="44" t="s">
        <v>2979</v>
      </c>
      <c r="H641" s="4" t="s">
        <v>2962</v>
      </c>
      <c r="I641" s="36" t="s">
        <v>2977</v>
      </c>
      <c r="J641" s="112" t="s">
        <v>898</v>
      </c>
      <c r="K641" s="3" t="str">
        <f t="shared" ca="1" si="128"/>
        <v xml:space="preserve">0 Tahun 8 bulan </v>
      </c>
      <c r="L641" s="36" t="s">
        <v>200</v>
      </c>
      <c r="M641" s="113" t="s">
        <v>898</v>
      </c>
      <c r="N641" s="3" t="str">
        <f t="shared" ca="1" si="139"/>
        <v xml:space="preserve">0 Tahun 8 bulan </v>
      </c>
      <c r="O641" s="36"/>
      <c r="P641" s="4" t="s">
        <v>35</v>
      </c>
      <c r="Q641" s="4" t="str">
        <f t="shared" si="129"/>
        <v>Laki-Laki</v>
      </c>
      <c r="R641" s="4">
        <f t="shared" si="138"/>
        <v>1</v>
      </c>
      <c r="S641" s="4" t="str">
        <f t="shared" si="141"/>
        <v>1</v>
      </c>
      <c r="T641" s="4">
        <f t="shared" si="143"/>
        <v>0</v>
      </c>
      <c r="U641" s="29"/>
      <c r="V641" s="30"/>
      <c r="W641" s="30"/>
      <c r="X641" s="30"/>
      <c r="Y641" s="30"/>
      <c r="Z641" s="30"/>
      <c r="AA641" s="30"/>
      <c r="AB641" s="29"/>
      <c r="AC641" s="29"/>
      <c r="AD641" s="37">
        <f t="shared" si="131"/>
        <v>31240</v>
      </c>
      <c r="AE641" s="3" t="str">
        <f t="shared" ca="1" si="130"/>
        <v>41 Tahun 1 bulan 20 Hari</v>
      </c>
      <c r="AF641" s="38">
        <f t="shared" si="132"/>
        <v>53175</v>
      </c>
    </row>
    <row r="642" spans="1:32" s="7" customFormat="1" ht="32.15" customHeight="1" x14ac:dyDescent="0.35">
      <c r="A642" s="26">
        <f t="shared" si="142"/>
        <v>603</v>
      </c>
      <c r="B642" s="27" t="s">
        <v>1800</v>
      </c>
      <c r="C642" s="26"/>
      <c r="D642" s="60" t="s">
        <v>1817</v>
      </c>
      <c r="E642" s="45" t="s">
        <v>1818</v>
      </c>
      <c r="F642" s="24" t="s">
        <v>43</v>
      </c>
      <c r="G642" s="44" t="s">
        <v>1819</v>
      </c>
      <c r="H642" s="4" t="s">
        <v>414</v>
      </c>
      <c r="I642" s="48" t="s">
        <v>86</v>
      </c>
      <c r="J642" s="47" t="s">
        <v>199</v>
      </c>
      <c r="K642" s="3" t="str">
        <f t="shared" ca="1" si="128"/>
        <v xml:space="preserve">3 Tahun 11 bulan </v>
      </c>
      <c r="L642" s="36" t="s">
        <v>200</v>
      </c>
      <c r="M642" s="47" t="s">
        <v>199</v>
      </c>
      <c r="N642" s="3" t="str">
        <f t="shared" ca="1" si="139"/>
        <v xml:space="preserve">3 Tahun 11 bulan </v>
      </c>
      <c r="O642" s="36"/>
      <c r="P642" s="4" t="s">
        <v>35</v>
      </c>
      <c r="Q642" s="4" t="str">
        <f t="shared" si="129"/>
        <v>Perempuan</v>
      </c>
      <c r="R642" s="4">
        <f t="shared" si="138"/>
        <v>1</v>
      </c>
      <c r="S642" s="4" t="str">
        <f t="shared" si="141"/>
        <v>1</v>
      </c>
      <c r="T642" s="4">
        <f t="shared" si="143"/>
        <v>0</v>
      </c>
      <c r="U642" s="29"/>
      <c r="V642" s="30"/>
      <c r="W642" s="30"/>
      <c r="X642" s="30"/>
      <c r="Y642" s="30"/>
      <c r="Z642" s="30"/>
      <c r="AA642" s="30"/>
      <c r="AB642" s="29"/>
      <c r="AC642" s="29"/>
      <c r="AD642" s="37">
        <f t="shared" si="131"/>
        <v>29432</v>
      </c>
      <c r="AE642" s="3" t="str">
        <f t="shared" ca="1" si="130"/>
        <v>46 Tahun 1 bulan 2 Hari</v>
      </c>
      <c r="AF642" s="38">
        <f t="shared" si="132"/>
        <v>51349</v>
      </c>
    </row>
    <row r="643" spans="1:32" s="7" customFormat="1" ht="32.15" customHeight="1" x14ac:dyDescent="0.35">
      <c r="A643" s="26">
        <f t="shared" si="142"/>
        <v>604</v>
      </c>
      <c r="B643" s="27" t="s">
        <v>1800</v>
      </c>
      <c r="C643" s="26"/>
      <c r="D643" s="60" t="s">
        <v>1820</v>
      </c>
      <c r="E643" s="45" t="s">
        <v>1821</v>
      </c>
      <c r="F643" s="24" t="s">
        <v>43</v>
      </c>
      <c r="G643" s="44" t="s">
        <v>1822</v>
      </c>
      <c r="H643" s="4" t="s">
        <v>1823</v>
      </c>
      <c r="I643" s="48" t="s">
        <v>86</v>
      </c>
      <c r="J643" s="47" t="s">
        <v>199</v>
      </c>
      <c r="K643" s="3" t="str">
        <f t="shared" ca="1" si="128"/>
        <v xml:space="preserve">3 Tahun 11 bulan </v>
      </c>
      <c r="L643" s="36" t="s">
        <v>200</v>
      </c>
      <c r="M643" s="47" t="s">
        <v>199</v>
      </c>
      <c r="N643" s="3" t="str">
        <f t="shared" ca="1" si="139"/>
        <v xml:space="preserve">3 Tahun 11 bulan </v>
      </c>
      <c r="O643" s="36"/>
      <c r="P643" s="4" t="s">
        <v>35</v>
      </c>
      <c r="Q643" s="4" t="str">
        <f t="shared" si="129"/>
        <v>Laki-Laki</v>
      </c>
      <c r="R643" s="4">
        <f t="shared" si="138"/>
        <v>1</v>
      </c>
      <c r="S643" s="4" t="str">
        <f t="shared" si="141"/>
        <v>1</v>
      </c>
      <c r="T643" s="4">
        <f t="shared" si="143"/>
        <v>0</v>
      </c>
      <c r="U643" s="29"/>
      <c r="V643" s="30"/>
      <c r="W643" s="30"/>
      <c r="X643" s="30"/>
      <c r="Y643" s="30"/>
      <c r="Z643" s="30"/>
      <c r="AA643" s="30"/>
      <c r="AB643" s="29"/>
      <c r="AC643" s="29"/>
      <c r="AD643" s="37">
        <f t="shared" si="131"/>
        <v>27073</v>
      </c>
      <c r="AE643" s="3" t="str">
        <f t="shared" ca="1" si="130"/>
        <v>52 Tahun 6 bulan 19 Hari</v>
      </c>
      <c r="AF643" s="38">
        <f t="shared" si="132"/>
        <v>49004</v>
      </c>
    </row>
    <row r="644" spans="1:32" s="7" customFormat="1" ht="32.15" customHeight="1" x14ac:dyDescent="0.35">
      <c r="A644" s="26">
        <f t="shared" si="142"/>
        <v>605</v>
      </c>
      <c r="B644" s="27" t="s">
        <v>1800</v>
      </c>
      <c r="C644" s="26"/>
      <c r="D644" s="60" t="s">
        <v>1824</v>
      </c>
      <c r="E644" s="45" t="s">
        <v>1825</v>
      </c>
      <c r="F644" s="24" t="s">
        <v>43</v>
      </c>
      <c r="G644" s="44" t="s">
        <v>1826</v>
      </c>
      <c r="H644" s="4" t="s">
        <v>574</v>
      </c>
      <c r="I644" s="36" t="s">
        <v>1814</v>
      </c>
      <c r="J644" s="26" t="s">
        <v>386</v>
      </c>
      <c r="K644" s="3" t="str">
        <f t="shared" ca="1" si="128"/>
        <v xml:space="preserve">5 Tahun 5 bulan </v>
      </c>
      <c r="L644" s="36" t="s">
        <v>200</v>
      </c>
      <c r="M644" s="26" t="s">
        <v>386</v>
      </c>
      <c r="N644" s="3" t="str">
        <f t="shared" ca="1" si="139"/>
        <v xml:space="preserve">5 Tahun 5 bulan </v>
      </c>
      <c r="O644" s="36"/>
      <c r="P644" s="4" t="s">
        <v>35</v>
      </c>
      <c r="Q644" s="4" t="str">
        <f t="shared" si="129"/>
        <v>Perempuan</v>
      </c>
      <c r="R644" s="4">
        <f t="shared" si="138"/>
        <v>1</v>
      </c>
      <c r="S644" s="4" t="str">
        <f t="shared" si="141"/>
        <v>1</v>
      </c>
      <c r="T644" s="4">
        <f t="shared" si="143"/>
        <v>0</v>
      </c>
      <c r="U644" s="29"/>
      <c r="V644" s="30"/>
      <c r="W644" s="30"/>
      <c r="X644" s="30"/>
      <c r="Y644" s="30"/>
      <c r="Z644" s="30"/>
      <c r="AA644" s="30"/>
      <c r="AB644" s="29"/>
      <c r="AC644" s="29"/>
      <c r="AD644" s="37">
        <f t="shared" si="131"/>
        <v>26035</v>
      </c>
      <c r="AE644" s="3" t="str">
        <f t="shared" ca="1" si="130"/>
        <v>55 Tahun 4 bulan 20 Hari</v>
      </c>
      <c r="AF644" s="38">
        <f t="shared" si="132"/>
        <v>47969</v>
      </c>
    </row>
    <row r="645" spans="1:32" s="7" customFormat="1" ht="26.25" customHeight="1" x14ac:dyDescent="0.35">
      <c r="A645" s="26"/>
      <c r="B645" s="27" t="s">
        <v>1827</v>
      </c>
      <c r="C645" s="280" t="s">
        <v>1828</v>
      </c>
      <c r="D645" s="281"/>
      <c r="E645" s="271" t="str">
        <f ca="1">IF(J645="","",CONCATENATE(DATEDIF(J645,NOW(),"Y")," Tahun ",DATEDIF(J645,NOW(),"YM")," bulan "))</f>
        <v/>
      </c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  <c r="AB645" s="272"/>
      <c r="AC645" s="272"/>
      <c r="AD645" s="272"/>
      <c r="AE645" s="272"/>
      <c r="AF645" s="273"/>
    </row>
    <row r="646" spans="1:32" s="7" customFormat="1" ht="30" customHeight="1" x14ac:dyDescent="0.35">
      <c r="A646" s="26">
        <f>A644+1</f>
        <v>606</v>
      </c>
      <c r="B646" s="27" t="s">
        <v>1827</v>
      </c>
      <c r="C646" s="282" t="s">
        <v>1829</v>
      </c>
      <c r="D646" s="283"/>
      <c r="E646" s="45" t="s">
        <v>3044</v>
      </c>
      <c r="F646" s="24" t="s">
        <v>43</v>
      </c>
      <c r="G646" s="44" t="s">
        <v>3045</v>
      </c>
      <c r="H646" s="56" t="s">
        <v>3046</v>
      </c>
      <c r="I646" s="36" t="s">
        <v>368</v>
      </c>
      <c r="J646" s="81">
        <v>46260</v>
      </c>
      <c r="K646" s="3" t="str">
        <f t="shared" ca="1" si="128"/>
        <v xml:space="preserve">0 Tahun 0 bulan </v>
      </c>
      <c r="L646" s="36" t="s">
        <v>79</v>
      </c>
      <c r="M646" s="81" t="s">
        <v>369</v>
      </c>
      <c r="N646" s="3" t="str">
        <f t="shared" ca="1" si="139"/>
        <v xml:space="preserve">3 Tahun 11 bulan </v>
      </c>
      <c r="O646" s="4" t="s">
        <v>155</v>
      </c>
      <c r="P646" s="4" t="s">
        <v>35</v>
      </c>
      <c r="Q646" s="4" t="str">
        <f t="shared" si="129"/>
        <v>Laki-Laki</v>
      </c>
      <c r="R646" s="4">
        <f>R644</f>
        <v>1</v>
      </c>
      <c r="S646" s="4" t="str">
        <f t="shared" ref="S646:S654" si="144">IF(E646="LOWONG","0","1")</f>
        <v>1</v>
      </c>
      <c r="T646" s="4">
        <f t="shared" ref="T646" si="145">R646-S646</f>
        <v>0</v>
      </c>
      <c r="U646" s="29"/>
      <c r="V646" s="30" t="s">
        <v>50</v>
      </c>
      <c r="W646" s="30"/>
      <c r="X646" s="30"/>
      <c r="Y646" s="30"/>
      <c r="Z646" s="30"/>
      <c r="AA646" s="30"/>
      <c r="AB646" s="29"/>
      <c r="AC646" s="29"/>
      <c r="AD646" s="37">
        <f t="shared" si="131"/>
        <v>27216</v>
      </c>
      <c r="AE646" s="3" t="str">
        <f t="shared" ca="1" si="130"/>
        <v>52 Tahun 1 bulan 26 Hari</v>
      </c>
      <c r="AF646" s="38">
        <f t="shared" si="132"/>
        <v>49157</v>
      </c>
    </row>
    <row r="647" spans="1:32" s="7" customFormat="1" ht="30" customHeight="1" x14ac:dyDescent="0.35">
      <c r="A647" s="26">
        <f t="shared" si="142"/>
        <v>607</v>
      </c>
      <c r="B647" s="27" t="s">
        <v>1827</v>
      </c>
      <c r="C647" s="282" t="s">
        <v>1830</v>
      </c>
      <c r="D647" s="283"/>
      <c r="E647" s="24" t="s">
        <v>1805</v>
      </c>
      <c r="F647" s="24" t="s">
        <v>43</v>
      </c>
      <c r="G647" s="4" t="s">
        <v>1806</v>
      </c>
      <c r="H647" s="36" t="s">
        <v>135</v>
      </c>
      <c r="I647" s="4" t="s">
        <v>86</v>
      </c>
      <c r="J647" s="82">
        <v>46260</v>
      </c>
      <c r="K647" s="3" t="str">
        <f t="shared" ref="K647:K710" ca="1" si="146">IF(J647="","",CONCATENATE(DATEDIF(J647,NOW(),"Y")," Tahun ",DATEDIF(J647,NOW(),"YM")," bulan "))</f>
        <v xml:space="preserve">0 Tahun 0 bulan </v>
      </c>
      <c r="L647" s="36" t="s">
        <v>346</v>
      </c>
      <c r="M647" s="82" t="s">
        <v>275</v>
      </c>
      <c r="N647" s="3" t="str">
        <f t="shared" ca="1" si="139"/>
        <v xml:space="preserve">5 Tahun 10 bulan </v>
      </c>
      <c r="O647" s="36"/>
      <c r="P647" s="4" t="s">
        <v>35</v>
      </c>
      <c r="Q647" s="4" t="str">
        <f t="shared" ref="Q647:Q710" si="147">CONCATENATE(IF(MID(G647,17,1)="1","Laki-Laki",IF(MID(G647,17,1)="2","Perempuan",)))</f>
        <v>Laki-Laki</v>
      </c>
      <c r="R647" s="4">
        <f t="shared" si="138"/>
        <v>1</v>
      </c>
      <c r="S647" s="4" t="str">
        <f t="shared" si="144"/>
        <v>1</v>
      </c>
      <c r="T647" s="4">
        <f t="shared" si="143"/>
        <v>0</v>
      </c>
      <c r="U647" s="29"/>
      <c r="V647" s="30" t="s">
        <v>50</v>
      </c>
      <c r="W647" s="30"/>
      <c r="X647" s="30"/>
      <c r="Y647" s="30"/>
      <c r="Z647" s="30"/>
      <c r="AA647" s="30"/>
      <c r="AB647" s="29"/>
      <c r="AC647" s="29"/>
      <c r="AD647" s="37">
        <f t="shared" si="131"/>
        <v>30076</v>
      </c>
      <c r="AE647" s="3" t="str">
        <f t="shared" ref="AE647:AE710" ca="1" si="148">IF(TRIM(AD647)="", "", CONCATENATE(DATEDIF(AD647,NOW(),"Y")," Tahun ",DATEDIF(AD647,NOW(),"YM")," bulan ",DATEDIF(AD647,NOW(),"MD")," Hari"))</f>
        <v>44 Tahun 3 bulan 27 Hari</v>
      </c>
      <c r="AF647" s="38">
        <f t="shared" si="132"/>
        <v>52018</v>
      </c>
    </row>
    <row r="648" spans="1:32" s="7" customFormat="1" ht="30" customHeight="1" x14ac:dyDescent="0.35">
      <c r="A648" s="26">
        <f t="shared" si="142"/>
        <v>608</v>
      </c>
      <c r="B648" s="27" t="s">
        <v>1827</v>
      </c>
      <c r="C648" s="26"/>
      <c r="D648" s="111" t="s">
        <v>1833</v>
      </c>
      <c r="E648" s="45" t="s">
        <v>332</v>
      </c>
      <c r="F648" s="24" t="s">
        <v>43</v>
      </c>
      <c r="G648" s="36" t="s">
        <v>333</v>
      </c>
      <c r="H648" s="36" t="s">
        <v>159</v>
      </c>
      <c r="I648" s="4" t="s">
        <v>46</v>
      </c>
      <c r="J648" s="82">
        <v>46260</v>
      </c>
      <c r="K648" s="3" t="str">
        <f t="shared" ca="1" si="146"/>
        <v xml:space="preserve">0 Tahun 0 bulan </v>
      </c>
      <c r="L648" s="36" t="s">
        <v>1749</v>
      </c>
      <c r="M648" s="82">
        <v>46258</v>
      </c>
      <c r="N648" s="3" t="str">
        <f t="shared" ca="1" si="139"/>
        <v xml:space="preserve">0 Tahun 0 bulan </v>
      </c>
      <c r="O648" s="36"/>
      <c r="P648" s="4" t="s">
        <v>35</v>
      </c>
      <c r="Q648" s="4" t="str">
        <f t="shared" si="147"/>
        <v>Laki-Laki</v>
      </c>
      <c r="R648" s="4">
        <f t="shared" si="138"/>
        <v>1</v>
      </c>
      <c r="S648" s="4" t="str">
        <f t="shared" si="144"/>
        <v>1</v>
      </c>
      <c r="T648" s="4">
        <f t="shared" si="143"/>
        <v>0</v>
      </c>
      <c r="U648" s="29"/>
      <c r="V648" s="30" t="s">
        <v>50</v>
      </c>
      <c r="W648" s="30"/>
      <c r="X648" s="30"/>
      <c r="Y648" s="30"/>
      <c r="Z648" s="30"/>
      <c r="AA648" s="30"/>
      <c r="AB648" s="29"/>
      <c r="AC648" s="29"/>
      <c r="AD648" s="37">
        <f t="shared" ref="AD648:AD711" si="149">IF(TRIM(G648)="", "", DATE(LEFT(G648,4),MID(G648,5,2),MID(G648,7,2)))</f>
        <v>28499</v>
      </c>
      <c r="AE648" s="3" t="str">
        <f t="shared" ca="1" si="148"/>
        <v>48 Tahun 7 bulan 23 Hari</v>
      </c>
      <c r="AF648" s="38">
        <f t="shared" ref="AF648:AF711" si="150">IF(TRIM(AD648)="","",DATE(YEAR(AD648)+60,MONTH(AD648)+1,1))</f>
        <v>50437</v>
      </c>
    </row>
    <row r="649" spans="1:32" s="7" customFormat="1" ht="30" customHeight="1" x14ac:dyDescent="0.35">
      <c r="A649" s="26">
        <f t="shared" si="142"/>
        <v>609</v>
      </c>
      <c r="B649" s="27" t="s">
        <v>1827</v>
      </c>
      <c r="C649" s="26"/>
      <c r="D649" s="111" t="s">
        <v>1837</v>
      </c>
      <c r="E649" s="51" t="s">
        <v>1838</v>
      </c>
      <c r="F649" s="24" t="s">
        <v>43</v>
      </c>
      <c r="G649" s="52" t="s">
        <v>1839</v>
      </c>
      <c r="H649" s="36" t="s">
        <v>132</v>
      </c>
      <c r="I649" s="4" t="s">
        <v>46</v>
      </c>
      <c r="J649" s="82" t="s">
        <v>711</v>
      </c>
      <c r="K649" s="3" t="str">
        <f t="shared" ca="1" si="146"/>
        <v xml:space="preserve">4 Tahun 11 bulan </v>
      </c>
      <c r="L649" s="36" t="s">
        <v>1749</v>
      </c>
      <c r="M649" s="82" t="s">
        <v>711</v>
      </c>
      <c r="N649" s="3" t="str">
        <f t="shared" ca="1" si="139"/>
        <v xml:space="preserve">4 Tahun 11 bulan </v>
      </c>
      <c r="O649" s="36"/>
      <c r="P649" s="4" t="s">
        <v>35</v>
      </c>
      <c r="Q649" s="4" t="str">
        <f t="shared" si="147"/>
        <v>Perempuan</v>
      </c>
      <c r="R649" s="4">
        <f t="shared" si="138"/>
        <v>1</v>
      </c>
      <c r="S649" s="4" t="str">
        <f t="shared" si="144"/>
        <v>1</v>
      </c>
      <c r="T649" s="4">
        <f t="shared" si="143"/>
        <v>0</v>
      </c>
      <c r="U649" s="29"/>
      <c r="V649" s="30"/>
      <c r="W649" s="30"/>
      <c r="X649" s="30"/>
      <c r="Y649" s="30"/>
      <c r="Z649" s="30"/>
      <c r="AA649" s="30"/>
      <c r="AB649" s="29"/>
      <c r="AC649" s="29"/>
      <c r="AD649" s="37">
        <f t="shared" si="149"/>
        <v>26861</v>
      </c>
      <c r="AE649" s="3" t="str">
        <f t="shared" ca="1" si="148"/>
        <v>53 Tahun 1 bulan 16 Hari</v>
      </c>
      <c r="AF649" s="38">
        <f t="shared" si="150"/>
        <v>48792</v>
      </c>
    </row>
    <row r="650" spans="1:32" s="7" customFormat="1" ht="30" customHeight="1" x14ac:dyDescent="0.35">
      <c r="A650" s="26">
        <f t="shared" si="142"/>
        <v>610</v>
      </c>
      <c r="B650" s="27" t="s">
        <v>1827</v>
      </c>
      <c r="C650" s="26"/>
      <c r="D650" s="60" t="s">
        <v>1840</v>
      </c>
      <c r="E650" s="45" t="s">
        <v>1841</v>
      </c>
      <c r="F650" s="24" t="s">
        <v>43</v>
      </c>
      <c r="G650" s="44" t="s">
        <v>1842</v>
      </c>
      <c r="H650" s="4" t="s">
        <v>345</v>
      </c>
      <c r="I650" s="4" t="s">
        <v>184</v>
      </c>
      <c r="J650" s="47" t="s">
        <v>1843</v>
      </c>
      <c r="K650" s="3" t="str">
        <f t="shared" ca="1" si="146"/>
        <v xml:space="preserve">1 Tahun 3 bulan </v>
      </c>
      <c r="L650" s="36" t="s">
        <v>200</v>
      </c>
      <c r="M650" s="47" t="s">
        <v>199</v>
      </c>
      <c r="N650" s="3" t="str">
        <f t="shared" ca="1" si="139"/>
        <v xml:space="preserve">3 Tahun 11 bulan </v>
      </c>
      <c r="O650" s="4" t="s">
        <v>128</v>
      </c>
      <c r="P650" s="4"/>
      <c r="Q650" s="4" t="str">
        <f t="shared" si="147"/>
        <v>Laki-Laki</v>
      </c>
      <c r="R650" s="4">
        <f t="shared" si="138"/>
        <v>1</v>
      </c>
      <c r="S650" s="4" t="str">
        <f t="shared" si="144"/>
        <v>1</v>
      </c>
      <c r="T650" s="4">
        <f t="shared" si="143"/>
        <v>0</v>
      </c>
      <c r="U650" s="29"/>
      <c r="V650" s="30"/>
      <c r="W650" s="30"/>
      <c r="X650" s="30"/>
      <c r="Y650" s="30"/>
      <c r="Z650" s="30"/>
      <c r="AA650" s="30"/>
      <c r="AB650" s="29"/>
      <c r="AC650" s="29"/>
      <c r="AD650" s="37">
        <f t="shared" si="149"/>
        <v>29410</v>
      </c>
      <c r="AE650" s="3" t="str">
        <f t="shared" ca="1" si="148"/>
        <v>46 Tahun 1 bulan 24 Hari</v>
      </c>
      <c r="AF650" s="38">
        <f t="shared" si="150"/>
        <v>51349</v>
      </c>
    </row>
    <row r="651" spans="1:32" s="7" customFormat="1" ht="30" customHeight="1" x14ac:dyDescent="0.35">
      <c r="A651" s="26">
        <f t="shared" si="142"/>
        <v>611</v>
      </c>
      <c r="B651" s="27" t="s">
        <v>1827</v>
      </c>
      <c r="C651" s="26"/>
      <c r="D651" s="60" t="s">
        <v>1844</v>
      </c>
      <c r="E651" s="24" t="s">
        <v>3070</v>
      </c>
      <c r="F651" s="24" t="s">
        <v>43</v>
      </c>
      <c r="G651" s="3" t="s">
        <v>3071</v>
      </c>
      <c r="H651" s="4" t="s">
        <v>66</v>
      </c>
      <c r="I651" s="33" t="s">
        <v>46</v>
      </c>
      <c r="J651" s="82">
        <v>46260</v>
      </c>
      <c r="K651" s="3" t="str">
        <f t="shared" ca="1" si="146"/>
        <v xml:space="preserve">0 Tahun 0 bulan </v>
      </c>
      <c r="L651" s="36" t="s">
        <v>200</v>
      </c>
      <c r="M651" s="82"/>
      <c r="N651" s="3" t="str">
        <f t="shared" ca="1" si="139"/>
        <v/>
      </c>
      <c r="O651" s="36"/>
      <c r="P651" s="4" t="s">
        <v>35</v>
      </c>
      <c r="Q651" s="4" t="str">
        <f t="shared" si="147"/>
        <v>Laki-Laki</v>
      </c>
      <c r="R651" s="4">
        <f t="shared" si="138"/>
        <v>1</v>
      </c>
      <c r="S651" s="4" t="str">
        <f t="shared" si="144"/>
        <v>1</v>
      </c>
      <c r="T651" s="4">
        <f t="shared" si="143"/>
        <v>0</v>
      </c>
      <c r="U651" s="29"/>
      <c r="V651" s="30" t="s">
        <v>50</v>
      </c>
      <c r="W651" s="30"/>
      <c r="X651" s="30"/>
      <c r="Y651" s="30"/>
      <c r="Z651" s="30"/>
      <c r="AA651" s="30"/>
      <c r="AB651" s="29"/>
      <c r="AC651" s="29"/>
      <c r="AD651" s="37">
        <f t="shared" si="149"/>
        <v>27359</v>
      </c>
      <c r="AE651" s="3" t="str">
        <f t="shared" ca="1" si="148"/>
        <v>51 Tahun 9 bulan 6 Hari</v>
      </c>
      <c r="AF651" s="38">
        <f t="shared" si="150"/>
        <v>49279</v>
      </c>
    </row>
    <row r="652" spans="1:32" s="7" customFormat="1" ht="30" customHeight="1" x14ac:dyDescent="0.35">
      <c r="A652" s="26">
        <f t="shared" si="142"/>
        <v>612</v>
      </c>
      <c r="B652" s="27" t="s">
        <v>1827</v>
      </c>
      <c r="C652" s="26"/>
      <c r="D652" s="60" t="s">
        <v>1846</v>
      </c>
      <c r="E652" s="45" t="s">
        <v>1847</v>
      </c>
      <c r="F652" s="24" t="s">
        <v>43</v>
      </c>
      <c r="G652" s="36" t="s">
        <v>1848</v>
      </c>
      <c r="H652" s="4" t="s">
        <v>1488</v>
      </c>
      <c r="I652" s="48" t="s">
        <v>1849</v>
      </c>
      <c r="J652" s="82" t="s">
        <v>386</v>
      </c>
      <c r="K652" s="3" t="str">
        <f t="shared" ca="1" si="146"/>
        <v xml:space="preserve">5 Tahun 5 bulan </v>
      </c>
      <c r="L652" s="36" t="s">
        <v>200</v>
      </c>
      <c r="M652" s="82" t="s">
        <v>386</v>
      </c>
      <c r="N652" s="3" t="str">
        <f t="shared" ca="1" si="139"/>
        <v xml:space="preserve">5 Tahun 5 bulan </v>
      </c>
      <c r="O652" s="36"/>
      <c r="P652" s="4" t="s">
        <v>35</v>
      </c>
      <c r="Q652" s="4" t="str">
        <f t="shared" si="147"/>
        <v>Perempuan</v>
      </c>
      <c r="R652" s="4">
        <f t="shared" si="138"/>
        <v>1</v>
      </c>
      <c r="S652" s="4" t="str">
        <f t="shared" si="144"/>
        <v>1</v>
      </c>
      <c r="T652" s="4">
        <f t="shared" si="143"/>
        <v>0</v>
      </c>
      <c r="U652" s="29"/>
      <c r="V652" s="30"/>
      <c r="W652" s="30"/>
      <c r="X652" s="30"/>
      <c r="Y652" s="30"/>
      <c r="Z652" s="30"/>
      <c r="AA652" s="30"/>
      <c r="AB652" s="29"/>
      <c r="AC652" s="29"/>
      <c r="AD652" s="37">
        <f t="shared" si="149"/>
        <v>26564</v>
      </c>
      <c r="AE652" s="3" t="str">
        <f t="shared" ca="1" si="148"/>
        <v>53 Tahun 11 bulan 10 Hari</v>
      </c>
      <c r="AF652" s="38">
        <f t="shared" si="150"/>
        <v>48488</v>
      </c>
    </row>
    <row r="653" spans="1:32" s="7" customFormat="1" ht="30" customHeight="1" x14ac:dyDescent="0.35">
      <c r="A653" s="26">
        <f t="shared" si="142"/>
        <v>613</v>
      </c>
      <c r="B653" s="27" t="s">
        <v>1827</v>
      </c>
      <c r="C653" s="26"/>
      <c r="D653" s="60" t="s">
        <v>1850</v>
      </c>
      <c r="E653" s="93" t="s">
        <v>1851</v>
      </c>
      <c r="F653" s="24" t="s">
        <v>43</v>
      </c>
      <c r="G653" s="114" t="s">
        <v>1852</v>
      </c>
      <c r="H653" s="4" t="s">
        <v>1853</v>
      </c>
      <c r="I653" s="4" t="s">
        <v>107</v>
      </c>
      <c r="J653" s="72" t="s">
        <v>98</v>
      </c>
      <c r="K653" s="3" t="str">
        <f t="shared" ca="1" si="146"/>
        <v xml:space="preserve">3 Tahun 0 bulan </v>
      </c>
      <c r="L653" s="36" t="s">
        <v>200</v>
      </c>
      <c r="M653" s="72" t="s">
        <v>98</v>
      </c>
      <c r="N653" s="3" t="str">
        <f t="shared" ca="1" si="139"/>
        <v xml:space="preserve">3 Tahun 0 bulan </v>
      </c>
      <c r="O653" s="4"/>
      <c r="P653" s="4" t="s">
        <v>35</v>
      </c>
      <c r="Q653" s="4" t="str">
        <f t="shared" si="147"/>
        <v>Laki-Laki</v>
      </c>
      <c r="R653" s="4">
        <f t="shared" si="138"/>
        <v>1</v>
      </c>
      <c r="S653" s="4" t="str">
        <f t="shared" si="144"/>
        <v>1</v>
      </c>
      <c r="T653" s="4">
        <f t="shared" si="143"/>
        <v>0</v>
      </c>
      <c r="U653" s="29"/>
      <c r="V653" s="30" t="s">
        <v>50</v>
      </c>
      <c r="W653" s="30"/>
      <c r="X653" s="30"/>
      <c r="Y653" s="30"/>
      <c r="Z653" s="30"/>
      <c r="AA653" s="30"/>
      <c r="AB653" s="29"/>
      <c r="AC653" s="29"/>
      <c r="AD653" s="37">
        <f t="shared" si="149"/>
        <v>26117</v>
      </c>
      <c r="AE653" s="3" t="str">
        <f t="shared" ca="1" si="148"/>
        <v>55 Tahun 1 bulan 29 Hari</v>
      </c>
      <c r="AF653" s="38">
        <f t="shared" si="150"/>
        <v>48061</v>
      </c>
    </row>
    <row r="654" spans="1:32" s="7" customFormat="1" ht="30" customHeight="1" x14ac:dyDescent="0.35">
      <c r="A654" s="26">
        <f t="shared" si="142"/>
        <v>614</v>
      </c>
      <c r="B654" s="27" t="s">
        <v>1827</v>
      </c>
      <c r="C654" s="26"/>
      <c r="D654" s="60" t="s">
        <v>1854</v>
      </c>
      <c r="E654" s="45" t="s">
        <v>1855</v>
      </c>
      <c r="F654" s="24" t="s">
        <v>43</v>
      </c>
      <c r="G654" s="44" t="s">
        <v>1856</v>
      </c>
      <c r="H654" s="4" t="s">
        <v>410</v>
      </c>
      <c r="I654" s="36" t="s">
        <v>86</v>
      </c>
      <c r="J654" s="82" t="s">
        <v>199</v>
      </c>
      <c r="K654" s="3" t="str">
        <f t="shared" ca="1" si="146"/>
        <v xml:space="preserve">3 Tahun 11 bulan </v>
      </c>
      <c r="L654" s="36" t="s">
        <v>200</v>
      </c>
      <c r="M654" s="82" t="s">
        <v>199</v>
      </c>
      <c r="N654" s="3" t="str">
        <f t="shared" ca="1" si="139"/>
        <v xml:space="preserve">3 Tahun 11 bulan </v>
      </c>
      <c r="O654" s="36"/>
      <c r="P654" s="4" t="s">
        <v>35</v>
      </c>
      <c r="Q654" s="4" t="str">
        <f t="shared" si="147"/>
        <v>Laki-Laki</v>
      </c>
      <c r="R654" s="4">
        <f t="shared" si="138"/>
        <v>1</v>
      </c>
      <c r="S654" s="4" t="str">
        <f t="shared" si="144"/>
        <v>1</v>
      </c>
      <c r="T654" s="4">
        <f t="shared" si="143"/>
        <v>0</v>
      </c>
      <c r="U654" s="29"/>
      <c r="V654" s="30"/>
      <c r="W654" s="30"/>
      <c r="X654" s="30"/>
      <c r="Y654" s="30"/>
      <c r="Z654" s="30"/>
      <c r="AA654" s="30"/>
      <c r="AB654" s="29"/>
      <c r="AC654" s="29"/>
      <c r="AD654" s="37">
        <f t="shared" si="149"/>
        <v>28852</v>
      </c>
      <c r="AE654" s="3" t="str">
        <f t="shared" ca="1" si="148"/>
        <v>47 Tahun 8 bulan 4 Hari</v>
      </c>
      <c r="AF654" s="38">
        <f t="shared" si="150"/>
        <v>50771</v>
      </c>
    </row>
    <row r="655" spans="1:32" s="7" customFormat="1" ht="33" customHeight="1" x14ac:dyDescent="0.35">
      <c r="A655" s="26"/>
      <c r="B655" s="27" t="s">
        <v>1857</v>
      </c>
      <c r="C655" s="280" t="s">
        <v>1858</v>
      </c>
      <c r="D655" s="281"/>
      <c r="E655" s="271" t="str">
        <f ca="1">IF(J655="","",CONCATENATE(DATEDIF(J655,NOW(),"Y")," Tahun ",DATEDIF(J655,NOW(),"YM")," bulan "))</f>
        <v/>
      </c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  <c r="AB655" s="272"/>
      <c r="AC655" s="272"/>
      <c r="AD655" s="272"/>
      <c r="AE655" s="272"/>
      <c r="AF655" s="273"/>
    </row>
    <row r="656" spans="1:32" s="7" customFormat="1" ht="32.15" customHeight="1" x14ac:dyDescent="0.35">
      <c r="A656" s="26">
        <f>A654+1</f>
        <v>615</v>
      </c>
      <c r="B656" s="27" t="s">
        <v>1857</v>
      </c>
      <c r="C656" s="282" t="s">
        <v>1859</v>
      </c>
      <c r="D656" s="283"/>
      <c r="E656" s="24" t="s">
        <v>3041</v>
      </c>
      <c r="F656" s="24" t="s">
        <v>43</v>
      </c>
      <c r="G656" s="3" t="s">
        <v>3042</v>
      </c>
      <c r="H656" s="4" t="s">
        <v>3043</v>
      </c>
      <c r="I656" s="4"/>
      <c r="J656" s="81">
        <v>46260</v>
      </c>
      <c r="K656" s="3" t="str">
        <f t="shared" ca="1" si="146"/>
        <v xml:space="preserve">0 Tahun 0 bulan </v>
      </c>
      <c r="L656" s="30" t="s">
        <v>79</v>
      </c>
      <c r="M656" s="81"/>
      <c r="N656" s="3" t="str">
        <f t="shared" ca="1" si="139"/>
        <v/>
      </c>
      <c r="O656" s="36" t="s">
        <v>81</v>
      </c>
      <c r="P656" s="4" t="s">
        <v>35</v>
      </c>
      <c r="Q656" s="4" t="str">
        <f t="shared" si="147"/>
        <v>Laki-Laki</v>
      </c>
      <c r="R656" s="4">
        <f>R654</f>
        <v>1</v>
      </c>
      <c r="S656" s="4" t="str">
        <f t="shared" ref="S656:S664" si="151">IF(E656="LOWONG","0","1")</f>
        <v>1</v>
      </c>
      <c r="T656" s="4">
        <f t="shared" ref="T656" si="152">R656-S656</f>
        <v>0</v>
      </c>
      <c r="U656" s="29"/>
      <c r="V656" s="30" t="s">
        <v>50</v>
      </c>
      <c r="W656" s="30"/>
      <c r="X656" s="30"/>
      <c r="Y656" s="30"/>
      <c r="Z656" s="30"/>
      <c r="AA656" s="30"/>
      <c r="AB656" s="29"/>
      <c r="AC656" s="29"/>
      <c r="AD656" s="37">
        <f t="shared" si="149"/>
        <v>25841</v>
      </c>
      <c r="AE656" s="3" t="str">
        <f t="shared" ca="1" si="148"/>
        <v>55 Tahun 11 bulan 2 Hari</v>
      </c>
      <c r="AF656" s="38">
        <f t="shared" si="150"/>
        <v>47757</v>
      </c>
    </row>
    <row r="657" spans="1:32" s="7" customFormat="1" ht="32.15" customHeight="1" x14ac:dyDescent="0.35">
      <c r="A657" s="26">
        <f t="shared" si="142"/>
        <v>616</v>
      </c>
      <c r="B657" s="27" t="s">
        <v>1857</v>
      </c>
      <c r="C657" s="282" t="s">
        <v>1860</v>
      </c>
      <c r="D657" s="283"/>
      <c r="E657" s="24" t="s">
        <v>3060</v>
      </c>
      <c r="F657" s="24" t="s">
        <v>43</v>
      </c>
      <c r="G657" s="4" t="s">
        <v>3061</v>
      </c>
      <c r="H657" s="4" t="s">
        <v>3062</v>
      </c>
      <c r="I657" s="4"/>
      <c r="J657" s="53">
        <v>46260</v>
      </c>
      <c r="K657" s="3" t="str">
        <f t="shared" ca="1" si="146"/>
        <v xml:space="preserve">0 Tahun 0 bulan </v>
      </c>
      <c r="L657" s="36" t="s">
        <v>346</v>
      </c>
      <c r="M657" s="53">
        <v>46260</v>
      </c>
      <c r="N657" s="3" t="str">
        <f t="shared" ca="1" si="139"/>
        <v xml:space="preserve">0 Tahun 0 bulan </v>
      </c>
      <c r="O657" s="36"/>
      <c r="P657" s="4" t="s">
        <v>35</v>
      </c>
      <c r="Q657" s="4" t="str">
        <f t="shared" si="147"/>
        <v>Perempuan</v>
      </c>
      <c r="R657" s="4">
        <f t="shared" si="138"/>
        <v>1</v>
      </c>
      <c r="S657" s="4" t="str">
        <f t="shared" si="151"/>
        <v>1</v>
      </c>
      <c r="T657" s="4">
        <f t="shared" si="143"/>
        <v>0</v>
      </c>
      <c r="U657" s="29"/>
      <c r="V657" s="30" t="s">
        <v>50</v>
      </c>
      <c r="W657" s="30"/>
      <c r="X657" s="30"/>
      <c r="Y657" s="30"/>
      <c r="Z657" s="30"/>
      <c r="AA657" s="30"/>
      <c r="AB657" s="29"/>
      <c r="AC657" s="29"/>
      <c r="AD657" s="37">
        <f t="shared" si="149"/>
        <v>27883</v>
      </c>
      <c r="AE657" s="3" t="str">
        <f t="shared" ca="1" si="148"/>
        <v>50 Tahun 3 bulan 29 Hari</v>
      </c>
      <c r="AF657" s="38">
        <f t="shared" si="150"/>
        <v>49827</v>
      </c>
    </row>
    <row r="658" spans="1:32" s="7" customFormat="1" ht="30" customHeight="1" x14ac:dyDescent="0.35">
      <c r="A658" s="26">
        <f t="shared" si="142"/>
        <v>617</v>
      </c>
      <c r="B658" s="27" t="s">
        <v>1857</v>
      </c>
      <c r="C658" s="26"/>
      <c r="D658" s="111" t="s">
        <v>1863</v>
      </c>
      <c r="E658" s="45" t="s">
        <v>1864</v>
      </c>
      <c r="F658" s="24" t="s">
        <v>43</v>
      </c>
      <c r="G658" s="44" t="s">
        <v>1865</v>
      </c>
      <c r="H658" s="36" t="s">
        <v>1866</v>
      </c>
      <c r="I658" s="4" t="s">
        <v>86</v>
      </c>
      <c r="J658" s="47" t="s">
        <v>275</v>
      </c>
      <c r="K658" s="3" t="str">
        <f t="shared" ca="1" si="146"/>
        <v xml:space="preserve">5 Tahun 10 bulan </v>
      </c>
      <c r="L658" s="36" t="s">
        <v>1749</v>
      </c>
      <c r="M658" s="47" t="s">
        <v>275</v>
      </c>
      <c r="N658" s="3" t="str">
        <f t="shared" ca="1" si="139"/>
        <v xml:space="preserve">5 Tahun 10 bulan </v>
      </c>
      <c r="O658" s="36"/>
      <c r="P658" s="4" t="s">
        <v>35</v>
      </c>
      <c r="Q658" s="4" t="str">
        <f t="shared" si="147"/>
        <v>Laki-Laki</v>
      </c>
      <c r="R658" s="4">
        <f t="shared" si="138"/>
        <v>1</v>
      </c>
      <c r="S658" s="4" t="str">
        <f t="shared" si="151"/>
        <v>1</v>
      </c>
      <c r="T658" s="4">
        <f t="shared" si="143"/>
        <v>0</v>
      </c>
      <c r="U658" s="29"/>
      <c r="V658" s="30" t="s">
        <v>50</v>
      </c>
      <c r="W658" s="30"/>
      <c r="X658" s="30"/>
      <c r="Y658" s="30"/>
      <c r="Z658" s="30"/>
      <c r="AA658" s="30"/>
      <c r="AB658" s="29"/>
      <c r="AC658" s="29"/>
      <c r="AD658" s="37">
        <f t="shared" si="149"/>
        <v>26481</v>
      </c>
      <c r="AE658" s="3" t="str">
        <f t="shared" ca="1" si="148"/>
        <v>54 Tahun 2 bulan 0 Hari</v>
      </c>
      <c r="AF658" s="38">
        <f t="shared" si="150"/>
        <v>48427</v>
      </c>
    </row>
    <row r="659" spans="1:32" s="7" customFormat="1" ht="30" customHeight="1" x14ac:dyDescent="0.35">
      <c r="A659" s="26">
        <f t="shared" si="142"/>
        <v>618</v>
      </c>
      <c r="B659" s="27" t="s">
        <v>1857</v>
      </c>
      <c r="C659" s="26"/>
      <c r="D659" s="111" t="s">
        <v>1867</v>
      </c>
      <c r="E659" s="45" t="s">
        <v>1868</v>
      </c>
      <c r="F659" s="24" t="s">
        <v>43</v>
      </c>
      <c r="G659" s="44" t="s">
        <v>1869</v>
      </c>
      <c r="H659" s="36" t="s">
        <v>159</v>
      </c>
      <c r="I659" s="36" t="s">
        <v>86</v>
      </c>
      <c r="J659" s="47" t="s">
        <v>386</v>
      </c>
      <c r="K659" s="3" t="str">
        <f t="shared" ca="1" si="146"/>
        <v xml:space="preserve">5 Tahun 5 bulan </v>
      </c>
      <c r="L659" s="36" t="s">
        <v>1749</v>
      </c>
      <c r="M659" s="47" t="s">
        <v>386</v>
      </c>
      <c r="N659" s="3" t="str">
        <f t="shared" ca="1" si="139"/>
        <v xml:space="preserve">5 Tahun 5 bulan </v>
      </c>
      <c r="O659" s="36"/>
      <c r="P659" s="4" t="s">
        <v>35</v>
      </c>
      <c r="Q659" s="4" t="str">
        <f t="shared" si="147"/>
        <v>Laki-Laki</v>
      </c>
      <c r="R659" s="4">
        <f t="shared" si="138"/>
        <v>1</v>
      </c>
      <c r="S659" s="4" t="str">
        <f t="shared" si="151"/>
        <v>1</v>
      </c>
      <c r="T659" s="4">
        <f t="shared" si="143"/>
        <v>0</v>
      </c>
      <c r="U659" s="29"/>
      <c r="V659" s="30" t="s">
        <v>50</v>
      </c>
      <c r="W659" s="30"/>
      <c r="X659" s="30"/>
      <c r="Y659" s="30"/>
      <c r="Z659" s="30"/>
      <c r="AA659" s="30"/>
      <c r="AB659" s="29"/>
      <c r="AC659" s="29"/>
      <c r="AD659" s="37">
        <f t="shared" si="149"/>
        <v>28720</v>
      </c>
      <c r="AE659" s="3" t="str">
        <f t="shared" ca="1" si="148"/>
        <v>48 Tahun 0 bulan 14 Hari</v>
      </c>
      <c r="AF659" s="38">
        <f t="shared" si="150"/>
        <v>50649</v>
      </c>
    </row>
    <row r="660" spans="1:32" s="7" customFormat="1" ht="30" customHeight="1" x14ac:dyDescent="0.35">
      <c r="A660" s="26">
        <f t="shared" si="142"/>
        <v>619</v>
      </c>
      <c r="B660" s="27" t="s">
        <v>1857</v>
      </c>
      <c r="C660" s="26"/>
      <c r="D660" s="60" t="s">
        <v>1870</v>
      </c>
      <c r="E660" s="45" t="s">
        <v>1871</v>
      </c>
      <c r="F660" s="24" t="s">
        <v>43</v>
      </c>
      <c r="G660" s="44" t="s">
        <v>1872</v>
      </c>
      <c r="H660" s="4" t="s">
        <v>85</v>
      </c>
      <c r="I660" s="36" t="s">
        <v>86</v>
      </c>
      <c r="J660" s="47" t="s">
        <v>565</v>
      </c>
      <c r="K660" s="3" t="str">
        <f t="shared" ca="1" si="146"/>
        <v xml:space="preserve">5 Tahun 9 bulan </v>
      </c>
      <c r="L660" s="36" t="s">
        <v>200</v>
      </c>
      <c r="M660" s="47" t="s">
        <v>565</v>
      </c>
      <c r="N660" s="3" t="str">
        <f t="shared" ca="1" si="139"/>
        <v xml:space="preserve">5 Tahun 9 bulan </v>
      </c>
      <c r="O660" s="36"/>
      <c r="P660" s="4" t="s">
        <v>35</v>
      </c>
      <c r="Q660" s="4" t="str">
        <f t="shared" si="147"/>
        <v>Laki-Laki</v>
      </c>
      <c r="R660" s="4">
        <f t="shared" si="138"/>
        <v>1</v>
      </c>
      <c r="S660" s="4" t="str">
        <f t="shared" si="151"/>
        <v>1</v>
      </c>
      <c r="T660" s="4">
        <f t="shared" si="143"/>
        <v>0</v>
      </c>
      <c r="U660" s="29"/>
      <c r="V660" s="30" t="s">
        <v>50</v>
      </c>
      <c r="W660" s="30"/>
      <c r="X660" s="30"/>
      <c r="Y660" s="30"/>
      <c r="Z660" s="30"/>
      <c r="AA660" s="30"/>
      <c r="AB660" s="29"/>
      <c r="AC660" s="29"/>
      <c r="AD660" s="37">
        <f t="shared" si="149"/>
        <v>26299</v>
      </c>
      <c r="AE660" s="3" t="str">
        <f t="shared" ca="1" si="148"/>
        <v>54 Tahun 8 bulan 0 Hari</v>
      </c>
      <c r="AF660" s="38">
        <f t="shared" si="150"/>
        <v>48245</v>
      </c>
    </row>
    <row r="661" spans="1:32" s="7" customFormat="1" ht="30" customHeight="1" x14ac:dyDescent="0.35">
      <c r="A661" s="26">
        <f t="shared" si="142"/>
        <v>620</v>
      </c>
      <c r="B661" s="27" t="s">
        <v>1857</v>
      </c>
      <c r="C661" s="26"/>
      <c r="D661" s="60" t="s">
        <v>1873</v>
      </c>
      <c r="E661" s="45" t="s">
        <v>1874</v>
      </c>
      <c r="F661" s="24" t="s">
        <v>43</v>
      </c>
      <c r="G661" s="36" t="s">
        <v>1875</v>
      </c>
      <c r="H661" s="4" t="s">
        <v>414</v>
      </c>
      <c r="I661" s="48" t="s">
        <v>46</v>
      </c>
      <c r="J661" s="47" t="s">
        <v>275</v>
      </c>
      <c r="K661" s="3" t="str">
        <f t="shared" ca="1" si="146"/>
        <v xml:space="preserve">5 Tahun 10 bulan </v>
      </c>
      <c r="L661" s="36" t="s">
        <v>200</v>
      </c>
      <c r="M661" s="47" t="s">
        <v>275</v>
      </c>
      <c r="N661" s="3" t="str">
        <f t="shared" ca="1" si="139"/>
        <v xml:space="preserve">5 Tahun 10 bulan </v>
      </c>
      <c r="O661" s="36"/>
      <c r="P661" s="4" t="s">
        <v>35</v>
      </c>
      <c r="Q661" s="4" t="str">
        <f t="shared" si="147"/>
        <v>Perempuan</v>
      </c>
      <c r="R661" s="4">
        <f t="shared" si="138"/>
        <v>1</v>
      </c>
      <c r="S661" s="4" t="str">
        <f t="shared" si="151"/>
        <v>1</v>
      </c>
      <c r="T661" s="4">
        <f t="shared" si="143"/>
        <v>0</v>
      </c>
      <c r="U661" s="29"/>
      <c r="V661" s="30"/>
      <c r="W661" s="30"/>
      <c r="X661" s="30"/>
      <c r="Y661" s="30"/>
      <c r="Z661" s="30"/>
      <c r="AA661" s="30"/>
      <c r="AB661" s="29"/>
      <c r="AC661" s="29"/>
      <c r="AD661" s="37">
        <f t="shared" si="149"/>
        <v>28327</v>
      </c>
      <c r="AE661" s="3" t="str">
        <f t="shared" ca="1" si="148"/>
        <v>49 Tahun 1 bulan 11 Hari</v>
      </c>
      <c r="AF661" s="38">
        <f t="shared" si="150"/>
        <v>50253</v>
      </c>
    </row>
    <row r="662" spans="1:32" s="7" customFormat="1" ht="30" customHeight="1" x14ac:dyDescent="0.35">
      <c r="A662" s="26">
        <f t="shared" si="142"/>
        <v>621</v>
      </c>
      <c r="B662" s="27" t="s">
        <v>1857</v>
      </c>
      <c r="C662" s="26"/>
      <c r="D662" s="60" t="s">
        <v>1876</v>
      </c>
      <c r="E662" s="45" t="s">
        <v>1877</v>
      </c>
      <c r="F662" s="24" t="s">
        <v>43</v>
      </c>
      <c r="G662" s="44" t="s">
        <v>1878</v>
      </c>
      <c r="H662" s="36" t="s">
        <v>379</v>
      </c>
      <c r="I662" s="33" t="s">
        <v>46</v>
      </c>
      <c r="J662" s="47" t="s">
        <v>1766</v>
      </c>
      <c r="K662" s="3" t="str">
        <f t="shared" ca="1" si="146"/>
        <v xml:space="preserve">9 Tahun 0 bulan </v>
      </c>
      <c r="L662" s="36" t="s">
        <v>200</v>
      </c>
      <c r="M662" s="47" t="s">
        <v>1766</v>
      </c>
      <c r="N662" s="3" t="str">
        <f t="shared" ca="1" si="139"/>
        <v xml:space="preserve">9 Tahun 0 bulan </v>
      </c>
      <c r="O662" s="36"/>
      <c r="P662" s="4" t="s">
        <v>35</v>
      </c>
      <c r="Q662" s="4" t="str">
        <f t="shared" si="147"/>
        <v>Perempuan</v>
      </c>
      <c r="R662" s="4">
        <f t="shared" si="138"/>
        <v>1</v>
      </c>
      <c r="S662" s="4" t="str">
        <f t="shared" si="151"/>
        <v>1</v>
      </c>
      <c r="T662" s="4">
        <f t="shared" si="143"/>
        <v>0</v>
      </c>
      <c r="U662" s="29"/>
      <c r="V662" s="30"/>
      <c r="W662" s="30"/>
      <c r="X662" s="30"/>
      <c r="Y662" s="30"/>
      <c r="Z662" s="30"/>
      <c r="AA662" s="30"/>
      <c r="AB662" s="29"/>
      <c r="AC662" s="29"/>
      <c r="AD662" s="37">
        <f t="shared" si="149"/>
        <v>30059</v>
      </c>
      <c r="AE662" s="3" t="str">
        <f t="shared" ca="1" si="148"/>
        <v>44 Tahun 4 bulan 14 Hari</v>
      </c>
      <c r="AF662" s="38">
        <f t="shared" si="150"/>
        <v>51987</v>
      </c>
    </row>
    <row r="663" spans="1:32" s="7" customFormat="1" ht="30" customHeight="1" x14ac:dyDescent="0.35">
      <c r="A663" s="26">
        <f t="shared" si="142"/>
        <v>622</v>
      </c>
      <c r="B663" s="27" t="s">
        <v>1857</v>
      </c>
      <c r="C663" s="26"/>
      <c r="D663" s="60" t="s">
        <v>1879</v>
      </c>
      <c r="E663" s="45" t="s">
        <v>1880</v>
      </c>
      <c r="F663" s="24" t="s">
        <v>43</v>
      </c>
      <c r="G663" s="44" t="s">
        <v>1881</v>
      </c>
      <c r="H663" s="36" t="s">
        <v>472</v>
      </c>
      <c r="I663" s="48" t="s">
        <v>86</v>
      </c>
      <c r="J663" s="47" t="s">
        <v>1748</v>
      </c>
      <c r="K663" s="3" t="str">
        <f t="shared" ca="1" si="146"/>
        <v xml:space="preserve">9 Tahun 7 bulan </v>
      </c>
      <c r="L663" s="36" t="s">
        <v>200</v>
      </c>
      <c r="M663" s="47" t="s">
        <v>1748</v>
      </c>
      <c r="N663" s="3" t="str">
        <f t="shared" ca="1" si="139"/>
        <v xml:space="preserve">9 Tahun 7 bulan </v>
      </c>
      <c r="O663" s="36"/>
      <c r="P663" s="4" t="s">
        <v>35</v>
      </c>
      <c r="Q663" s="4" t="str">
        <f t="shared" si="147"/>
        <v>Perempuan</v>
      </c>
      <c r="R663" s="4">
        <f t="shared" si="138"/>
        <v>1</v>
      </c>
      <c r="S663" s="4" t="str">
        <f t="shared" si="151"/>
        <v>1</v>
      </c>
      <c r="T663" s="4">
        <f t="shared" si="143"/>
        <v>0</v>
      </c>
      <c r="U663" s="29"/>
      <c r="V663" s="30"/>
      <c r="W663" s="30"/>
      <c r="X663" s="30"/>
      <c r="Y663" s="30"/>
      <c r="Z663" s="30"/>
      <c r="AA663" s="30"/>
      <c r="AB663" s="29"/>
      <c r="AC663" s="29"/>
      <c r="AD663" s="37">
        <f t="shared" si="149"/>
        <v>28316</v>
      </c>
      <c r="AE663" s="3" t="str">
        <f t="shared" ca="1" si="148"/>
        <v>49 Tahun 1 bulan 22 Hari</v>
      </c>
      <c r="AF663" s="38">
        <f t="shared" si="150"/>
        <v>50253</v>
      </c>
    </row>
    <row r="664" spans="1:32" s="7" customFormat="1" ht="30" customHeight="1" x14ac:dyDescent="0.35">
      <c r="A664" s="26">
        <f t="shared" si="142"/>
        <v>623</v>
      </c>
      <c r="B664" s="27" t="s">
        <v>1857</v>
      </c>
      <c r="C664" s="26"/>
      <c r="D664" s="60" t="s">
        <v>1882</v>
      </c>
      <c r="E664" s="45" t="s">
        <v>1883</v>
      </c>
      <c r="F664" s="24" t="s">
        <v>43</v>
      </c>
      <c r="G664" s="44" t="s">
        <v>1884</v>
      </c>
      <c r="H664" s="4" t="s">
        <v>410</v>
      </c>
      <c r="I664" s="48" t="s">
        <v>86</v>
      </c>
      <c r="J664" s="47" t="s">
        <v>1748</v>
      </c>
      <c r="K664" s="3" t="str">
        <f t="shared" ca="1" si="146"/>
        <v xml:space="preserve">9 Tahun 7 bulan </v>
      </c>
      <c r="L664" s="36" t="s">
        <v>200</v>
      </c>
      <c r="M664" s="47" t="s">
        <v>1748</v>
      </c>
      <c r="N664" s="3" t="str">
        <f t="shared" ca="1" si="139"/>
        <v xml:space="preserve">9 Tahun 7 bulan </v>
      </c>
      <c r="O664" s="36"/>
      <c r="P664" s="4" t="s">
        <v>35</v>
      </c>
      <c r="Q664" s="4" t="str">
        <f t="shared" si="147"/>
        <v>Perempuan</v>
      </c>
      <c r="R664" s="4">
        <f t="shared" si="138"/>
        <v>1</v>
      </c>
      <c r="S664" s="4" t="str">
        <f t="shared" si="151"/>
        <v>1</v>
      </c>
      <c r="T664" s="4">
        <f t="shared" si="143"/>
        <v>0</v>
      </c>
      <c r="U664" s="29"/>
      <c r="V664" s="30"/>
      <c r="W664" s="30"/>
      <c r="X664" s="30"/>
      <c r="Y664" s="30"/>
      <c r="Z664" s="30"/>
      <c r="AA664" s="30"/>
      <c r="AB664" s="29"/>
      <c r="AC664" s="29"/>
      <c r="AD664" s="37">
        <f t="shared" si="149"/>
        <v>27676</v>
      </c>
      <c r="AE664" s="3" t="str">
        <f t="shared" ca="1" si="148"/>
        <v>50 Tahun 10 bulan 23 Hari</v>
      </c>
      <c r="AF664" s="38">
        <f t="shared" si="150"/>
        <v>49614</v>
      </c>
    </row>
    <row r="665" spans="1:32" s="7" customFormat="1" ht="36.65" customHeight="1" x14ac:dyDescent="0.35">
      <c r="A665" s="26"/>
      <c r="B665" s="27" t="s">
        <v>1885</v>
      </c>
      <c r="C665" s="280" t="s">
        <v>1886</v>
      </c>
      <c r="D665" s="281"/>
      <c r="E665" s="271" t="str">
        <f ca="1">IF(J665="","",CONCATENATE(DATEDIF(J665,NOW(),"Y")," Tahun ",DATEDIF(J665,NOW(),"YM")," bulan "))</f>
        <v/>
      </c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  <c r="AB665" s="272"/>
      <c r="AC665" s="272"/>
      <c r="AD665" s="272"/>
      <c r="AE665" s="272"/>
      <c r="AF665" s="273"/>
    </row>
    <row r="666" spans="1:32" s="7" customFormat="1" ht="32.15" customHeight="1" x14ac:dyDescent="0.35">
      <c r="A666" s="26">
        <f>A664+1</f>
        <v>624</v>
      </c>
      <c r="B666" s="27" t="s">
        <v>1885</v>
      </c>
      <c r="C666" s="282" t="s">
        <v>1887</v>
      </c>
      <c r="D666" s="283"/>
      <c r="E666" s="45" t="s">
        <v>1889</v>
      </c>
      <c r="F666" s="24" t="s">
        <v>43</v>
      </c>
      <c r="G666" s="44" t="s">
        <v>1890</v>
      </c>
      <c r="H666" s="4" t="s">
        <v>385</v>
      </c>
      <c r="I666" s="36" t="s">
        <v>251</v>
      </c>
      <c r="J666" s="212">
        <v>46260</v>
      </c>
      <c r="K666" s="3" t="str">
        <f t="shared" ca="1" si="146"/>
        <v xml:space="preserve">0 Tahun 0 bulan </v>
      </c>
      <c r="L666" s="36" t="s">
        <v>79</v>
      </c>
      <c r="M666" s="82" t="s">
        <v>1109</v>
      </c>
      <c r="N666" s="3" t="str">
        <f t="shared" ca="1" si="139"/>
        <v xml:space="preserve">6 Tahun 8 bulan </v>
      </c>
      <c r="O666" s="56"/>
      <c r="P666" s="4" t="s">
        <v>35</v>
      </c>
      <c r="Q666" s="4" t="str">
        <f t="shared" si="147"/>
        <v>Laki-Laki</v>
      </c>
      <c r="R666" s="4">
        <f>R664</f>
        <v>1</v>
      </c>
      <c r="S666" s="4" t="str">
        <f t="shared" ref="S666:S674" si="153">IF(E666="LOWONG","0","1")</f>
        <v>1</v>
      </c>
      <c r="T666" s="4">
        <f t="shared" ref="T666" si="154">R666-S666</f>
        <v>0</v>
      </c>
      <c r="U666" s="29"/>
      <c r="V666" s="30" t="s">
        <v>50</v>
      </c>
      <c r="W666" s="30"/>
      <c r="X666" s="30"/>
      <c r="Y666" s="30"/>
      <c r="Z666" s="30"/>
      <c r="AA666" s="30"/>
      <c r="AB666" s="29"/>
      <c r="AC666" s="29"/>
      <c r="AD666" s="37">
        <f t="shared" si="149"/>
        <v>27262</v>
      </c>
      <c r="AE666" s="3" t="str">
        <f t="shared" ca="1" si="148"/>
        <v>52 Tahun 0 bulan 11 Hari</v>
      </c>
      <c r="AF666" s="38">
        <f t="shared" si="150"/>
        <v>49188</v>
      </c>
    </row>
    <row r="667" spans="1:32" s="7" customFormat="1" ht="32.15" customHeight="1" x14ac:dyDescent="0.35">
      <c r="A667" s="26">
        <f t="shared" si="142"/>
        <v>625</v>
      </c>
      <c r="B667" s="27" t="s">
        <v>1885</v>
      </c>
      <c r="C667" s="282" t="s">
        <v>1888</v>
      </c>
      <c r="D667" s="283"/>
      <c r="E667" s="45" t="s">
        <v>3055</v>
      </c>
      <c r="F667" s="24" t="s">
        <v>43</v>
      </c>
      <c r="G667" s="44" t="s">
        <v>3056</v>
      </c>
      <c r="H667" s="4" t="s">
        <v>750</v>
      </c>
      <c r="I667" s="36" t="s">
        <v>630</v>
      </c>
      <c r="J667" s="82">
        <v>46260</v>
      </c>
      <c r="K667" s="3" t="str">
        <f t="shared" ca="1" si="146"/>
        <v xml:space="preserve">0 Tahun 0 bulan </v>
      </c>
      <c r="L667" s="36" t="s">
        <v>346</v>
      </c>
      <c r="M667" s="82" t="s">
        <v>751</v>
      </c>
      <c r="N667" s="3" t="str">
        <f t="shared" ca="1" si="139"/>
        <v xml:space="preserve">5 Tahun 0 bulan </v>
      </c>
      <c r="O667" s="4"/>
      <c r="P667" s="4" t="s">
        <v>35</v>
      </c>
      <c r="Q667" s="4" t="str">
        <f t="shared" si="147"/>
        <v>Laki-Laki</v>
      </c>
      <c r="R667" s="4">
        <f t="shared" si="138"/>
        <v>1</v>
      </c>
      <c r="S667" s="4" t="str">
        <f t="shared" si="153"/>
        <v>1</v>
      </c>
      <c r="T667" s="4">
        <f t="shared" si="143"/>
        <v>0</v>
      </c>
      <c r="U667" s="29"/>
      <c r="V667" s="30" t="s">
        <v>50</v>
      </c>
      <c r="W667" s="30"/>
      <c r="X667" s="30"/>
      <c r="Y667" s="30"/>
      <c r="Z667" s="30"/>
      <c r="AA667" s="30"/>
      <c r="AB667" s="29"/>
      <c r="AC667" s="29"/>
      <c r="AD667" s="37">
        <f t="shared" si="149"/>
        <v>26155</v>
      </c>
      <c r="AE667" s="3" t="str">
        <f t="shared" ca="1" si="148"/>
        <v>55 Tahun 0 bulan 22 Hari</v>
      </c>
      <c r="AF667" s="38">
        <f t="shared" si="150"/>
        <v>48092</v>
      </c>
    </row>
    <row r="668" spans="1:32" s="7" customFormat="1" ht="28.5" customHeight="1" x14ac:dyDescent="0.35">
      <c r="A668" s="26">
        <f t="shared" si="142"/>
        <v>626</v>
      </c>
      <c r="B668" s="27" t="s">
        <v>1885</v>
      </c>
      <c r="C668" s="26"/>
      <c r="D668" s="111" t="s">
        <v>1891</v>
      </c>
      <c r="E668" s="71" t="s">
        <v>1892</v>
      </c>
      <c r="F668" s="24" t="s">
        <v>43</v>
      </c>
      <c r="G668" s="70" t="s">
        <v>1893</v>
      </c>
      <c r="H668" s="4" t="s">
        <v>687</v>
      </c>
      <c r="I668" s="4" t="s">
        <v>86</v>
      </c>
      <c r="J668" s="47" t="s">
        <v>338</v>
      </c>
      <c r="K668" s="3" t="str">
        <f t="shared" ca="1" si="146"/>
        <v xml:space="preserve">2 Tahun 11 bulan </v>
      </c>
      <c r="L668" s="36" t="s">
        <v>1749</v>
      </c>
      <c r="M668" s="47" t="s">
        <v>338</v>
      </c>
      <c r="N668" s="3" t="str">
        <f t="shared" ca="1" si="139"/>
        <v xml:space="preserve">2 Tahun 11 bulan </v>
      </c>
      <c r="O668" s="56"/>
      <c r="P668" s="4" t="s">
        <v>35</v>
      </c>
      <c r="Q668" s="4" t="str">
        <f t="shared" si="147"/>
        <v>Laki-Laki</v>
      </c>
      <c r="R668" s="4">
        <f t="shared" si="138"/>
        <v>1</v>
      </c>
      <c r="S668" s="4" t="str">
        <f t="shared" si="153"/>
        <v>1</v>
      </c>
      <c r="T668" s="4">
        <f t="shared" si="143"/>
        <v>0</v>
      </c>
      <c r="U668" s="29"/>
      <c r="V668" s="30" t="s">
        <v>50</v>
      </c>
      <c r="W668" s="30"/>
      <c r="X668" s="30"/>
      <c r="Y668" s="30"/>
      <c r="Z668" s="30"/>
      <c r="AA668" s="30"/>
      <c r="AB668" s="29"/>
      <c r="AC668" s="29"/>
      <c r="AD668" s="37">
        <f t="shared" si="149"/>
        <v>27546</v>
      </c>
      <c r="AE668" s="3" t="str">
        <f t="shared" ca="1" si="148"/>
        <v>51 Tahun 3 bulan 0 Hari</v>
      </c>
      <c r="AF668" s="38">
        <f t="shared" si="150"/>
        <v>49491</v>
      </c>
    </row>
    <row r="669" spans="1:32" s="7" customFormat="1" ht="28.5" customHeight="1" x14ac:dyDescent="0.35">
      <c r="A669" s="26">
        <f t="shared" si="142"/>
        <v>627</v>
      </c>
      <c r="B669" s="27" t="s">
        <v>1885</v>
      </c>
      <c r="C669" s="26"/>
      <c r="D669" s="111" t="s">
        <v>1894</v>
      </c>
      <c r="E669" s="45" t="s">
        <v>1895</v>
      </c>
      <c r="F669" s="24" t="s">
        <v>43</v>
      </c>
      <c r="G669" s="44" t="s">
        <v>1896</v>
      </c>
      <c r="H669" s="4" t="s">
        <v>687</v>
      </c>
      <c r="I669" s="4" t="s">
        <v>86</v>
      </c>
      <c r="J669" s="47" t="s">
        <v>338</v>
      </c>
      <c r="K669" s="3" t="str">
        <f t="shared" ca="1" si="146"/>
        <v xml:space="preserve">2 Tahun 11 bulan </v>
      </c>
      <c r="L669" s="36" t="s">
        <v>1749</v>
      </c>
      <c r="M669" s="47" t="s">
        <v>338</v>
      </c>
      <c r="N669" s="3" t="str">
        <f t="shared" ca="1" si="139"/>
        <v xml:space="preserve">2 Tahun 11 bulan </v>
      </c>
      <c r="O669" s="36"/>
      <c r="P669" s="4" t="s">
        <v>35</v>
      </c>
      <c r="Q669" s="4" t="str">
        <f t="shared" si="147"/>
        <v>Laki-Laki</v>
      </c>
      <c r="R669" s="4">
        <f t="shared" si="138"/>
        <v>1</v>
      </c>
      <c r="S669" s="4" t="str">
        <f t="shared" si="153"/>
        <v>1</v>
      </c>
      <c r="T669" s="4">
        <f t="shared" si="143"/>
        <v>0</v>
      </c>
      <c r="U669" s="29"/>
      <c r="V669" s="30" t="s">
        <v>50</v>
      </c>
      <c r="W669" s="30"/>
      <c r="X669" s="30"/>
      <c r="Y669" s="30"/>
      <c r="Z669" s="30"/>
      <c r="AA669" s="30"/>
      <c r="AB669" s="29"/>
      <c r="AC669" s="29"/>
      <c r="AD669" s="37">
        <f t="shared" si="149"/>
        <v>25849</v>
      </c>
      <c r="AE669" s="3" t="str">
        <f t="shared" ca="1" si="148"/>
        <v>55 Tahun 10 bulan 24 Hari</v>
      </c>
      <c r="AF669" s="38">
        <f t="shared" si="150"/>
        <v>47788</v>
      </c>
    </row>
    <row r="670" spans="1:32" s="7" customFormat="1" ht="28.5" customHeight="1" x14ac:dyDescent="0.35">
      <c r="A670" s="26">
        <f t="shared" si="142"/>
        <v>628</v>
      </c>
      <c r="B670" s="27" t="s">
        <v>1885</v>
      </c>
      <c r="C670" s="26"/>
      <c r="D670" s="60" t="s">
        <v>1897</v>
      </c>
      <c r="E670" s="45" t="s">
        <v>1898</v>
      </c>
      <c r="F670" s="24" t="s">
        <v>43</v>
      </c>
      <c r="G670" s="44" t="s">
        <v>1899</v>
      </c>
      <c r="H670" s="4" t="s">
        <v>1900</v>
      </c>
      <c r="I670" s="4" t="s">
        <v>350</v>
      </c>
      <c r="J670" s="47" t="s">
        <v>1748</v>
      </c>
      <c r="K670" s="3" t="str">
        <f t="shared" ca="1" si="146"/>
        <v xml:space="preserve">9 Tahun 7 bulan </v>
      </c>
      <c r="L670" s="36" t="s">
        <v>200</v>
      </c>
      <c r="M670" s="47" t="s">
        <v>1748</v>
      </c>
      <c r="N670" s="3" t="str">
        <f t="shared" ca="1" si="139"/>
        <v xml:space="preserve">9 Tahun 7 bulan </v>
      </c>
      <c r="O670" s="36"/>
      <c r="P670" s="4" t="s">
        <v>35</v>
      </c>
      <c r="Q670" s="4" t="str">
        <f t="shared" si="147"/>
        <v>Laki-Laki</v>
      </c>
      <c r="R670" s="4">
        <f t="shared" si="138"/>
        <v>1</v>
      </c>
      <c r="S670" s="4" t="str">
        <f t="shared" si="153"/>
        <v>1</v>
      </c>
      <c r="T670" s="4">
        <f t="shared" si="143"/>
        <v>0</v>
      </c>
      <c r="U670" s="29"/>
      <c r="V670" s="30" t="s">
        <v>50</v>
      </c>
      <c r="W670" s="30"/>
      <c r="X670" s="30"/>
      <c r="Y670" s="30"/>
      <c r="Z670" s="30"/>
      <c r="AA670" s="30"/>
      <c r="AB670" s="29"/>
      <c r="AC670" s="29"/>
      <c r="AD670" s="37">
        <f t="shared" si="149"/>
        <v>24812</v>
      </c>
      <c r="AE670" s="3" t="str">
        <f t="shared" ca="1" si="148"/>
        <v>58 Tahun 8 bulan 26 Hari</v>
      </c>
      <c r="AF670" s="38">
        <f t="shared" si="150"/>
        <v>46753</v>
      </c>
    </row>
    <row r="671" spans="1:32" s="7" customFormat="1" ht="28.5" customHeight="1" x14ac:dyDescent="0.35">
      <c r="A671" s="26">
        <f t="shared" si="142"/>
        <v>629</v>
      </c>
      <c r="B671" s="27" t="s">
        <v>1885</v>
      </c>
      <c r="C671" s="26"/>
      <c r="D671" s="60" t="s">
        <v>1901</v>
      </c>
      <c r="E671" s="45" t="s">
        <v>108</v>
      </c>
      <c r="F671" s="45"/>
      <c r="G671" s="36"/>
      <c r="H671" s="4"/>
      <c r="I671" s="4"/>
      <c r="J671" s="49"/>
      <c r="K671" s="3" t="str">
        <f t="shared" ca="1" si="146"/>
        <v/>
      </c>
      <c r="L671" s="36" t="s">
        <v>200</v>
      </c>
      <c r="M671" s="49"/>
      <c r="N671" s="3" t="str">
        <f t="shared" ca="1" si="139"/>
        <v/>
      </c>
      <c r="O671" s="36"/>
      <c r="P671" s="4"/>
      <c r="Q671" s="4" t="str">
        <f t="shared" si="147"/>
        <v/>
      </c>
      <c r="R671" s="4">
        <f t="shared" si="138"/>
        <v>1</v>
      </c>
      <c r="S671" s="4" t="str">
        <f t="shared" si="153"/>
        <v>0</v>
      </c>
      <c r="T671" s="4">
        <f t="shared" si="143"/>
        <v>1</v>
      </c>
      <c r="U671" s="29"/>
      <c r="V671" s="30" t="s">
        <v>50</v>
      </c>
      <c r="W671" s="30"/>
      <c r="X671" s="30"/>
      <c r="Y671" s="30"/>
      <c r="Z671" s="30"/>
      <c r="AA671" s="30"/>
      <c r="AB671" s="29"/>
      <c r="AC671" s="29"/>
      <c r="AD671" s="37" t="str">
        <f t="shared" si="149"/>
        <v/>
      </c>
      <c r="AE671" s="3" t="str">
        <f t="shared" ca="1" si="148"/>
        <v/>
      </c>
      <c r="AF671" s="38" t="str">
        <f t="shared" si="150"/>
        <v/>
      </c>
    </row>
    <row r="672" spans="1:32" s="7" customFormat="1" ht="28.5" customHeight="1" x14ac:dyDescent="0.35">
      <c r="A672" s="26">
        <f t="shared" si="142"/>
        <v>630</v>
      </c>
      <c r="B672" s="27" t="s">
        <v>1885</v>
      </c>
      <c r="C672" s="26"/>
      <c r="D672" s="60" t="s">
        <v>1902</v>
      </c>
      <c r="E672" s="45" t="s">
        <v>1903</v>
      </c>
      <c r="F672" s="24" t="s">
        <v>43</v>
      </c>
      <c r="G672" s="44" t="s">
        <v>1904</v>
      </c>
      <c r="H672" s="36" t="s">
        <v>85</v>
      </c>
      <c r="I672" s="4" t="s">
        <v>1905</v>
      </c>
      <c r="J672" s="47" t="s">
        <v>1109</v>
      </c>
      <c r="K672" s="3" t="str">
        <f t="shared" ca="1" si="146"/>
        <v xml:space="preserve">6 Tahun 8 bulan </v>
      </c>
      <c r="L672" s="36" t="s">
        <v>200</v>
      </c>
      <c r="M672" s="47" t="s">
        <v>1109</v>
      </c>
      <c r="N672" s="3" t="str">
        <f t="shared" ca="1" si="139"/>
        <v xml:space="preserve">6 Tahun 8 bulan </v>
      </c>
      <c r="O672" s="36"/>
      <c r="P672" s="4" t="s">
        <v>35</v>
      </c>
      <c r="Q672" s="4" t="str">
        <f t="shared" si="147"/>
        <v>Laki-Laki</v>
      </c>
      <c r="R672" s="4">
        <f t="shared" si="138"/>
        <v>1</v>
      </c>
      <c r="S672" s="4" t="str">
        <f t="shared" si="153"/>
        <v>1</v>
      </c>
      <c r="T672" s="4">
        <f t="shared" si="143"/>
        <v>0</v>
      </c>
      <c r="U672" s="29"/>
      <c r="V672" s="30" t="s">
        <v>50</v>
      </c>
      <c r="W672" s="30"/>
      <c r="X672" s="30"/>
      <c r="Y672" s="30"/>
      <c r="Z672" s="30"/>
      <c r="AA672" s="30"/>
      <c r="AB672" s="29"/>
      <c r="AC672" s="29"/>
      <c r="AD672" s="37">
        <f t="shared" si="149"/>
        <v>29695</v>
      </c>
      <c r="AE672" s="3" t="str">
        <f t="shared" ca="1" si="148"/>
        <v>45 Tahun 4 bulan 13 Hari</v>
      </c>
      <c r="AF672" s="38">
        <f t="shared" si="150"/>
        <v>51622</v>
      </c>
    </row>
    <row r="673" spans="1:32" s="7" customFormat="1" ht="28.5" customHeight="1" x14ac:dyDescent="0.35">
      <c r="A673" s="26">
        <f t="shared" si="142"/>
        <v>631</v>
      </c>
      <c r="B673" s="27" t="s">
        <v>1885</v>
      </c>
      <c r="C673" s="26"/>
      <c r="D673" s="60" t="s">
        <v>1906</v>
      </c>
      <c r="E673" s="45" t="s">
        <v>1907</v>
      </c>
      <c r="F673" s="24" t="s">
        <v>43</v>
      </c>
      <c r="G673" s="44" t="s">
        <v>1908</v>
      </c>
      <c r="H673" s="36" t="s">
        <v>414</v>
      </c>
      <c r="I673" s="4" t="s">
        <v>1905</v>
      </c>
      <c r="J673" s="82" t="s">
        <v>354</v>
      </c>
      <c r="K673" s="3" t="str">
        <f t="shared" ca="1" si="146"/>
        <v xml:space="preserve">6 Tahun 9 bulan </v>
      </c>
      <c r="L673" s="36" t="s">
        <v>200</v>
      </c>
      <c r="M673" s="82" t="s">
        <v>354</v>
      </c>
      <c r="N673" s="3" t="str">
        <f t="shared" ca="1" si="139"/>
        <v xml:space="preserve">6 Tahun 9 bulan </v>
      </c>
      <c r="O673" s="36"/>
      <c r="P673" s="4" t="s">
        <v>35</v>
      </c>
      <c r="Q673" s="4" t="str">
        <f t="shared" si="147"/>
        <v>Laki-Laki</v>
      </c>
      <c r="R673" s="4">
        <f t="shared" si="138"/>
        <v>1</v>
      </c>
      <c r="S673" s="4" t="str">
        <f t="shared" si="153"/>
        <v>1</v>
      </c>
      <c r="T673" s="4">
        <f t="shared" si="143"/>
        <v>0</v>
      </c>
      <c r="U673" s="29"/>
      <c r="V673" s="30" t="s">
        <v>50</v>
      </c>
      <c r="W673" s="30"/>
      <c r="X673" s="30"/>
      <c r="Y673" s="30"/>
      <c r="Z673" s="30"/>
      <c r="AA673" s="30"/>
      <c r="AB673" s="29"/>
      <c r="AC673" s="29"/>
      <c r="AD673" s="37">
        <f t="shared" si="149"/>
        <v>29009</v>
      </c>
      <c r="AE673" s="3" t="str">
        <f t="shared" ca="1" si="148"/>
        <v>47 Tahun 2 bulan 29 Hari</v>
      </c>
      <c r="AF673" s="38">
        <f t="shared" si="150"/>
        <v>50952</v>
      </c>
    </row>
    <row r="674" spans="1:32" s="7" customFormat="1" ht="28.5" customHeight="1" x14ac:dyDescent="0.35">
      <c r="A674" s="26">
        <f t="shared" si="142"/>
        <v>632</v>
      </c>
      <c r="B674" s="27" t="s">
        <v>1885</v>
      </c>
      <c r="C674" s="26"/>
      <c r="D674" s="60" t="s">
        <v>1909</v>
      </c>
      <c r="E674" s="39" t="s">
        <v>1910</v>
      </c>
      <c r="F674" s="24" t="s">
        <v>43</v>
      </c>
      <c r="G674" s="44" t="s">
        <v>1911</v>
      </c>
      <c r="H674" s="36" t="s">
        <v>102</v>
      </c>
      <c r="I674" s="36" t="s">
        <v>86</v>
      </c>
      <c r="J674" s="82" t="s">
        <v>1748</v>
      </c>
      <c r="K674" s="3" t="str">
        <f t="shared" ca="1" si="146"/>
        <v xml:space="preserve">9 Tahun 7 bulan </v>
      </c>
      <c r="L674" s="36" t="s">
        <v>200</v>
      </c>
      <c r="M674" s="82" t="s">
        <v>1748</v>
      </c>
      <c r="N674" s="3" t="str">
        <f t="shared" ca="1" si="139"/>
        <v xml:space="preserve">9 Tahun 7 bulan </v>
      </c>
      <c r="O674" s="36"/>
      <c r="P674" s="4" t="s">
        <v>35</v>
      </c>
      <c r="Q674" s="4" t="str">
        <f t="shared" si="147"/>
        <v/>
      </c>
      <c r="R674" s="4">
        <f t="shared" si="138"/>
        <v>1</v>
      </c>
      <c r="S674" s="4" t="str">
        <f t="shared" si="153"/>
        <v>1</v>
      </c>
      <c r="T674" s="4">
        <f t="shared" si="143"/>
        <v>0</v>
      </c>
      <c r="U674" s="29"/>
      <c r="V674" s="30" t="s">
        <v>50</v>
      </c>
      <c r="W674" s="30"/>
      <c r="X674" s="30"/>
      <c r="Y674" s="30"/>
      <c r="Z674" s="30"/>
      <c r="AA674" s="30"/>
      <c r="AB674" s="29"/>
      <c r="AC674" s="29"/>
      <c r="AD674" s="37">
        <f t="shared" si="149"/>
        <v>31193</v>
      </c>
      <c r="AE674" s="3" t="str">
        <f t="shared" ca="1" si="148"/>
        <v>41 Tahun 3 bulan 6 Hari</v>
      </c>
      <c r="AF674" s="38">
        <f t="shared" si="150"/>
        <v>53114</v>
      </c>
    </row>
    <row r="675" spans="1:32" s="7" customFormat="1" ht="30" customHeight="1" x14ac:dyDescent="0.35">
      <c r="A675" s="26"/>
      <c r="B675" s="27" t="s">
        <v>1912</v>
      </c>
      <c r="C675" s="280" t="s">
        <v>1913</v>
      </c>
      <c r="D675" s="281"/>
      <c r="E675" s="271" t="str">
        <f ca="1">IF(J675="","",CONCATENATE(DATEDIF(J675,NOW(),"Y")," Tahun ",DATEDIF(J675,NOW(),"YM")," bulan "))</f>
        <v/>
      </c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  <c r="AB675" s="272"/>
      <c r="AC675" s="272"/>
      <c r="AD675" s="272"/>
      <c r="AE675" s="272"/>
      <c r="AF675" s="273"/>
    </row>
    <row r="676" spans="1:32" s="7" customFormat="1" ht="32.15" customHeight="1" x14ac:dyDescent="0.35">
      <c r="A676" s="26">
        <f>A674+1</f>
        <v>633</v>
      </c>
      <c r="B676" s="27" t="s">
        <v>1912</v>
      </c>
      <c r="C676" s="282" t="s">
        <v>1914</v>
      </c>
      <c r="D676" s="283"/>
      <c r="E676" s="45" t="s">
        <v>2211</v>
      </c>
      <c r="F676" s="24" t="s">
        <v>43</v>
      </c>
      <c r="G676" s="44" t="s">
        <v>2212</v>
      </c>
      <c r="H676" s="4" t="s">
        <v>385</v>
      </c>
      <c r="I676" s="36" t="s">
        <v>86</v>
      </c>
      <c r="J676" s="53">
        <v>46260</v>
      </c>
      <c r="K676" s="3" t="str">
        <f t="shared" ca="1" si="146"/>
        <v xml:space="preserve">0 Tahun 0 bulan </v>
      </c>
      <c r="L676" s="36" t="s">
        <v>79</v>
      </c>
      <c r="M676" s="53">
        <v>46260</v>
      </c>
      <c r="N676" s="3" t="str">
        <f t="shared" ca="1" si="139"/>
        <v xml:space="preserve">0 Tahun 0 bulan </v>
      </c>
      <c r="O676" s="60"/>
      <c r="P676" s="4" t="s">
        <v>35</v>
      </c>
      <c r="Q676" s="4" t="str">
        <f t="shared" si="147"/>
        <v>Laki-Laki</v>
      </c>
      <c r="R676" s="4">
        <f>R674</f>
        <v>1</v>
      </c>
      <c r="S676" s="4" t="str">
        <f t="shared" ref="S676:S684" si="155">IF(E676="LOWONG","0","1")</f>
        <v>1</v>
      </c>
      <c r="T676" s="4">
        <f t="shared" ref="T676" si="156">R676-S676</f>
        <v>0</v>
      </c>
      <c r="U676" s="29"/>
      <c r="V676" s="30" t="s">
        <v>50</v>
      </c>
      <c r="W676" s="30"/>
      <c r="X676" s="30"/>
      <c r="Y676" s="30"/>
      <c r="Z676" s="30"/>
      <c r="AA676" s="30"/>
      <c r="AB676" s="29"/>
      <c r="AC676" s="29"/>
      <c r="AD676" s="37">
        <f t="shared" si="149"/>
        <v>27601</v>
      </c>
      <c r="AE676" s="3" t="str">
        <f t="shared" ca="1" si="148"/>
        <v>51 Tahun 1 bulan 6 Hari</v>
      </c>
      <c r="AF676" s="38">
        <f t="shared" si="150"/>
        <v>49522</v>
      </c>
    </row>
    <row r="677" spans="1:32" s="7" customFormat="1" ht="32.15" customHeight="1" x14ac:dyDescent="0.35">
      <c r="A677" s="26">
        <f t="shared" si="142"/>
        <v>634</v>
      </c>
      <c r="B677" s="27" t="s">
        <v>1912</v>
      </c>
      <c r="C677" s="282" t="s">
        <v>1918</v>
      </c>
      <c r="D677" s="283"/>
      <c r="E677" s="45" t="s">
        <v>1919</v>
      </c>
      <c r="F677" s="24" t="s">
        <v>43</v>
      </c>
      <c r="G677" s="44" t="s">
        <v>2851</v>
      </c>
      <c r="H677" s="4" t="s">
        <v>2852</v>
      </c>
      <c r="I677" s="36" t="s">
        <v>759</v>
      </c>
      <c r="J677" s="115">
        <v>45993</v>
      </c>
      <c r="K677" s="3" t="str">
        <f t="shared" ca="1" si="146"/>
        <v xml:space="preserve">0 Tahun 8 bulan </v>
      </c>
      <c r="L677" s="36" t="s">
        <v>346</v>
      </c>
      <c r="M677" s="65"/>
      <c r="N677" s="3" t="str">
        <f t="shared" ca="1" si="139"/>
        <v/>
      </c>
      <c r="O677" s="36"/>
      <c r="P677" s="4" t="s">
        <v>35</v>
      </c>
      <c r="Q677" s="4" t="str">
        <f t="shared" si="147"/>
        <v>Laki-Laki</v>
      </c>
      <c r="R677" s="4">
        <f t="shared" si="138"/>
        <v>1</v>
      </c>
      <c r="S677" s="4" t="str">
        <f t="shared" si="155"/>
        <v>1</v>
      </c>
      <c r="T677" s="4">
        <f t="shared" si="143"/>
        <v>0</v>
      </c>
      <c r="U677" s="29"/>
      <c r="V677" s="30" t="s">
        <v>50</v>
      </c>
      <c r="W677" s="30"/>
      <c r="X677" s="30"/>
      <c r="Y677" s="30"/>
      <c r="Z677" s="30"/>
      <c r="AA677" s="30"/>
      <c r="AB677" s="29"/>
      <c r="AC677" s="29"/>
      <c r="AD677" s="37">
        <f t="shared" si="149"/>
        <v>25220</v>
      </c>
      <c r="AE677" s="3" t="str">
        <f t="shared" ca="1" si="148"/>
        <v>57 Tahun 7 bulan 15 Hari</v>
      </c>
      <c r="AF677" s="38">
        <f t="shared" si="150"/>
        <v>47150</v>
      </c>
    </row>
    <row r="678" spans="1:32" s="7" customFormat="1" ht="39.75" customHeight="1" x14ac:dyDescent="0.35">
      <c r="A678" s="26">
        <f t="shared" si="142"/>
        <v>635</v>
      </c>
      <c r="B678" s="27" t="s">
        <v>1912</v>
      </c>
      <c r="C678" s="26"/>
      <c r="D678" s="111" t="s">
        <v>1920</v>
      </c>
      <c r="E678" s="71" t="s">
        <v>1921</v>
      </c>
      <c r="F678" s="24" t="s">
        <v>43</v>
      </c>
      <c r="G678" s="70" t="s">
        <v>1922</v>
      </c>
      <c r="H678" s="56" t="s">
        <v>1923</v>
      </c>
      <c r="I678" s="56" t="s">
        <v>1924</v>
      </c>
      <c r="J678" s="72" t="s">
        <v>338</v>
      </c>
      <c r="K678" s="3" t="str">
        <f t="shared" ca="1" si="146"/>
        <v xml:space="preserve">2 Tahun 11 bulan </v>
      </c>
      <c r="L678" s="36" t="s">
        <v>1749</v>
      </c>
      <c r="M678" s="72" t="s">
        <v>338</v>
      </c>
      <c r="N678" s="3" t="str">
        <f t="shared" ca="1" si="139"/>
        <v xml:space="preserve">2 Tahun 11 bulan </v>
      </c>
      <c r="O678" s="36"/>
      <c r="P678" s="4" t="s">
        <v>35</v>
      </c>
      <c r="Q678" s="4" t="str">
        <f t="shared" si="147"/>
        <v/>
      </c>
      <c r="R678" s="4">
        <f t="shared" si="138"/>
        <v>1</v>
      </c>
      <c r="S678" s="4" t="str">
        <f t="shared" si="155"/>
        <v>1</v>
      </c>
      <c r="T678" s="4">
        <f t="shared" si="143"/>
        <v>0</v>
      </c>
      <c r="U678" s="29"/>
      <c r="V678" s="30" t="s">
        <v>50</v>
      </c>
      <c r="W678" s="30"/>
      <c r="X678" s="30"/>
      <c r="Y678" s="30"/>
      <c r="Z678" s="30"/>
      <c r="AA678" s="30"/>
      <c r="AB678" s="29"/>
      <c r="AC678" s="29"/>
      <c r="AD678" s="37">
        <f t="shared" si="149"/>
        <v>26070</v>
      </c>
      <c r="AE678" s="3" t="str">
        <f t="shared" ca="1" si="148"/>
        <v>55 Tahun 3 bulan 15 Hari</v>
      </c>
      <c r="AF678" s="38">
        <f t="shared" si="150"/>
        <v>48000</v>
      </c>
    </row>
    <row r="679" spans="1:32" s="7" customFormat="1" ht="32.15" customHeight="1" x14ac:dyDescent="0.35">
      <c r="A679" s="26">
        <f t="shared" si="142"/>
        <v>636</v>
      </c>
      <c r="B679" s="27" t="s">
        <v>1912</v>
      </c>
      <c r="C679" s="26"/>
      <c r="D679" s="111" t="s">
        <v>1925</v>
      </c>
      <c r="E679" s="45" t="s">
        <v>1926</v>
      </c>
      <c r="F679" s="24" t="s">
        <v>43</v>
      </c>
      <c r="G679" s="44" t="s">
        <v>1927</v>
      </c>
      <c r="H679" s="4" t="s">
        <v>1761</v>
      </c>
      <c r="I679" s="36" t="s">
        <v>86</v>
      </c>
      <c r="J679" s="44" t="s">
        <v>1928</v>
      </c>
      <c r="K679" s="3" t="str">
        <f t="shared" ca="1" si="146"/>
        <v xml:space="preserve">5 Tahun 4 bulan </v>
      </c>
      <c r="L679" s="36" t="s">
        <v>1749</v>
      </c>
      <c r="M679" s="44" t="s">
        <v>1928</v>
      </c>
      <c r="N679" s="3" t="str">
        <f t="shared" ca="1" si="139"/>
        <v xml:space="preserve">5 Tahun 4 bulan </v>
      </c>
      <c r="O679" s="25"/>
      <c r="P679" s="4" t="s">
        <v>35</v>
      </c>
      <c r="Q679" s="4" t="str">
        <f t="shared" si="147"/>
        <v>Laki-Laki</v>
      </c>
      <c r="R679" s="4">
        <f t="shared" si="138"/>
        <v>1</v>
      </c>
      <c r="S679" s="4" t="str">
        <f t="shared" si="155"/>
        <v>1</v>
      </c>
      <c r="T679" s="4">
        <f t="shared" si="143"/>
        <v>0</v>
      </c>
      <c r="U679" s="29"/>
      <c r="V679" s="30" t="s">
        <v>50</v>
      </c>
      <c r="W679" s="30"/>
      <c r="X679" s="30"/>
      <c r="Y679" s="30"/>
      <c r="Z679" s="30"/>
      <c r="AA679" s="30"/>
      <c r="AB679" s="29"/>
      <c r="AC679" s="29"/>
      <c r="AD679" s="37">
        <f t="shared" si="149"/>
        <v>28029</v>
      </c>
      <c r="AE679" s="3" t="str">
        <f t="shared" ca="1" si="148"/>
        <v>49 Tahun 11 bulan 6 Hari</v>
      </c>
      <c r="AF679" s="38">
        <f t="shared" si="150"/>
        <v>49949</v>
      </c>
    </row>
    <row r="680" spans="1:32" s="7" customFormat="1" ht="32.15" customHeight="1" x14ac:dyDescent="0.35">
      <c r="A680" s="26">
        <f t="shared" si="142"/>
        <v>637</v>
      </c>
      <c r="B680" s="27" t="s">
        <v>1912</v>
      </c>
      <c r="C680" s="26"/>
      <c r="D680" s="60" t="s">
        <v>1929</v>
      </c>
      <c r="E680" s="45" t="s">
        <v>1930</v>
      </c>
      <c r="F680" s="24" t="s">
        <v>43</v>
      </c>
      <c r="G680" s="44" t="s">
        <v>1931</v>
      </c>
      <c r="H680" s="4" t="s">
        <v>159</v>
      </c>
      <c r="I680" s="36" t="s">
        <v>107</v>
      </c>
      <c r="J680" s="47" t="s">
        <v>354</v>
      </c>
      <c r="K680" s="3" t="str">
        <f t="shared" ca="1" si="146"/>
        <v xml:space="preserve">6 Tahun 9 bulan </v>
      </c>
      <c r="L680" s="36" t="s">
        <v>200</v>
      </c>
      <c r="M680" s="47" t="s">
        <v>354</v>
      </c>
      <c r="N680" s="3" t="str">
        <f t="shared" ca="1" si="139"/>
        <v xml:space="preserve">6 Tahun 9 bulan </v>
      </c>
      <c r="O680" s="36"/>
      <c r="P680" s="4" t="s">
        <v>35</v>
      </c>
      <c r="Q680" s="4" t="str">
        <f t="shared" si="147"/>
        <v>Perempuan</v>
      </c>
      <c r="R680" s="4">
        <f t="shared" si="138"/>
        <v>1</v>
      </c>
      <c r="S680" s="4" t="str">
        <f t="shared" si="155"/>
        <v>1</v>
      </c>
      <c r="T680" s="4">
        <f t="shared" si="143"/>
        <v>0</v>
      </c>
      <c r="U680" s="29"/>
      <c r="V680" s="30"/>
      <c r="W680" s="30"/>
      <c r="X680" s="30"/>
      <c r="Y680" s="30"/>
      <c r="Z680" s="30"/>
      <c r="AA680" s="30"/>
      <c r="AB680" s="29"/>
      <c r="AC680" s="29"/>
      <c r="AD680" s="37">
        <f t="shared" si="149"/>
        <v>28343</v>
      </c>
      <c r="AE680" s="3" t="str">
        <f t="shared" ca="1" si="148"/>
        <v>49 Tahun 0 bulan 26 Hari</v>
      </c>
      <c r="AF680" s="38">
        <f t="shared" si="150"/>
        <v>50284</v>
      </c>
    </row>
    <row r="681" spans="1:32" s="7" customFormat="1" ht="32.15" customHeight="1" x14ac:dyDescent="0.35">
      <c r="A681" s="26">
        <f t="shared" si="142"/>
        <v>638</v>
      </c>
      <c r="B681" s="27" t="s">
        <v>1912</v>
      </c>
      <c r="C681" s="26"/>
      <c r="D681" s="60" t="s">
        <v>1932</v>
      </c>
      <c r="E681" s="45" t="s">
        <v>1933</v>
      </c>
      <c r="F681" s="24" t="s">
        <v>43</v>
      </c>
      <c r="G681" s="44" t="s">
        <v>1934</v>
      </c>
      <c r="H681" s="4" t="s">
        <v>1761</v>
      </c>
      <c r="I681" s="36" t="s">
        <v>184</v>
      </c>
      <c r="J681" s="44" t="s">
        <v>338</v>
      </c>
      <c r="K681" s="3" t="str">
        <f t="shared" ca="1" si="146"/>
        <v xml:space="preserve">2 Tahun 11 bulan </v>
      </c>
      <c r="L681" s="36" t="s">
        <v>200</v>
      </c>
      <c r="M681" s="44" t="s">
        <v>338</v>
      </c>
      <c r="N681" s="3" t="str">
        <f t="shared" ca="1" si="139"/>
        <v xml:space="preserve">2 Tahun 11 bulan </v>
      </c>
      <c r="O681" s="36"/>
      <c r="P681" s="4" t="s">
        <v>35</v>
      </c>
      <c r="Q681" s="4" t="str">
        <f t="shared" si="147"/>
        <v>Laki-Laki</v>
      </c>
      <c r="R681" s="4">
        <v>1</v>
      </c>
      <c r="S681" s="4" t="str">
        <f t="shared" si="155"/>
        <v>1</v>
      </c>
      <c r="T681" s="4">
        <f t="shared" si="143"/>
        <v>0</v>
      </c>
      <c r="U681" s="29"/>
      <c r="V681" s="30" t="s">
        <v>50</v>
      </c>
      <c r="W681" s="30"/>
      <c r="X681" s="30"/>
      <c r="Y681" s="30"/>
      <c r="Z681" s="30"/>
      <c r="AA681" s="30"/>
      <c r="AB681" s="29"/>
      <c r="AC681" s="29"/>
      <c r="AD681" s="37">
        <f t="shared" si="149"/>
        <v>26584</v>
      </c>
      <c r="AE681" s="3" t="str">
        <f t="shared" ca="1" si="148"/>
        <v>53 Tahun 10 bulan 20 Hari</v>
      </c>
      <c r="AF681" s="38">
        <f t="shared" si="150"/>
        <v>48519</v>
      </c>
    </row>
    <row r="682" spans="1:32" s="7" customFormat="1" ht="32.15" customHeight="1" x14ac:dyDescent="0.35">
      <c r="A682" s="26">
        <f t="shared" si="142"/>
        <v>639</v>
      </c>
      <c r="B682" s="27" t="s">
        <v>1912</v>
      </c>
      <c r="C682" s="26"/>
      <c r="D682" s="60" t="s">
        <v>1935</v>
      </c>
      <c r="E682" s="39" t="s">
        <v>3080</v>
      </c>
      <c r="F682" s="24" t="s">
        <v>43</v>
      </c>
      <c r="G682" s="25" t="s">
        <v>3081</v>
      </c>
      <c r="H682" s="4" t="s">
        <v>3082</v>
      </c>
      <c r="I682" s="4" t="s">
        <v>184</v>
      </c>
      <c r="J682" s="53">
        <v>46260</v>
      </c>
      <c r="K682" s="3" t="str">
        <f t="shared" ca="1" si="146"/>
        <v xml:space="preserve">0 Tahun 0 bulan </v>
      </c>
      <c r="L682" s="36" t="s">
        <v>200</v>
      </c>
      <c r="M682" s="47"/>
      <c r="N682" s="3" t="str">
        <f t="shared" ca="1" si="139"/>
        <v/>
      </c>
      <c r="O682" s="36"/>
      <c r="P682" s="4" t="s">
        <v>35</v>
      </c>
      <c r="Q682" s="4" t="str">
        <f t="shared" si="147"/>
        <v>Laki-Laki</v>
      </c>
      <c r="R682" s="4">
        <v>1</v>
      </c>
      <c r="S682" s="4" t="str">
        <f t="shared" si="155"/>
        <v>1</v>
      </c>
      <c r="T682" s="4">
        <f t="shared" si="143"/>
        <v>0</v>
      </c>
      <c r="U682" s="29"/>
      <c r="V682" s="30" t="s">
        <v>50</v>
      </c>
      <c r="W682" s="30"/>
      <c r="X682" s="30"/>
      <c r="Y682" s="30"/>
      <c r="Z682" s="30"/>
      <c r="AA682" s="30"/>
      <c r="AB682" s="29"/>
      <c r="AC682" s="29"/>
      <c r="AD682" s="37">
        <f t="shared" si="149"/>
        <v>27515</v>
      </c>
      <c r="AE682" s="3" t="str">
        <f t="shared" ca="1" si="148"/>
        <v>51 Tahun 4 bulan 0 Hari</v>
      </c>
      <c r="AF682" s="38">
        <f t="shared" si="150"/>
        <v>49461</v>
      </c>
    </row>
    <row r="683" spans="1:32" s="7" customFormat="1" ht="32.15" customHeight="1" x14ac:dyDescent="0.35">
      <c r="A683" s="26">
        <f t="shared" si="142"/>
        <v>640</v>
      </c>
      <c r="B683" s="27" t="s">
        <v>1912</v>
      </c>
      <c r="C683" s="26"/>
      <c r="D683" s="60" t="s">
        <v>1937</v>
      </c>
      <c r="E683" s="45" t="s">
        <v>1938</v>
      </c>
      <c r="F683" s="24" t="s">
        <v>43</v>
      </c>
      <c r="G683" s="44" t="s">
        <v>1939</v>
      </c>
      <c r="H683" s="4" t="s">
        <v>106</v>
      </c>
      <c r="I683" s="36" t="s">
        <v>86</v>
      </c>
      <c r="J683" s="47" t="s">
        <v>354</v>
      </c>
      <c r="K683" s="3" t="str">
        <f t="shared" ca="1" si="146"/>
        <v xml:space="preserve">6 Tahun 9 bulan </v>
      </c>
      <c r="L683" s="36" t="s">
        <v>200</v>
      </c>
      <c r="M683" s="47" t="s">
        <v>354</v>
      </c>
      <c r="N683" s="3" t="str">
        <f t="shared" ca="1" si="139"/>
        <v xml:space="preserve">6 Tahun 9 bulan </v>
      </c>
      <c r="O683" s="36"/>
      <c r="P683" s="4" t="s">
        <v>35</v>
      </c>
      <c r="Q683" s="4" t="str">
        <f t="shared" si="147"/>
        <v>Laki-Laki</v>
      </c>
      <c r="R683" s="4">
        <v>1</v>
      </c>
      <c r="S683" s="4" t="str">
        <f t="shared" si="155"/>
        <v>1</v>
      </c>
      <c r="T683" s="4">
        <f t="shared" si="143"/>
        <v>0</v>
      </c>
      <c r="U683" s="29"/>
      <c r="V683" s="30" t="s">
        <v>50</v>
      </c>
      <c r="W683" s="30"/>
      <c r="X683" s="30"/>
      <c r="Y683" s="30"/>
      <c r="Z683" s="30"/>
      <c r="AA683" s="30"/>
      <c r="AB683" s="29"/>
      <c r="AC683" s="29"/>
      <c r="AD683" s="37">
        <f t="shared" si="149"/>
        <v>26299</v>
      </c>
      <c r="AE683" s="3" t="str">
        <f t="shared" ca="1" si="148"/>
        <v>54 Tahun 8 bulan 0 Hari</v>
      </c>
      <c r="AF683" s="38">
        <f t="shared" si="150"/>
        <v>48245</v>
      </c>
    </row>
    <row r="684" spans="1:32" s="7" customFormat="1" ht="32.15" customHeight="1" x14ac:dyDescent="0.35">
      <c r="A684" s="26">
        <f t="shared" si="142"/>
        <v>641</v>
      </c>
      <c r="B684" s="27" t="s">
        <v>1912</v>
      </c>
      <c r="C684" s="26"/>
      <c r="D684" s="60" t="s">
        <v>1940</v>
      </c>
      <c r="E684" s="24" t="s">
        <v>1941</v>
      </c>
      <c r="F684" s="24" t="s">
        <v>43</v>
      </c>
      <c r="G684" s="4" t="s">
        <v>1942</v>
      </c>
      <c r="H684" s="4" t="s">
        <v>85</v>
      </c>
      <c r="I684" s="36" t="s">
        <v>107</v>
      </c>
      <c r="J684" s="47" t="s">
        <v>386</v>
      </c>
      <c r="K684" s="3" t="str">
        <f t="shared" ca="1" si="146"/>
        <v xml:space="preserve">5 Tahun 5 bulan </v>
      </c>
      <c r="L684" s="36" t="s">
        <v>200</v>
      </c>
      <c r="M684" s="47" t="s">
        <v>386</v>
      </c>
      <c r="N684" s="3" t="str">
        <f t="shared" ca="1" si="139"/>
        <v xml:space="preserve">5 Tahun 5 bulan </v>
      </c>
      <c r="O684" s="36"/>
      <c r="P684" s="4" t="s">
        <v>35</v>
      </c>
      <c r="Q684" s="4" t="str">
        <f t="shared" si="147"/>
        <v>Perempuan</v>
      </c>
      <c r="R684" s="4">
        <v>1</v>
      </c>
      <c r="S684" s="4" t="str">
        <f t="shared" si="155"/>
        <v>1</v>
      </c>
      <c r="T684" s="4">
        <f t="shared" si="143"/>
        <v>0</v>
      </c>
      <c r="U684" s="29"/>
      <c r="V684" s="30"/>
      <c r="W684" s="30"/>
      <c r="X684" s="30"/>
      <c r="Y684" s="30"/>
      <c r="Z684" s="30"/>
      <c r="AA684" s="30"/>
      <c r="AB684" s="29"/>
      <c r="AC684" s="29"/>
      <c r="AD684" s="37">
        <f t="shared" si="149"/>
        <v>29289</v>
      </c>
      <c r="AE684" s="3" t="str">
        <f t="shared" ca="1" si="148"/>
        <v>46 Tahun 5 bulan 23 Hari</v>
      </c>
      <c r="AF684" s="38">
        <f t="shared" si="150"/>
        <v>51227</v>
      </c>
    </row>
    <row r="685" spans="1:32" s="7" customFormat="1" ht="25.5" customHeight="1" x14ac:dyDescent="0.35">
      <c r="A685" s="26"/>
      <c r="B685" s="27" t="s">
        <v>1943</v>
      </c>
      <c r="C685" s="280" t="s">
        <v>1944</v>
      </c>
      <c r="D685" s="281"/>
      <c r="E685" s="271" t="str">
        <f ca="1">IF(J685="","",CONCATENATE(DATEDIF(J685,NOW(),"Y")," Tahun ",DATEDIF(J685,NOW(),"YM")," bulan "))</f>
        <v/>
      </c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  <c r="AB685" s="272"/>
      <c r="AC685" s="272"/>
      <c r="AD685" s="272"/>
      <c r="AE685" s="272"/>
      <c r="AF685" s="273"/>
    </row>
    <row r="686" spans="1:32" s="7" customFormat="1" ht="32.15" customHeight="1" x14ac:dyDescent="0.35">
      <c r="A686" s="26">
        <f>A684+1</f>
        <v>642</v>
      </c>
      <c r="B686" s="27" t="s">
        <v>1943</v>
      </c>
      <c r="C686" s="282" t="s">
        <v>1945</v>
      </c>
      <c r="D686" s="283"/>
      <c r="E686" s="42" t="s">
        <v>3039</v>
      </c>
      <c r="F686" s="24" t="s">
        <v>43</v>
      </c>
      <c r="G686" s="43" t="s">
        <v>3040</v>
      </c>
      <c r="H686" s="4" t="s">
        <v>379</v>
      </c>
      <c r="I686" s="33" t="s">
        <v>86</v>
      </c>
      <c r="J686" s="53">
        <v>46260</v>
      </c>
      <c r="K686" s="3" t="str">
        <f t="shared" ca="1" si="146"/>
        <v xml:space="preserve">0 Tahun 0 bulan </v>
      </c>
      <c r="L686" s="30" t="s">
        <v>79</v>
      </c>
      <c r="M686" s="47" t="s">
        <v>1453</v>
      </c>
      <c r="N686" s="3" t="str">
        <f t="shared" ca="1" si="139"/>
        <v xml:space="preserve">3 Tahun 8 bulan </v>
      </c>
      <c r="O686" s="56"/>
      <c r="P686" s="4" t="s">
        <v>35</v>
      </c>
      <c r="Q686" s="4" t="str">
        <f t="shared" si="147"/>
        <v>Laki-Laki</v>
      </c>
      <c r="R686" s="4">
        <f>R684</f>
        <v>1</v>
      </c>
      <c r="S686" s="4" t="str">
        <f t="shared" ref="S686:S694" si="157">IF(E686="LOWONG","0","1")</f>
        <v>1</v>
      </c>
      <c r="T686" s="4">
        <f t="shared" si="143"/>
        <v>0</v>
      </c>
      <c r="U686" s="29"/>
      <c r="V686" s="30" t="s">
        <v>50</v>
      </c>
      <c r="W686" s="30"/>
      <c r="X686" s="30"/>
      <c r="Y686" s="30"/>
      <c r="Z686" s="30"/>
      <c r="AA686" s="30"/>
      <c r="AB686" s="29"/>
      <c r="AC686" s="29"/>
      <c r="AD686" s="37">
        <f t="shared" si="149"/>
        <v>30135</v>
      </c>
      <c r="AE686" s="3" t="str">
        <f t="shared" ca="1" si="148"/>
        <v>44 Tahun 1 bulan 29 Hari</v>
      </c>
      <c r="AF686" s="38">
        <f t="shared" si="150"/>
        <v>52079</v>
      </c>
    </row>
    <row r="687" spans="1:32" s="7" customFormat="1" ht="32.15" customHeight="1" x14ac:dyDescent="0.35">
      <c r="A687" s="26">
        <f t="shared" si="142"/>
        <v>643</v>
      </c>
      <c r="B687" s="27" t="s">
        <v>1943</v>
      </c>
      <c r="C687" s="282" t="s">
        <v>1946</v>
      </c>
      <c r="D687" s="283"/>
      <c r="E687" s="45" t="s">
        <v>1947</v>
      </c>
      <c r="F687" s="24" t="s">
        <v>43</v>
      </c>
      <c r="G687" s="36" t="s">
        <v>1948</v>
      </c>
      <c r="H687" s="44" t="s">
        <v>1949</v>
      </c>
      <c r="I687" s="33" t="s">
        <v>184</v>
      </c>
      <c r="J687" s="47" t="s">
        <v>176</v>
      </c>
      <c r="K687" s="3" t="str">
        <f t="shared" ca="1" si="146"/>
        <v xml:space="preserve">1 Tahun 4 bulan </v>
      </c>
      <c r="L687" s="36" t="s">
        <v>346</v>
      </c>
      <c r="M687" s="47" t="s">
        <v>1950</v>
      </c>
      <c r="N687" s="3" t="str">
        <f t="shared" ref="N687:N750" ca="1" si="158">IF(M687="","",CONCATENATE(DATEDIF(M687,NOW(),"Y")," Tahun ",DATEDIF(M687,NOW(),"YM")," bulan "))</f>
        <v xml:space="preserve">3 Tahun 0 bulan </v>
      </c>
      <c r="O687" s="36"/>
      <c r="P687" s="4"/>
      <c r="Q687" s="4" t="str">
        <f t="shared" si="147"/>
        <v>Laki-Laki</v>
      </c>
      <c r="R687" s="4">
        <f t="shared" ref="R687:R750" si="159">R686</f>
        <v>1</v>
      </c>
      <c r="S687" s="4" t="str">
        <f t="shared" si="157"/>
        <v>1</v>
      </c>
      <c r="T687" s="4">
        <f t="shared" si="143"/>
        <v>0</v>
      </c>
      <c r="U687" s="29"/>
      <c r="V687" s="30"/>
      <c r="W687" s="30"/>
      <c r="X687" s="30"/>
      <c r="Y687" s="30"/>
      <c r="Z687" s="30"/>
      <c r="AA687" s="30"/>
      <c r="AB687" s="29"/>
      <c r="AC687" s="29"/>
      <c r="AD687" s="37">
        <f t="shared" si="149"/>
        <v>30083</v>
      </c>
      <c r="AE687" s="3" t="str">
        <f t="shared" ca="1" si="148"/>
        <v>44 Tahun 3 bulan 20 Hari</v>
      </c>
      <c r="AF687" s="38">
        <f t="shared" si="150"/>
        <v>52018</v>
      </c>
    </row>
    <row r="688" spans="1:32" s="7" customFormat="1" ht="32.15" customHeight="1" x14ac:dyDescent="0.35">
      <c r="A688" s="26">
        <f t="shared" si="142"/>
        <v>644</v>
      </c>
      <c r="B688" s="27" t="s">
        <v>1943</v>
      </c>
      <c r="C688" s="26"/>
      <c r="D688" s="111" t="s">
        <v>1951</v>
      </c>
      <c r="E688" s="39" t="s">
        <v>1952</v>
      </c>
      <c r="F688" s="24" t="s">
        <v>43</v>
      </c>
      <c r="G688" s="40" t="s">
        <v>1953</v>
      </c>
      <c r="H688" s="4" t="s">
        <v>1954</v>
      </c>
      <c r="I688" s="36" t="s">
        <v>267</v>
      </c>
      <c r="J688" s="47" t="s">
        <v>338</v>
      </c>
      <c r="K688" s="3" t="str">
        <f t="shared" ca="1" si="146"/>
        <v xml:space="preserve">2 Tahun 11 bulan </v>
      </c>
      <c r="L688" s="36" t="s">
        <v>1749</v>
      </c>
      <c r="M688" s="47" t="s">
        <v>338</v>
      </c>
      <c r="N688" s="3" t="str">
        <f t="shared" ca="1" si="158"/>
        <v xml:space="preserve">2 Tahun 11 bulan </v>
      </c>
      <c r="O688" s="36"/>
      <c r="P688" s="4" t="s">
        <v>35</v>
      </c>
      <c r="Q688" s="4" t="str">
        <f t="shared" si="147"/>
        <v>Laki-Laki</v>
      </c>
      <c r="R688" s="4">
        <f t="shared" si="159"/>
        <v>1</v>
      </c>
      <c r="S688" s="4" t="str">
        <f t="shared" si="157"/>
        <v>1</v>
      </c>
      <c r="T688" s="4">
        <f t="shared" si="143"/>
        <v>0</v>
      </c>
      <c r="U688" s="29"/>
      <c r="V688" s="30" t="s">
        <v>50</v>
      </c>
      <c r="W688" s="30"/>
      <c r="X688" s="30"/>
      <c r="Y688" s="30"/>
      <c r="Z688" s="30"/>
      <c r="AA688" s="30"/>
      <c r="AB688" s="29"/>
      <c r="AC688" s="29"/>
      <c r="AD688" s="37">
        <f t="shared" si="149"/>
        <v>30815</v>
      </c>
      <c r="AE688" s="3" t="str">
        <f t="shared" ca="1" si="148"/>
        <v>42 Tahun 3 bulan 19 Hari</v>
      </c>
      <c r="AF688" s="38">
        <f t="shared" si="150"/>
        <v>52749</v>
      </c>
    </row>
    <row r="689" spans="1:32" s="7" customFormat="1" ht="32.15" customHeight="1" x14ac:dyDescent="0.35">
      <c r="A689" s="26">
        <f t="shared" si="142"/>
        <v>645</v>
      </c>
      <c r="B689" s="27" t="s">
        <v>1943</v>
      </c>
      <c r="C689" s="26"/>
      <c r="D689" s="111" t="s">
        <v>1955</v>
      </c>
      <c r="E689" s="39" t="s">
        <v>1952</v>
      </c>
      <c r="F689" s="24" t="s">
        <v>71</v>
      </c>
      <c r="G689" s="40" t="s">
        <v>1953</v>
      </c>
      <c r="H689" s="4" t="s">
        <v>1954</v>
      </c>
      <c r="I689" s="36" t="s">
        <v>267</v>
      </c>
      <c r="J689" s="115">
        <v>46188</v>
      </c>
      <c r="K689" s="3" t="str">
        <f t="shared" ca="1" si="146"/>
        <v xml:space="preserve">0 Tahun 2 bulan </v>
      </c>
      <c r="L689" s="36" t="s">
        <v>1749</v>
      </c>
      <c r="M689" s="115">
        <v>46188</v>
      </c>
      <c r="N689" s="3" t="str">
        <f t="shared" ca="1" si="158"/>
        <v xml:space="preserve">0 Tahun 2 bulan </v>
      </c>
      <c r="O689" s="36"/>
      <c r="P689" s="4" t="s">
        <v>35</v>
      </c>
      <c r="Q689" s="4" t="str">
        <f t="shared" si="147"/>
        <v>Laki-Laki</v>
      </c>
      <c r="R689" s="4">
        <f t="shared" si="159"/>
        <v>1</v>
      </c>
      <c r="S689" s="4" t="str">
        <f t="shared" si="157"/>
        <v>1</v>
      </c>
      <c r="T689" s="4">
        <f t="shared" si="143"/>
        <v>0</v>
      </c>
      <c r="U689" s="29"/>
      <c r="V689" s="30" t="s">
        <v>50</v>
      </c>
      <c r="W689" s="30"/>
      <c r="X689" s="30"/>
      <c r="Y689" s="30"/>
      <c r="Z689" s="30"/>
      <c r="AA689" s="30"/>
      <c r="AB689" s="29"/>
      <c r="AC689" s="29"/>
      <c r="AD689" s="37">
        <f t="shared" si="149"/>
        <v>30815</v>
      </c>
      <c r="AE689" s="3" t="str">
        <f t="shared" ca="1" si="148"/>
        <v>42 Tahun 3 bulan 19 Hari</v>
      </c>
      <c r="AF689" s="38">
        <f t="shared" si="150"/>
        <v>52749</v>
      </c>
    </row>
    <row r="690" spans="1:32" s="7" customFormat="1" ht="32.15" customHeight="1" x14ac:dyDescent="0.35">
      <c r="A690" s="26">
        <f t="shared" si="142"/>
        <v>646</v>
      </c>
      <c r="B690" s="27" t="s">
        <v>1943</v>
      </c>
      <c r="C690" s="26"/>
      <c r="D690" s="60" t="s">
        <v>1957</v>
      </c>
      <c r="E690" s="24" t="s">
        <v>1958</v>
      </c>
      <c r="F690" s="24" t="s">
        <v>43</v>
      </c>
      <c r="G690" s="4" t="s">
        <v>1959</v>
      </c>
      <c r="H690" s="4" t="s">
        <v>1960</v>
      </c>
      <c r="I690" s="44" t="s">
        <v>1961</v>
      </c>
      <c r="J690" s="65" t="s">
        <v>1748</v>
      </c>
      <c r="K690" s="3" t="str">
        <f t="shared" ca="1" si="146"/>
        <v xml:space="preserve">9 Tahun 7 bulan </v>
      </c>
      <c r="L690" s="36" t="s">
        <v>200</v>
      </c>
      <c r="M690" s="65" t="s">
        <v>1748</v>
      </c>
      <c r="N690" s="3" t="str">
        <f t="shared" ca="1" si="158"/>
        <v xml:space="preserve">9 Tahun 7 bulan </v>
      </c>
      <c r="O690" s="36"/>
      <c r="P690" s="4" t="s">
        <v>35</v>
      </c>
      <c r="Q690" s="4" t="str">
        <f t="shared" si="147"/>
        <v>Laki-Laki</v>
      </c>
      <c r="R690" s="4">
        <v>1</v>
      </c>
      <c r="S690" s="4" t="str">
        <f t="shared" si="157"/>
        <v>1</v>
      </c>
      <c r="T690" s="4">
        <f t="shared" si="143"/>
        <v>0</v>
      </c>
      <c r="U690" s="29"/>
      <c r="V690" s="30" t="s">
        <v>50</v>
      </c>
      <c r="W690" s="30"/>
      <c r="X690" s="30"/>
      <c r="Y690" s="30"/>
      <c r="Z690" s="30"/>
      <c r="AA690" s="30"/>
      <c r="AB690" s="29"/>
      <c r="AC690" s="29"/>
      <c r="AD690" s="37">
        <f t="shared" si="149"/>
        <v>28396</v>
      </c>
      <c r="AE690" s="3" t="str">
        <f t="shared" ca="1" si="148"/>
        <v>48 Tahun 11 bulan 4 Hari</v>
      </c>
      <c r="AF690" s="38">
        <f t="shared" si="150"/>
        <v>50314</v>
      </c>
    </row>
    <row r="691" spans="1:32" s="7" customFormat="1" ht="32.15" customHeight="1" x14ac:dyDescent="0.35">
      <c r="A691" s="26">
        <f t="shared" si="142"/>
        <v>647</v>
      </c>
      <c r="B691" s="27" t="s">
        <v>1943</v>
      </c>
      <c r="C691" s="26"/>
      <c r="D691" s="60" t="s">
        <v>1962</v>
      </c>
      <c r="E691" s="24" t="s">
        <v>1963</v>
      </c>
      <c r="F691" s="24" t="s">
        <v>43</v>
      </c>
      <c r="G691" s="3" t="s">
        <v>1964</v>
      </c>
      <c r="H691" s="4" t="s">
        <v>85</v>
      </c>
      <c r="I691" s="4" t="s">
        <v>86</v>
      </c>
      <c r="J691" s="3" t="s">
        <v>565</v>
      </c>
      <c r="K691" s="3" t="str">
        <f t="shared" ca="1" si="146"/>
        <v xml:space="preserve">5 Tahun 9 bulan </v>
      </c>
      <c r="L691" s="36" t="s">
        <v>200</v>
      </c>
      <c r="M691" s="3" t="s">
        <v>565</v>
      </c>
      <c r="N691" s="3" t="str">
        <f t="shared" ca="1" si="158"/>
        <v xml:space="preserve">5 Tahun 9 bulan </v>
      </c>
      <c r="O691" s="4"/>
      <c r="P691" s="4" t="s">
        <v>35</v>
      </c>
      <c r="Q691" s="4" t="str">
        <f t="shared" si="147"/>
        <v>Laki-Laki</v>
      </c>
      <c r="R691" s="4">
        <v>1</v>
      </c>
      <c r="S691" s="4" t="str">
        <f t="shared" si="157"/>
        <v>1</v>
      </c>
      <c r="T691" s="4">
        <f t="shared" si="143"/>
        <v>0</v>
      </c>
      <c r="U691" s="29"/>
      <c r="V691" s="30" t="s">
        <v>50</v>
      </c>
      <c r="W691" s="30"/>
      <c r="X691" s="30"/>
      <c r="Y691" s="30"/>
      <c r="Z691" s="30"/>
      <c r="AA691" s="30"/>
      <c r="AB691" s="29"/>
      <c r="AC691" s="29"/>
      <c r="AD691" s="37">
        <f t="shared" si="149"/>
        <v>27500</v>
      </c>
      <c r="AE691" s="3" t="str">
        <f t="shared" ca="1" si="148"/>
        <v>51 Tahun 4 bulan 16 Hari</v>
      </c>
      <c r="AF691" s="38">
        <f t="shared" si="150"/>
        <v>49430</v>
      </c>
    </row>
    <row r="692" spans="1:32" s="7" customFormat="1" ht="32.15" customHeight="1" x14ac:dyDescent="0.35">
      <c r="A692" s="26">
        <f t="shared" si="142"/>
        <v>648</v>
      </c>
      <c r="B692" s="27" t="s">
        <v>1943</v>
      </c>
      <c r="C692" s="26"/>
      <c r="D692" s="60" t="s">
        <v>1965</v>
      </c>
      <c r="E692" s="45" t="s">
        <v>1966</v>
      </c>
      <c r="F692" s="24" t="s">
        <v>43</v>
      </c>
      <c r="G692" s="44" t="s">
        <v>1967</v>
      </c>
      <c r="H692" s="4" t="s">
        <v>241</v>
      </c>
      <c r="I692" s="4" t="s">
        <v>86</v>
      </c>
      <c r="J692" s="3" t="s">
        <v>386</v>
      </c>
      <c r="K692" s="3" t="str">
        <f t="shared" ca="1" si="146"/>
        <v xml:space="preserve">5 Tahun 5 bulan </v>
      </c>
      <c r="L692" s="36" t="s">
        <v>200</v>
      </c>
      <c r="M692" s="3" t="s">
        <v>386</v>
      </c>
      <c r="N692" s="3" t="str">
        <f t="shared" ca="1" si="158"/>
        <v xml:space="preserve">5 Tahun 5 bulan </v>
      </c>
      <c r="O692" s="36"/>
      <c r="P692" s="4" t="s">
        <v>35</v>
      </c>
      <c r="Q692" s="4" t="str">
        <f t="shared" si="147"/>
        <v>Laki-Laki</v>
      </c>
      <c r="R692" s="4">
        <v>1</v>
      </c>
      <c r="S692" s="4" t="str">
        <f t="shared" si="157"/>
        <v>1</v>
      </c>
      <c r="T692" s="4">
        <f t="shared" si="143"/>
        <v>0</v>
      </c>
      <c r="U692" s="29"/>
      <c r="V692" s="30" t="s">
        <v>50</v>
      </c>
      <c r="W692" s="30"/>
      <c r="X692" s="30"/>
      <c r="Y692" s="30"/>
      <c r="Z692" s="30"/>
      <c r="AA692" s="30"/>
      <c r="AB692" s="29"/>
      <c r="AC692" s="29"/>
      <c r="AD692" s="37">
        <f t="shared" si="149"/>
        <v>27498</v>
      </c>
      <c r="AE692" s="3" t="str">
        <f t="shared" ca="1" si="148"/>
        <v>51 Tahun 4 bulan 18 Hari</v>
      </c>
      <c r="AF692" s="38">
        <f t="shared" si="150"/>
        <v>49430</v>
      </c>
    </row>
    <row r="693" spans="1:32" s="7" customFormat="1" ht="32.15" customHeight="1" x14ac:dyDescent="0.35">
      <c r="A693" s="26">
        <f t="shared" si="142"/>
        <v>649</v>
      </c>
      <c r="B693" s="27" t="s">
        <v>1943</v>
      </c>
      <c r="C693" s="26"/>
      <c r="D693" s="60" t="s">
        <v>1968</v>
      </c>
      <c r="E693" s="45" t="s">
        <v>1969</v>
      </c>
      <c r="F693" s="24" t="s">
        <v>43</v>
      </c>
      <c r="G693" s="44" t="s">
        <v>1970</v>
      </c>
      <c r="H693" s="4" t="s">
        <v>85</v>
      </c>
      <c r="I693" s="4" t="s">
        <v>86</v>
      </c>
      <c r="J693" s="3" t="s">
        <v>386</v>
      </c>
      <c r="K693" s="3" t="str">
        <f t="shared" ca="1" si="146"/>
        <v xml:space="preserve">5 Tahun 5 bulan </v>
      </c>
      <c r="L693" s="36" t="s">
        <v>200</v>
      </c>
      <c r="M693" s="3" t="s">
        <v>386</v>
      </c>
      <c r="N693" s="3" t="str">
        <f t="shared" ca="1" si="158"/>
        <v xml:space="preserve">5 Tahun 5 bulan </v>
      </c>
      <c r="O693" s="4"/>
      <c r="P693" s="4" t="s">
        <v>35</v>
      </c>
      <c r="Q693" s="4" t="str">
        <f t="shared" si="147"/>
        <v>Laki-Laki</v>
      </c>
      <c r="R693" s="4">
        <v>1</v>
      </c>
      <c r="S693" s="4" t="str">
        <f t="shared" si="157"/>
        <v>1</v>
      </c>
      <c r="T693" s="4">
        <f t="shared" si="143"/>
        <v>0</v>
      </c>
      <c r="U693" s="29"/>
      <c r="V693" s="30" t="s">
        <v>50</v>
      </c>
      <c r="W693" s="30"/>
      <c r="X693" s="30"/>
      <c r="Y693" s="30"/>
      <c r="Z693" s="30"/>
      <c r="AA693" s="30"/>
      <c r="AB693" s="29"/>
      <c r="AC693" s="29"/>
      <c r="AD693" s="37">
        <f t="shared" si="149"/>
        <v>26790</v>
      </c>
      <c r="AE693" s="3" t="str">
        <f t="shared" ca="1" si="148"/>
        <v>53 Tahun 3 bulan 26 Hari</v>
      </c>
      <c r="AF693" s="38">
        <f t="shared" si="150"/>
        <v>48731</v>
      </c>
    </row>
    <row r="694" spans="1:32" s="7" customFormat="1" ht="32.15" customHeight="1" x14ac:dyDescent="0.35">
      <c r="A694" s="26">
        <f t="shared" si="142"/>
        <v>650</v>
      </c>
      <c r="B694" s="27" t="s">
        <v>1943</v>
      </c>
      <c r="C694" s="26"/>
      <c r="D694" s="60" t="s">
        <v>1971</v>
      </c>
      <c r="E694" s="45" t="s">
        <v>1972</v>
      </c>
      <c r="F694" s="24" t="s">
        <v>43</v>
      </c>
      <c r="G694" s="44" t="s">
        <v>1973</v>
      </c>
      <c r="H694" s="4" t="s">
        <v>574</v>
      </c>
      <c r="I694" s="36" t="s">
        <v>184</v>
      </c>
      <c r="J694" s="65" t="s">
        <v>386</v>
      </c>
      <c r="K694" s="3" t="str">
        <f t="shared" ca="1" si="146"/>
        <v xml:space="preserve">5 Tahun 5 bulan </v>
      </c>
      <c r="L694" s="36" t="s">
        <v>200</v>
      </c>
      <c r="M694" s="65" t="s">
        <v>386</v>
      </c>
      <c r="N694" s="3" t="str">
        <f t="shared" ca="1" si="158"/>
        <v xml:space="preserve">5 Tahun 5 bulan </v>
      </c>
      <c r="O694" s="36"/>
      <c r="P694" s="4" t="s">
        <v>35</v>
      </c>
      <c r="Q694" s="4" t="str">
        <f t="shared" si="147"/>
        <v>Laki-Laki</v>
      </c>
      <c r="R694" s="4">
        <f t="shared" si="159"/>
        <v>1</v>
      </c>
      <c r="S694" s="4" t="str">
        <f t="shared" si="157"/>
        <v>1</v>
      </c>
      <c r="T694" s="4">
        <f t="shared" si="143"/>
        <v>0</v>
      </c>
      <c r="U694" s="29"/>
      <c r="V694" s="30" t="s">
        <v>50</v>
      </c>
      <c r="W694" s="30"/>
      <c r="X694" s="30"/>
      <c r="Y694" s="30"/>
      <c r="Z694" s="30"/>
      <c r="AA694" s="30"/>
      <c r="AB694" s="29"/>
      <c r="AC694" s="29"/>
      <c r="AD694" s="37">
        <f t="shared" si="149"/>
        <v>29086</v>
      </c>
      <c r="AE694" s="3" t="str">
        <f t="shared" ca="1" si="148"/>
        <v>47 Tahun 0 bulan 13 Hari</v>
      </c>
      <c r="AF694" s="38">
        <f t="shared" si="150"/>
        <v>51014</v>
      </c>
    </row>
    <row r="695" spans="1:32" s="7" customFormat="1" ht="32.15" customHeight="1" x14ac:dyDescent="0.35">
      <c r="A695" s="26"/>
      <c r="B695" s="27" t="s">
        <v>1974</v>
      </c>
      <c r="C695" s="280" t="s">
        <v>1975</v>
      </c>
      <c r="D695" s="281"/>
      <c r="E695" s="271" t="str">
        <f ca="1">IF(J695="","",CONCATENATE(DATEDIF(J695,NOW(),"Y")," Tahun ",DATEDIF(J695,NOW(),"YM")," bulan "))</f>
        <v/>
      </c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  <c r="AB695" s="272"/>
      <c r="AC695" s="272"/>
      <c r="AD695" s="272"/>
      <c r="AE695" s="272"/>
      <c r="AF695" s="273"/>
    </row>
    <row r="696" spans="1:32" s="7" customFormat="1" ht="32.15" customHeight="1" x14ac:dyDescent="0.35">
      <c r="A696" s="26">
        <f>A694+1</f>
        <v>651</v>
      </c>
      <c r="B696" s="27" t="s">
        <v>1974</v>
      </c>
      <c r="C696" s="282" t="s">
        <v>1976</v>
      </c>
      <c r="D696" s="283"/>
      <c r="E696" s="24" t="s">
        <v>1986</v>
      </c>
      <c r="F696" s="24" t="s">
        <v>43</v>
      </c>
      <c r="G696" s="4" t="s">
        <v>1987</v>
      </c>
      <c r="H696" s="4" t="s">
        <v>303</v>
      </c>
      <c r="I696" s="33" t="s">
        <v>86</v>
      </c>
      <c r="J696" s="53">
        <v>46260</v>
      </c>
      <c r="K696" s="3" t="str">
        <f t="shared" ca="1" si="146"/>
        <v xml:space="preserve">0 Tahun 0 bulan </v>
      </c>
      <c r="L696" s="36" t="s">
        <v>79</v>
      </c>
      <c r="M696" s="53">
        <v>46260</v>
      </c>
      <c r="N696" s="3" t="str">
        <f t="shared" ca="1" si="158"/>
        <v xml:space="preserve">0 Tahun 0 bulan </v>
      </c>
      <c r="O696" s="36"/>
      <c r="P696" s="4" t="s">
        <v>35</v>
      </c>
      <c r="Q696" s="4" t="str">
        <f t="shared" si="147"/>
        <v>Perempuan</v>
      </c>
      <c r="R696" s="4">
        <f>R694</f>
        <v>1</v>
      </c>
      <c r="S696" s="4" t="str">
        <f t="shared" ref="S696:S704" si="160">IF(E696="LOWONG","0","1")</f>
        <v>1</v>
      </c>
      <c r="T696" s="4">
        <f t="shared" si="143"/>
        <v>0</v>
      </c>
      <c r="U696" s="29"/>
      <c r="V696" s="30" t="s">
        <v>50</v>
      </c>
      <c r="W696" s="30"/>
      <c r="X696" s="30"/>
      <c r="Y696" s="30"/>
      <c r="Z696" s="30"/>
      <c r="AA696" s="30"/>
      <c r="AB696" s="29"/>
      <c r="AC696" s="29"/>
      <c r="AD696" s="37">
        <f t="shared" si="149"/>
        <v>25606</v>
      </c>
      <c r="AE696" s="3" t="str">
        <f t="shared" ca="1" si="148"/>
        <v>56 Tahun 6 bulan 25 Hari</v>
      </c>
      <c r="AF696" s="38">
        <f t="shared" si="150"/>
        <v>47543</v>
      </c>
    </row>
    <row r="697" spans="1:32" s="7" customFormat="1" ht="32.15" customHeight="1" x14ac:dyDescent="0.35">
      <c r="A697" s="26">
        <f t="shared" si="142"/>
        <v>652</v>
      </c>
      <c r="B697" s="27" t="s">
        <v>1974</v>
      </c>
      <c r="C697" s="282" t="s">
        <v>1977</v>
      </c>
      <c r="D697" s="283"/>
      <c r="E697" s="45" t="s">
        <v>1978</v>
      </c>
      <c r="F697" s="24" t="s">
        <v>43</v>
      </c>
      <c r="G697" s="44" t="s">
        <v>1979</v>
      </c>
      <c r="H697" s="36" t="s">
        <v>1980</v>
      </c>
      <c r="I697" s="48" t="s">
        <v>86</v>
      </c>
      <c r="J697" s="47" t="s">
        <v>940</v>
      </c>
      <c r="K697" s="3" t="str">
        <f t="shared" ca="1" si="146"/>
        <v xml:space="preserve">4 Tahun 2 bulan </v>
      </c>
      <c r="L697" s="36" t="s">
        <v>346</v>
      </c>
      <c r="M697" s="47" t="s">
        <v>940</v>
      </c>
      <c r="N697" s="3" t="str">
        <f t="shared" ca="1" si="158"/>
        <v xml:space="preserve">4 Tahun 2 bulan </v>
      </c>
      <c r="O697" s="36"/>
      <c r="P697" s="4" t="s">
        <v>35</v>
      </c>
      <c r="Q697" s="4" t="str">
        <f t="shared" si="147"/>
        <v>Laki-Laki</v>
      </c>
      <c r="R697" s="4">
        <f t="shared" si="159"/>
        <v>1</v>
      </c>
      <c r="S697" s="4" t="str">
        <f t="shared" si="160"/>
        <v>1</v>
      </c>
      <c r="T697" s="4">
        <f t="shared" si="143"/>
        <v>0</v>
      </c>
      <c r="U697" s="29"/>
      <c r="V697" s="30" t="s">
        <v>50</v>
      </c>
      <c r="W697" s="30"/>
      <c r="X697" s="30"/>
      <c r="Y697" s="30"/>
      <c r="Z697" s="30"/>
      <c r="AA697" s="30"/>
      <c r="AB697" s="29"/>
      <c r="AC697" s="29"/>
      <c r="AD697" s="37">
        <f t="shared" si="149"/>
        <v>29838</v>
      </c>
      <c r="AE697" s="3" t="str">
        <f t="shared" ca="1" si="148"/>
        <v>44 Tahun 11 bulan 23 Hari</v>
      </c>
      <c r="AF697" s="38">
        <f t="shared" si="150"/>
        <v>51775</v>
      </c>
    </row>
    <row r="698" spans="1:32" s="7" customFormat="1" ht="32.15" customHeight="1" x14ac:dyDescent="0.35">
      <c r="A698" s="26">
        <f t="shared" si="142"/>
        <v>653</v>
      </c>
      <c r="B698" s="27" t="s">
        <v>1974</v>
      </c>
      <c r="C698" s="26"/>
      <c r="D698" s="111" t="s">
        <v>1981</v>
      </c>
      <c r="E698" s="45" t="s">
        <v>1982</v>
      </c>
      <c r="F698" s="24" t="s">
        <v>43</v>
      </c>
      <c r="G698" s="36" t="s">
        <v>1983</v>
      </c>
      <c r="H698" s="36" t="s">
        <v>1984</v>
      </c>
      <c r="I698" s="48" t="s">
        <v>86</v>
      </c>
      <c r="J698" s="47" t="s">
        <v>1032</v>
      </c>
      <c r="K698" s="3" t="str">
        <f t="shared" ca="1" si="146"/>
        <v xml:space="preserve">4 Tahun 5 bulan </v>
      </c>
      <c r="L698" s="36" t="s">
        <v>1749</v>
      </c>
      <c r="M698" s="47" t="s">
        <v>1032</v>
      </c>
      <c r="N698" s="3" t="str">
        <f t="shared" ca="1" si="158"/>
        <v xml:space="preserve">4 Tahun 5 bulan </v>
      </c>
      <c r="O698" s="36"/>
      <c r="P698" s="4" t="s">
        <v>35</v>
      </c>
      <c r="Q698" s="4" t="str">
        <f t="shared" si="147"/>
        <v>Laki-Laki</v>
      </c>
      <c r="R698" s="4">
        <f t="shared" si="159"/>
        <v>1</v>
      </c>
      <c r="S698" s="4" t="str">
        <f t="shared" si="160"/>
        <v>1</v>
      </c>
      <c r="T698" s="4">
        <f t="shared" si="143"/>
        <v>0</v>
      </c>
      <c r="U698" s="29"/>
      <c r="V698" s="30" t="s">
        <v>50</v>
      </c>
      <c r="W698" s="30"/>
      <c r="X698" s="30"/>
      <c r="Y698" s="30"/>
      <c r="Z698" s="30"/>
      <c r="AA698" s="30"/>
      <c r="AB698" s="29"/>
      <c r="AC698" s="29"/>
      <c r="AD698" s="37">
        <f t="shared" si="149"/>
        <v>28222</v>
      </c>
      <c r="AE698" s="3" t="str">
        <f t="shared" ca="1" si="148"/>
        <v>49 Tahun 4 bulan 25 Hari</v>
      </c>
      <c r="AF698" s="38">
        <f t="shared" si="150"/>
        <v>50161</v>
      </c>
    </row>
    <row r="699" spans="1:32" s="7" customFormat="1" ht="32.15" customHeight="1" x14ac:dyDescent="0.35">
      <c r="A699" s="26">
        <f t="shared" si="142"/>
        <v>654</v>
      </c>
      <c r="B699" s="27" t="s">
        <v>1974</v>
      </c>
      <c r="C699" s="26"/>
      <c r="D699" s="111" t="s">
        <v>1985</v>
      </c>
      <c r="E699" s="45" t="s">
        <v>108</v>
      </c>
      <c r="F699" s="24"/>
      <c r="G699" s="44"/>
      <c r="H699" s="36"/>
      <c r="I699" s="48"/>
      <c r="J699" s="47"/>
      <c r="K699" s="3" t="str">
        <f t="shared" ca="1" si="146"/>
        <v/>
      </c>
      <c r="L699" s="36" t="s">
        <v>1749</v>
      </c>
      <c r="M699" s="47"/>
      <c r="N699" s="3" t="str">
        <f t="shared" ca="1" si="158"/>
        <v/>
      </c>
      <c r="O699" s="36"/>
      <c r="P699" s="4" t="s">
        <v>35</v>
      </c>
      <c r="Q699" s="4" t="str">
        <f t="shared" si="147"/>
        <v/>
      </c>
      <c r="R699" s="4">
        <f t="shared" si="159"/>
        <v>1</v>
      </c>
      <c r="S699" s="4" t="str">
        <f t="shared" si="160"/>
        <v>0</v>
      </c>
      <c r="T699" s="4">
        <f t="shared" si="143"/>
        <v>1</v>
      </c>
      <c r="U699" s="29"/>
      <c r="V699" s="30"/>
      <c r="W699" s="30"/>
      <c r="X699" s="30"/>
      <c r="Y699" s="30"/>
      <c r="Z699" s="30"/>
      <c r="AA699" s="30"/>
      <c r="AB699" s="29"/>
      <c r="AC699" s="29"/>
      <c r="AD699" s="37" t="str">
        <f t="shared" si="149"/>
        <v/>
      </c>
      <c r="AE699" s="3" t="str">
        <f t="shared" ca="1" si="148"/>
        <v/>
      </c>
      <c r="AF699" s="38" t="str">
        <f t="shared" si="150"/>
        <v/>
      </c>
    </row>
    <row r="700" spans="1:32" s="7" customFormat="1" ht="32.15" customHeight="1" x14ac:dyDescent="0.35">
      <c r="A700" s="26">
        <f t="shared" si="142"/>
        <v>655</v>
      </c>
      <c r="B700" s="27" t="s">
        <v>1974</v>
      </c>
      <c r="C700" s="26"/>
      <c r="D700" s="60" t="s">
        <v>1988</v>
      </c>
      <c r="E700" s="24" t="s">
        <v>1989</v>
      </c>
      <c r="F700" s="24" t="s">
        <v>43</v>
      </c>
      <c r="G700" s="3" t="s">
        <v>1990</v>
      </c>
      <c r="H700" s="4" t="s">
        <v>1488</v>
      </c>
      <c r="I700" s="4" t="s">
        <v>107</v>
      </c>
      <c r="J700" s="82" t="s">
        <v>199</v>
      </c>
      <c r="K700" s="3" t="str">
        <f t="shared" ca="1" si="146"/>
        <v xml:space="preserve">3 Tahun 11 bulan </v>
      </c>
      <c r="L700" s="36" t="s">
        <v>200</v>
      </c>
      <c r="M700" s="82" t="s">
        <v>199</v>
      </c>
      <c r="N700" s="3" t="str">
        <f t="shared" ca="1" si="158"/>
        <v xml:space="preserve">3 Tahun 11 bulan </v>
      </c>
      <c r="O700" s="36"/>
      <c r="P700" s="4" t="s">
        <v>35</v>
      </c>
      <c r="Q700" s="4" t="str">
        <f t="shared" si="147"/>
        <v>Laki-Laki</v>
      </c>
      <c r="R700" s="4">
        <f>R699</f>
        <v>1</v>
      </c>
      <c r="S700" s="4" t="str">
        <f t="shared" si="160"/>
        <v>1</v>
      </c>
      <c r="T700" s="4">
        <f t="shared" si="143"/>
        <v>0</v>
      </c>
      <c r="U700" s="29"/>
      <c r="V700" s="30" t="s">
        <v>50</v>
      </c>
      <c r="W700" s="30"/>
      <c r="X700" s="30"/>
      <c r="Y700" s="30"/>
      <c r="Z700" s="30"/>
      <c r="AA700" s="30"/>
      <c r="AB700" s="29"/>
      <c r="AC700" s="29"/>
      <c r="AD700" s="37">
        <f t="shared" si="149"/>
        <v>31051</v>
      </c>
      <c r="AE700" s="3" t="str">
        <f t="shared" ca="1" si="148"/>
        <v>41 Tahun 7 bulan 28 Hari</v>
      </c>
      <c r="AF700" s="38">
        <f t="shared" si="150"/>
        <v>52994</v>
      </c>
    </row>
    <row r="701" spans="1:32" s="7" customFormat="1" ht="32.15" customHeight="1" x14ac:dyDescent="0.35">
      <c r="A701" s="26">
        <f t="shared" ref="A701:A704" si="161">A700+1</f>
        <v>656</v>
      </c>
      <c r="B701" s="27" t="s">
        <v>1974</v>
      </c>
      <c r="C701" s="26"/>
      <c r="D701" s="60" t="s">
        <v>1991</v>
      </c>
      <c r="E701" s="45" t="s">
        <v>1992</v>
      </c>
      <c r="F701" s="24" t="s">
        <v>43</v>
      </c>
      <c r="G701" s="44" t="s">
        <v>2980</v>
      </c>
      <c r="H701" s="36" t="s">
        <v>135</v>
      </c>
      <c r="I701" s="48" t="s">
        <v>2977</v>
      </c>
      <c r="J701" s="116">
        <v>45993</v>
      </c>
      <c r="K701" s="3" t="str">
        <f t="shared" ca="1" si="146"/>
        <v xml:space="preserve">0 Tahun 8 bulan </v>
      </c>
      <c r="L701" s="36" t="s">
        <v>200</v>
      </c>
      <c r="M701" s="116">
        <v>45993</v>
      </c>
      <c r="N701" s="3" t="str">
        <f t="shared" ca="1" si="158"/>
        <v xml:space="preserve">0 Tahun 8 bulan </v>
      </c>
      <c r="O701" s="36"/>
      <c r="P701" s="4"/>
      <c r="Q701" s="4" t="str">
        <f t="shared" si="147"/>
        <v>Laki-Laki</v>
      </c>
      <c r="R701" s="4">
        <f t="shared" si="159"/>
        <v>1</v>
      </c>
      <c r="S701" s="4" t="str">
        <f t="shared" si="160"/>
        <v>1</v>
      </c>
      <c r="T701" s="4">
        <f t="shared" si="143"/>
        <v>0</v>
      </c>
      <c r="U701" s="29"/>
      <c r="V701" s="30" t="s">
        <v>50</v>
      </c>
      <c r="W701" s="30"/>
      <c r="X701" s="30"/>
      <c r="Y701" s="30"/>
      <c r="Z701" s="30"/>
      <c r="AA701" s="30"/>
      <c r="AB701" s="29"/>
      <c r="AC701" s="29"/>
      <c r="AD701" s="37">
        <f t="shared" si="149"/>
        <v>27413</v>
      </c>
      <c r="AE701" s="3" t="str">
        <f t="shared" ca="1" si="148"/>
        <v>51 Tahun 7 bulan 13 Hari</v>
      </c>
      <c r="AF701" s="38">
        <f t="shared" si="150"/>
        <v>49341</v>
      </c>
    </row>
    <row r="702" spans="1:32" s="7" customFormat="1" ht="32.15" customHeight="1" x14ac:dyDescent="0.35">
      <c r="A702" s="26">
        <f t="shared" si="161"/>
        <v>657</v>
      </c>
      <c r="B702" s="27" t="s">
        <v>1974</v>
      </c>
      <c r="C702" s="26"/>
      <c r="D702" s="60" t="s">
        <v>1993</v>
      </c>
      <c r="E702" s="45" t="s">
        <v>1834</v>
      </c>
      <c r="F702" s="24" t="s">
        <v>43</v>
      </c>
      <c r="G702" s="44" t="s">
        <v>1835</v>
      </c>
      <c r="H702" s="36" t="s">
        <v>1836</v>
      </c>
      <c r="I702" s="36" t="s">
        <v>107</v>
      </c>
      <c r="J702" s="82">
        <v>46260</v>
      </c>
      <c r="K702" s="3" t="str">
        <f t="shared" ca="1" si="146"/>
        <v xml:space="preserve">0 Tahun 0 bulan </v>
      </c>
      <c r="L702" s="36" t="s">
        <v>200</v>
      </c>
      <c r="M702" s="82" t="s">
        <v>386</v>
      </c>
      <c r="N702" s="3" t="str">
        <f t="shared" ca="1" si="158"/>
        <v xml:space="preserve">5 Tahun 5 bulan </v>
      </c>
      <c r="O702" s="36"/>
      <c r="P702" s="4" t="s">
        <v>35</v>
      </c>
      <c r="Q702" s="4" t="str">
        <f t="shared" si="147"/>
        <v>Laki-Laki</v>
      </c>
      <c r="R702" s="4">
        <f t="shared" si="159"/>
        <v>1</v>
      </c>
      <c r="S702" s="4" t="str">
        <f t="shared" si="160"/>
        <v>1</v>
      </c>
      <c r="T702" s="4">
        <f t="shared" si="143"/>
        <v>0</v>
      </c>
      <c r="U702" s="29"/>
      <c r="V702" s="30" t="s">
        <v>50</v>
      </c>
      <c r="W702" s="30"/>
      <c r="X702" s="30"/>
      <c r="Y702" s="30"/>
      <c r="Z702" s="30"/>
      <c r="AA702" s="30"/>
      <c r="AB702" s="29"/>
      <c r="AC702" s="29"/>
      <c r="AD702" s="37">
        <f t="shared" si="149"/>
        <v>28448</v>
      </c>
      <c r="AE702" s="3" t="str">
        <f t="shared" ca="1" si="148"/>
        <v>48 Tahun 9 bulan 13 Hari</v>
      </c>
      <c r="AF702" s="38">
        <f t="shared" si="150"/>
        <v>50375</v>
      </c>
    </row>
    <row r="703" spans="1:32" s="7" customFormat="1" ht="32.15" customHeight="1" x14ac:dyDescent="0.35">
      <c r="A703" s="26">
        <f t="shared" si="161"/>
        <v>658</v>
      </c>
      <c r="B703" s="27" t="s">
        <v>1974</v>
      </c>
      <c r="C703" s="26"/>
      <c r="D703" s="60" t="s">
        <v>1994</v>
      </c>
      <c r="E703" s="45" t="s">
        <v>1995</v>
      </c>
      <c r="F703" s="24" t="s">
        <v>43</v>
      </c>
      <c r="G703" s="44" t="s">
        <v>1996</v>
      </c>
      <c r="H703" s="4" t="s">
        <v>1315</v>
      </c>
      <c r="I703" s="25" t="s">
        <v>86</v>
      </c>
      <c r="J703" s="81" t="s">
        <v>199</v>
      </c>
      <c r="K703" s="3" t="str">
        <f t="shared" ca="1" si="146"/>
        <v xml:space="preserve">3 Tahun 11 bulan </v>
      </c>
      <c r="L703" s="36" t="s">
        <v>200</v>
      </c>
      <c r="M703" s="81" t="s">
        <v>199</v>
      </c>
      <c r="N703" s="3" t="str">
        <f t="shared" ca="1" si="158"/>
        <v xml:space="preserve">3 Tahun 11 bulan </v>
      </c>
      <c r="O703" s="36"/>
      <c r="P703" s="4" t="s">
        <v>35</v>
      </c>
      <c r="Q703" s="4" t="str">
        <f t="shared" si="147"/>
        <v>Laki-Laki</v>
      </c>
      <c r="R703" s="4">
        <f t="shared" si="159"/>
        <v>1</v>
      </c>
      <c r="S703" s="4" t="str">
        <f t="shared" si="160"/>
        <v>1</v>
      </c>
      <c r="T703" s="4">
        <f t="shared" si="143"/>
        <v>0</v>
      </c>
      <c r="U703" s="29"/>
      <c r="V703" s="30" t="s">
        <v>50</v>
      </c>
      <c r="W703" s="30"/>
      <c r="X703" s="30"/>
      <c r="Y703" s="30"/>
      <c r="Z703" s="30"/>
      <c r="AA703" s="30"/>
      <c r="AB703" s="29"/>
      <c r="AC703" s="29"/>
      <c r="AD703" s="37">
        <f t="shared" si="149"/>
        <v>30108</v>
      </c>
      <c r="AE703" s="3" t="str">
        <f t="shared" ca="1" si="148"/>
        <v>44 Tahun 2 bulan 26 Hari</v>
      </c>
      <c r="AF703" s="38">
        <f t="shared" si="150"/>
        <v>52048</v>
      </c>
    </row>
    <row r="704" spans="1:32" s="7" customFormat="1" ht="32.15" customHeight="1" x14ac:dyDescent="0.35">
      <c r="A704" s="26">
        <f t="shared" si="161"/>
        <v>659</v>
      </c>
      <c r="B704" s="27" t="s">
        <v>1974</v>
      </c>
      <c r="C704" s="26"/>
      <c r="D704" s="60" t="s">
        <v>1997</v>
      </c>
      <c r="E704" s="45" t="s">
        <v>1998</v>
      </c>
      <c r="F704" s="24" t="s">
        <v>43</v>
      </c>
      <c r="G704" s="44" t="s">
        <v>1999</v>
      </c>
      <c r="H704" s="36" t="s">
        <v>106</v>
      </c>
      <c r="I704" s="36" t="s">
        <v>107</v>
      </c>
      <c r="J704" s="47" t="s">
        <v>338</v>
      </c>
      <c r="K704" s="3" t="str">
        <f t="shared" ca="1" si="146"/>
        <v xml:space="preserve">2 Tahun 11 bulan </v>
      </c>
      <c r="L704" s="36" t="s">
        <v>200</v>
      </c>
      <c r="M704" s="47" t="s">
        <v>338</v>
      </c>
      <c r="N704" s="3" t="str">
        <f t="shared" ca="1" si="158"/>
        <v xml:space="preserve">2 Tahun 11 bulan </v>
      </c>
      <c r="O704" s="4"/>
      <c r="P704" s="4" t="s">
        <v>35</v>
      </c>
      <c r="Q704" s="4" t="str">
        <f t="shared" si="147"/>
        <v>Laki-Laki</v>
      </c>
      <c r="R704" s="4">
        <f t="shared" si="159"/>
        <v>1</v>
      </c>
      <c r="S704" s="4" t="str">
        <f t="shared" si="160"/>
        <v>1</v>
      </c>
      <c r="T704" s="4">
        <f t="shared" si="143"/>
        <v>0</v>
      </c>
      <c r="U704" s="29"/>
      <c r="V704" s="30" t="s">
        <v>50</v>
      </c>
      <c r="W704" s="30"/>
      <c r="X704" s="30"/>
      <c r="Y704" s="30"/>
      <c r="Z704" s="30"/>
      <c r="AA704" s="30"/>
      <c r="AB704" s="29"/>
      <c r="AC704" s="29"/>
      <c r="AD704" s="37">
        <f t="shared" si="149"/>
        <v>28668</v>
      </c>
      <c r="AE704" s="3" t="str">
        <f t="shared" ca="1" si="148"/>
        <v>48 Tahun 2 bulan 5 Hari</v>
      </c>
      <c r="AF704" s="38">
        <f t="shared" si="150"/>
        <v>50587</v>
      </c>
    </row>
    <row r="705" spans="1:33" ht="42.65" customHeight="1" x14ac:dyDescent="0.35">
      <c r="A705" s="26"/>
      <c r="B705" s="68" t="s">
        <v>2000</v>
      </c>
      <c r="C705" s="280" t="s">
        <v>2001</v>
      </c>
      <c r="D705" s="281"/>
      <c r="E705" s="271" t="str">
        <f ca="1">IF(J705="","",CONCATENATE(DATEDIF(J705,NOW(),"Y")," Tahun ",DATEDIF(J705,NOW(),"YM")," bulan "))</f>
        <v/>
      </c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  <c r="AB705" s="272"/>
      <c r="AC705" s="272"/>
      <c r="AD705" s="272"/>
      <c r="AE705" s="272"/>
      <c r="AF705" s="273"/>
      <c r="AG705" s="7"/>
    </row>
    <row r="706" spans="1:33" ht="32.15" customHeight="1" x14ac:dyDescent="0.35">
      <c r="A706" s="26">
        <f>A704+1</f>
        <v>660</v>
      </c>
      <c r="B706" s="68" t="s">
        <v>2000</v>
      </c>
      <c r="C706" s="282" t="s">
        <v>2002</v>
      </c>
      <c r="D706" s="283"/>
      <c r="E706" s="45" t="s">
        <v>3047</v>
      </c>
      <c r="F706" s="24" t="s">
        <v>43</v>
      </c>
      <c r="G706" s="44" t="s">
        <v>1260</v>
      </c>
      <c r="H706" s="4" t="s">
        <v>279</v>
      </c>
      <c r="I706" s="36"/>
      <c r="J706" s="53">
        <v>46260</v>
      </c>
      <c r="K706" s="3" t="str">
        <f t="shared" ca="1" si="146"/>
        <v xml:space="preserve">0 Tahun 0 bulan </v>
      </c>
      <c r="L706" s="36" t="s">
        <v>79</v>
      </c>
      <c r="M706" s="53">
        <v>46260</v>
      </c>
      <c r="N706" s="3" t="str">
        <f t="shared" ca="1" si="158"/>
        <v xml:space="preserve">0 Tahun 0 bulan </v>
      </c>
      <c r="O706" s="36"/>
      <c r="P706" s="4" t="s">
        <v>35</v>
      </c>
      <c r="Q706" s="4" t="str">
        <f t="shared" si="147"/>
        <v>Laki-Laki</v>
      </c>
      <c r="R706" s="4">
        <f>R704</f>
        <v>1</v>
      </c>
      <c r="S706" s="4" t="str">
        <f t="shared" ref="S706:S714" si="162">IF(E706="LOWONG","0","1")</f>
        <v>1</v>
      </c>
      <c r="T706" s="4">
        <f t="shared" si="143"/>
        <v>0</v>
      </c>
      <c r="U706" s="29"/>
      <c r="V706" s="30" t="s">
        <v>50</v>
      </c>
      <c r="W706" s="30"/>
      <c r="X706" s="30"/>
      <c r="Y706" s="30"/>
      <c r="Z706" s="30"/>
      <c r="AA706" s="30"/>
      <c r="AB706" s="29"/>
      <c r="AC706" s="29"/>
      <c r="AD706" s="37">
        <f t="shared" si="149"/>
        <v>26486</v>
      </c>
      <c r="AE706" s="3" t="str">
        <f t="shared" ca="1" si="148"/>
        <v>54 Tahun 1 bulan 26 Hari</v>
      </c>
      <c r="AF706" s="38">
        <f t="shared" si="150"/>
        <v>48427</v>
      </c>
      <c r="AG706" s="7"/>
    </row>
    <row r="707" spans="1:33" ht="32.15" customHeight="1" x14ac:dyDescent="0.35">
      <c r="A707" s="26">
        <f t="shared" ref="A707:A770" si="163">A706+1</f>
        <v>661</v>
      </c>
      <c r="B707" s="68" t="s">
        <v>2000</v>
      </c>
      <c r="C707" s="282" t="s">
        <v>2003</v>
      </c>
      <c r="D707" s="283"/>
      <c r="E707" s="24" t="s">
        <v>2004</v>
      </c>
      <c r="F707" s="24" t="s">
        <v>43</v>
      </c>
      <c r="G707" s="4" t="s">
        <v>2005</v>
      </c>
      <c r="H707" s="4" t="s">
        <v>479</v>
      </c>
      <c r="I707" s="33" t="s">
        <v>86</v>
      </c>
      <c r="J707" s="47" t="s">
        <v>314</v>
      </c>
      <c r="K707" s="3" t="str">
        <f t="shared" ca="1" si="146"/>
        <v xml:space="preserve">6 Tahun 4 bulan </v>
      </c>
      <c r="L707" s="36" t="s">
        <v>346</v>
      </c>
      <c r="M707" s="47" t="s">
        <v>314</v>
      </c>
      <c r="N707" s="3" t="str">
        <f t="shared" ca="1" si="158"/>
        <v xml:space="preserve">6 Tahun 4 bulan </v>
      </c>
      <c r="O707" s="4"/>
      <c r="P707" s="4" t="s">
        <v>35</v>
      </c>
      <c r="Q707" s="4" t="str">
        <f t="shared" si="147"/>
        <v>Laki-Laki</v>
      </c>
      <c r="R707" s="4">
        <f t="shared" si="159"/>
        <v>1</v>
      </c>
      <c r="S707" s="4" t="str">
        <f t="shared" si="162"/>
        <v>1</v>
      </c>
      <c r="T707" s="4">
        <f t="shared" ref="T707:T777" si="164">R707-S707</f>
        <v>0</v>
      </c>
      <c r="U707" s="29"/>
      <c r="V707" s="30" t="s">
        <v>50</v>
      </c>
      <c r="W707" s="30"/>
      <c r="X707" s="30"/>
      <c r="Y707" s="30"/>
      <c r="Z707" s="30"/>
      <c r="AA707" s="30"/>
      <c r="AB707" s="29"/>
      <c r="AC707" s="29"/>
      <c r="AD707" s="37">
        <f t="shared" si="149"/>
        <v>26766</v>
      </c>
      <c r="AE707" s="3" t="str">
        <f t="shared" ca="1" si="148"/>
        <v>53 Tahun 4 bulan 20 Hari</v>
      </c>
      <c r="AF707" s="38">
        <f t="shared" si="150"/>
        <v>48700</v>
      </c>
      <c r="AG707" s="7"/>
    </row>
    <row r="708" spans="1:33" ht="32.15" customHeight="1" x14ac:dyDescent="0.35">
      <c r="A708" s="155">
        <f t="shared" si="163"/>
        <v>662</v>
      </c>
      <c r="B708" s="171" t="s">
        <v>2000</v>
      </c>
      <c r="C708" s="155"/>
      <c r="D708" s="172" t="s">
        <v>2006</v>
      </c>
      <c r="E708" s="158" t="s">
        <v>2007</v>
      </c>
      <c r="F708" s="159" t="s">
        <v>43</v>
      </c>
      <c r="G708" s="173" t="s">
        <v>2981</v>
      </c>
      <c r="H708" s="173" t="s">
        <v>2982</v>
      </c>
      <c r="I708" s="170" t="s">
        <v>2965</v>
      </c>
      <c r="J708" s="174">
        <v>45993</v>
      </c>
      <c r="K708" s="163" t="str">
        <f t="shared" ca="1" si="146"/>
        <v xml:space="preserve">0 Tahun 8 bulan </v>
      </c>
      <c r="L708" s="170" t="s">
        <v>1749</v>
      </c>
      <c r="M708" s="174">
        <v>45993</v>
      </c>
      <c r="N708" s="163" t="str">
        <f t="shared" ca="1" si="158"/>
        <v xml:space="preserve">0 Tahun 8 bulan </v>
      </c>
      <c r="O708" s="175"/>
      <c r="P708" s="160"/>
      <c r="Q708" s="160" t="str">
        <f t="shared" si="147"/>
        <v>Perempuan</v>
      </c>
      <c r="R708" s="160">
        <f t="shared" si="159"/>
        <v>1</v>
      </c>
      <c r="S708" s="160" t="str">
        <f t="shared" si="162"/>
        <v>1</v>
      </c>
      <c r="T708" s="160">
        <f t="shared" si="164"/>
        <v>0</v>
      </c>
      <c r="U708" s="165"/>
      <c r="V708" s="164" t="s">
        <v>50</v>
      </c>
      <c r="W708" s="164"/>
      <c r="X708" s="164"/>
      <c r="Y708" s="164"/>
      <c r="Z708" s="164"/>
      <c r="AA708" s="164"/>
      <c r="AB708" s="165"/>
      <c r="AC708" s="165"/>
      <c r="AD708" s="166">
        <f t="shared" si="149"/>
        <v>29799</v>
      </c>
      <c r="AE708" s="163" t="str">
        <f t="shared" ca="1" si="148"/>
        <v>45 Tahun 1 bulan 0 Hari</v>
      </c>
      <c r="AF708" s="167">
        <f t="shared" si="150"/>
        <v>51745</v>
      </c>
      <c r="AG708" s="7"/>
    </row>
    <row r="709" spans="1:33" ht="32.15" customHeight="1" x14ac:dyDescent="0.35">
      <c r="A709" s="26">
        <f t="shared" si="163"/>
        <v>663</v>
      </c>
      <c r="B709" s="68" t="s">
        <v>2000</v>
      </c>
      <c r="C709" s="26"/>
      <c r="D709" s="111" t="s">
        <v>2008</v>
      </c>
      <c r="E709" s="45" t="s">
        <v>108</v>
      </c>
      <c r="F709" s="45"/>
      <c r="G709" s="76"/>
      <c r="H709" s="76"/>
      <c r="I709" s="36"/>
      <c r="J709" s="91"/>
      <c r="K709" s="3" t="str">
        <f t="shared" ca="1" si="146"/>
        <v/>
      </c>
      <c r="L709" s="36" t="s">
        <v>1749</v>
      </c>
      <c r="M709" s="91"/>
      <c r="N709" s="3" t="str">
        <f t="shared" ca="1" si="158"/>
        <v/>
      </c>
      <c r="O709" s="35"/>
      <c r="P709" s="4"/>
      <c r="Q709" s="4" t="str">
        <f t="shared" si="147"/>
        <v/>
      </c>
      <c r="R709" s="4">
        <f t="shared" si="159"/>
        <v>1</v>
      </c>
      <c r="S709" s="4" t="str">
        <f t="shared" si="162"/>
        <v>0</v>
      </c>
      <c r="T709" s="4">
        <f t="shared" si="164"/>
        <v>1</v>
      </c>
      <c r="U709" s="29"/>
      <c r="V709" s="30" t="s">
        <v>50</v>
      </c>
      <c r="W709" s="30"/>
      <c r="X709" s="30"/>
      <c r="Y709" s="30"/>
      <c r="Z709" s="30"/>
      <c r="AA709" s="30"/>
      <c r="AB709" s="29"/>
      <c r="AC709" s="29"/>
      <c r="AD709" s="37" t="str">
        <f t="shared" si="149"/>
        <v/>
      </c>
      <c r="AE709" s="3" t="str">
        <f t="shared" ca="1" si="148"/>
        <v/>
      </c>
      <c r="AF709" s="38" t="str">
        <f t="shared" si="150"/>
        <v/>
      </c>
      <c r="AG709" s="7"/>
    </row>
    <row r="710" spans="1:33" ht="32.15" customHeight="1" x14ac:dyDescent="0.35">
      <c r="A710" s="26">
        <f t="shared" si="163"/>
        <v>664</v>
      </c>
      <c r="B710" s="68" t="s">
        <v>2000</v>
      </c>
      <c r="C710" s="26"/>
      <c r="D710" s="60" t="s">
        <v>2009</v>
      </c>
      <c r="E710" s="45" t="s">
        <v>2010</v>
      </c>
      <c r="F710" s="24" t="s">
        <v>43</v>
      </c>
      <c r="G710" s="44" t="s">
        <v>2011</v>
      </c>
      <c r="H710" s="36" t="s">
        <v>85</v>
      </c>
      <c r="I710" s="36" t="s">
        <v>107</v>
      </c>
      <c r="J710" s="47" t="s">
        <v>565</v>
      </c>
      <c r="K710" s="3" t="str">
        <f t="shared" ca="1" si="146"/>
        <v xml:space="preserve">5 Tahun 9 bulan </v>
      </c>
      <c r="L710" s="36" t="s">
        <v>200</v>
      </c>
      <c r="M710" s="47" t="s">
        <v>565</v>
      </c>
      <c r="N710" s="3" t="str">
        <f t="shared" ca="1" si="158"/>
        <v xml:space="preserve">5 Tahun 9 bulan </v>
      </c>
      <c r="O710" s="36"/>
      <c r="P710" s="4" t="s">
        <v>35</v>
      </c>
      <c r="Q710" s="4" t="str">
        <f t="shared" si="147"/>
        <v>Laki-Laki</v>
      </c>
      <c r="R710" s="4">
        <f t="shared" si="159"/>
        <v>1</v>
      </c>
      <c r="S710" s="4" t="str">
        <f t="shared" si="162"/>
        <v>1</v>
      </c>
      <c r="T710" s="4">
        <f t="shared" si="164"/>
        <v>0</v>
      </c>
      <c r="U710" s="29"/>
      <c r="V710" s="30" t="s">
        <v>50</v>
      </c>
      <c r="W710" s="30"/>
      <c r="X710" s="30"/>
      <c r="Y710" s="30"/>
      <c r="Z710" s="30"/>
      <c r="AA710" s="30"/>
      <c r="AB710" s="29"/>
      <c r="AC710" s="29"/>
      <c r="AD710" s="37">
        <f t="shared" si="149"/>
        <v>25974</v>
      </c>
      <c r="AE710" s="3" t="str">
        <f t="shared" ca="1" si="148"/>
        <v>55 Tahun 6 bulan 22 Hari</v>
      </c>
      <c r="AF710" s="38">
        <f t="shared" si="150"/>
        <v>47908</v>
      </c>
      <c r="AG710" s="7"/>
    </row>
    <row r="711" spans="1:33" ht="32.15" customHeight="1" x14ac:dyDescent="0.35">
      <c r="A711" s="26">
        <f t="shared" si="163"/>
        <v>665</v>
      </c>
      <c r="B711" s="68" t="s">
        <v>2000</v>
      </c>
      <c r="C711" s="26"/>
      <c r="D711" s="60" t="s">
        <v>2012</v>
      </c>
      <c r="E711" s="24" t="s">
        <v>2013</v>
      </c>
      <c r="F711" s="24" t="s">
        <v>43</v>
      </c>
      <c r="G711" s="4" t="s">
        <v>2014</v>
      </c>
      <c r="H711" s="36" t="s">
        <v>2015</v>
      </c>
      <c r="I711" s="36" t="s">
        <v>118</v>
      </c>
      <c r="J711" s="47" t="s">
        <v>1748</v>
      </c>
      <c r="K711" s="3" t="str">
        <f t="shared" ref="K711:K774" ca="1" si="165">IF(J711="","",CONCATENATE(DATEDIF(J711,NOW(),"Y")," Tahun ",DATEDIF(J711,NOW(),"YM")," bulan "))</f>
        <v xml:space="preserve">9 Tahun 7 bulan </v>
      </c>
      <c r="L711" s="36" t="s">
        <v>200</v>
      </c>
      <c r="M711" s="47" t="s">
        <v>1748</v>
      </c>
      <c r="N711" s="3" t="str">
        <f t="shared" ca="1" si="158"/>
        <v xml:space="preserve">9 Tahun 7 bulan </v>
      </c>
      <c r="O711" s="36"/>
      <c r="P711" s="4" t="s">
        <v>35</v>
      </c>
      <c r="Q711" s="4" t="str">
        <f t="shared" ref="Q711:Q774" si="166">CONCATENATE(IF(MID(G711,17,1)="1","Laki-Laki",IF(MID(G711,17,1)="2","Perempuan",)))</f>
        <v>Perempuan</v>
      </c>
      <c r="R711" s="4">
        <f t="shared" si="159"/>
        <v>1</v>
      </c>
      <c r="S711" s="4" t="str">
        <f t="shared" si="162"/>
        <v>1</v>
      </c>
      <c r="T711" s="4">
        <f t="shared" si="164"/>
        <v>0</v>
      </c>
      <c r="U711" s="29"/>
      <c r="V711" s="30"/>
      <c r="W711" s="30"/>
      <c r="X711" s="30"/>
      <c r="Y711" s="30"/>
      <c r="Z711" s="30"/>
      <c r="AA711" s="30"/>
      <c r="AB711" s="29"/>
      <c r="AC711" s="29"/>
      <c r="AD711" s="37">
        <f t="shared" si="149"/>
        <v>25246</v>
      </c>
      <c r="AE711" s="3" t="str">
        <f t="shared" ref="AE711:AE774" ca="1" si="167">IF(TRIM(AD711)="", "", CONCATENATE(DATEDIF(AD711,NOW(),"Y")," Tahun ",DATEDIF(AD711,NOW(),"YM")," bulan ",DATEDIF(AD711,NOW(),"MD")," Hari"))</f>
        <v>57 Tahun 6 bulan 20 Hari</v>
      </c>
      <c r="AF711" s="38">
        <f t="shared" si="150"/>
        <v>47178</v>
      </c>
      <c r="AG711" s="7"/>
    </row>
    <row r="712" spans="1:33" ht="32.15" customHeight="1" x14ac:dyDescent="0.35">
      <c r="A712" s="26">
        <f t="shared" si="163"/>
        <v>666</v>
      </c>
      <c r="B712" s="68" t="s">
        <v>2000</v>
      </c>
      <c r="C712" s="26"/>
      <c r="D712" s="60" t="s">
        <v>2016</v>
      </c>
      <c r="E712" s="45" t="s">
        <v>2017</v>
      </c>
      <c r="F712" s="24" t="s">
        <v>43</v>
      </c>
      <c r="G712" s="44" t="s">
        <v>2018</v>
      </c>
      <c r="H712" s="4" t="s">
        <v>2019</v>
      </c>
      <c r="I712" s="4" t="s">
        <v>1814</v>
      </c>
      <c r="J712" s="47" t="s">
        <v>199</v>
      </c>
      <c r="K712" s="3" t="str">
        <f t="shared" ca="1" si="165"/>
        <v xml:space="preserve">3 Tahun 11 bulan </v>
      </c>
      <c r="L712" s="36" t="s">
        <v>200</v>
      </c>
      <c r="M712" s="47" t="s">
        <v>199</v>
      </c>
      <c r="N712" s="3" t="str">
        <f t="shared" ca="1" si="158"/>
        <v xml:space="preserve">3 Tahun 11 bulan </v>
      </c>
      <c r="O712" s="4"/>
      <c r="P712" s="4" t="s">
        <v>35</v>
      </c>
      <c r="Q712" s="4" t="str">
        <f t="shared" si="166"/>
        <v>Laki-Laki</v>
      </c>
      <c r="R712" s="4">
        <f t="shared" si="159"/>
        <v>1</v>
      </c>
      <c r="S712" s="4" t="str">
        <f t="shared" si="162"/>
        <v>1</v>
      </c>
      <c r="T712" s="4">
        <f t="shared" si="164"/>
        <v>0</v>
      </c>
      <c r="U712" s="29"/>
      <c r="V712" s="30" t="s">
        <v>50</v>
      </c>
      <c r="W712" s="30"/>
      <c r="X712" s="30"/>
      <c r="Y712" s="30"/>
      <c r="Z712" s="30"/>
      <c r="AA712" s="30"/>
      <c r="AB712" s="29"/>
      <c r="AC712" s="29"/>
      <c r="AD712" s="37">
        <f t="shared" ref="AD712:AD775" si="168">IF(TRIM(G712)="", "", DATE(LEFT(G712,4),MID(G712,5,2),MID(G712,7,2)))</f>
        <v>25093</v>
      </c>
      <c r="AE712" s="3" t="str">
        <f t="shared" ca="1" si="167"/>
        <v>57 Tahun 11 bulan 20 Hari</v>
      </c>
      <c r="AF712" s="38">
        <f t="shared" ref="AF712:AF775" si="169">IF(TRIM(AD712)="","",DATE(YEAR(AD712)+60,MONTH(AD712)+1,1))</f>
        <v>47027</v>
      </c>
      <c r="AG712" s="11" t="s">
        <v>3145</v>
      </c>
    </row>
    <row r="713" spans="1:33" ht="32.15" customHeight="1" x14ac:dyDescent="0.35">
      <c r="A713" s="26">
        <f t="shared" si="163"/>
        <v>667</v>
      </c>
      <c r="B713" s="68" t="s">
        <v>2000</v>
      </c>
      <c r="C713" s="26"/>
      <c r="D713" s="60" t="s">
        <v>2020</v>
      </c>
      <c r="E713" s="223" t="s">
        <v>108</v>
      </c>
      <c r="F713" s="24"/>
      <c r="G713" s="52"/>
      <c r="H713" s="36"/>
      <c r="I713" s="4"/>
      <c r="J713" s="82"/>
      <c r="K713" s="3" t="str">
        <f t="shared" ca="1" si="165"/>
        <v/>
      </c>
      <c r="L713" s="36" t="s">
        <v>200</v>
      </c>
      <c r="M713" s="82"/>
      <c r="N713" s="3" t="str">
        <f t="shared" ca="1" si="158"/>
        <v/>
      </c>
      <c r="O713" s="36"/>
      <c r="P713" s="4"/>
      <c r="Q713" s="4" t="str">
        <f t="shared" si="166"/>
        <v/>
      </c>
      <c r="R713" s="4">
        <f t="shared" si="159"/>
        <v>1</v>
      </c>
      <c r="S713" s="4" t="str">
        <f t="shared" si="162"/>
        <v>0</v>
      </c>
      <c r="T713" s="4">
        <f t="shared" si="164"/>
        <v>1</v>
      </c>
      <c r="U713" s="29"/>
      <c r="V713" s="30" t="s">
        <v>50</v>
      </c>
      <c r="W713" s="30"/>
      <c r="X713" s="30"/>
      <c r="Y713" s="30"/>
      <c r="Z713" s="30"/>
      <c r="AA713" s="30"/>
      <c r="AB713" s="29"/>
      <c r="AC713" s="29"/>
      <c r="AD713" s="37" t="str">
        <f t="shared" si="168"/>
        <v/>
      </c>
      <c r="AE713" s="3" t="str">
        <f t="shared" ca="1" si="167"/>
        <v/>
      </c>
      <c r="AF713" s="38" t="str">
        <f t="shared" si="169"/>
        <v/>
      </c>
      <c r="AG713" s="11" t="s">
        <v>3147</v>
      </c>
    </row>
    <row r="714" spans="1:33" ht="32.15" customHeight="1" x14ac:dyDescent="0.35">
      <c r="A714" s="155">
        <f t="shared" si="163"/>
        <v>668</v>
      </c>
      <c r="B714" s="171" t="s">
        <v>2000</v>
      </c>
      <c r="C714" s="155"/>
      <c r="D714" s="176" t="s">
        <v>2021</v>
      </c>
      <c r="E714" s="159" t="s">
        <v>3077</v>
      </c>
      <c r="F714" s="159" t="s">
        <v>43</v>
      </c>
      <c r="G714" s="163" t="s">
        <v>3078</v>
      </c>
      <c r="H714" s="160" t="s">
        <v>231</v>
      </c>
      <c r="I714" s="160" t="s">
        <v>3079</v>
      </c>
      <c r="J714" s="177">
        <v>46260</v>
      </c>
      <c r="K714" s="163" t="str">
        <f t="shared" ca="1" si="165"/>
        <v xml:space="preserve">0 Tahun 0 bulan </v>
      </c>
      <c r="L714" s="170" t="s">
        <v>200</v>
      </c>
      <c r="M714" s="177"/>
      <c r="N714" s="163" t="str">
        <f t="shared" ca="1" si="158"/>
        <v/>
      </c>
      <c r="O714" s="160"/>
      <c r="P714" s="160"/>
      <c r="Q714" s="160" t="str">
        <f t="shared" si="166"/>
        <v>Laki-Laki</v>
      </c>
      <c r="R714" s="160">
        <f t="shared" si="159"/>
        <v>1</v>
      </c>
      <c r="S714" s="160" t="str">
        <f t="shared" si="162"/>
        <v>1</v>
      </c>
      <c r="T714" s="160">
        <f t="shared" si="164"/>
        <v>0</v>
      </c>
      <c r="U714" s="165"/>
      <c r="V714" s="164" t="s">
        <v>50</v>
      </c>
      <c r="W714" s="164"/>
      <c r="X714" s="164"/>
      <c r="Y714" s="164"/>
      <c r="Z714" s="164"/>
      <c r="AA714" s="164"/>
      <c r="AB714" s="165"/>
      <c r="AC714" s="165"/>
      <c r="AD714" s="166">
        <f t="shared" si="168"/>
        <v>28158</v>
      </c>
      <c r="AE714" s="163" t="str">
        <f t="shared" ca="1" si="167"/>
        <v>49 Tahun 6 bulan 30 Hari</v>
      </c>
      <c r="AF714" s="167">
        <f t="shared" si="169"/>
        <v>50100</v>
      </c>
      <c r="AG714" s="7"/>
    </row>
    <row r="715" spans="1:33" ht="23.25" customHeight="1" x14ac:dyDescent="0.35">
      <c r="A715" s="26"/>
      <c r="B715" s="27" t="s">
        <v>2022</v>
      </c>
      <c r="C715" s="280" t="s">
        <v>2023</v>
      </c>
      <c r="D715" s="281"/>
      <c r="E715" s="24"/>
      <c r="F715" s="24"/>
      <c r="G715" s="4"/>
      <c r="H715" s="4"/>
      <c r="I715" s="33"/>
      <c r="J715" s="5"/>
      <c r="K715" s="3" t="str">
        <f t="shared" ca="1" si="165"/>
        <v/>
      </c>
      <c r="L715" s="30"/>
      <c r="M715" s="5"/>
      <c r="N715" s="3" t="str">
        <f t="shared" ca="1" si="158"/>
        <v/>
      </c>
      <c r="O715" s="4"/>
      <c r="P715" s="4"/>
      <c r="Q715" s="4"/>
      <c r="R715" s="4"/>
      <c r="S715" s="4"/>
      <c r="T715" s="4"/>
      <c r="U715" s="29"/>
      <c r="V715" s="30"/>
      <c r="W715" s="30"/>
      <c r="X715" s="30"/>
      <c r="Y715" s="30"/>
      <c r="Z715" s="29"/>
      <c r="AA715" s="29"/>
      <c r="AB715" s="29"/>
      <c r="AC715" s="29"/>
      <c r="AD715" s="37" t="str">
        <f t="shared" si="168"/>
        <v/>
      </c>
      <c r="AE715" s="3" t="str">
        <f t="shared" ca="1" si="167"/>
        <v/>
      </c>
      <c r="AF715" s="38" t="str">
        <f t="shared" si="169"/>
        <v/>
      </c>
      <c r="AG715" s="7"/>
    </row>
    <row r="716" spans="1:33" ht="35.25" customHeight="1" x14ac:dyDescent="0.35">
      <c r="A716" s="26">
        <f>A714+1</f>
        <v>669</v>
      </c>
      <c r="B716" s="27" t="s">
        <v>2022</v>
      </c>
      <c r="C716" s="282" t="s">
        <v>2024</v>
      </c>
      <c r="D716" s="283"/>
      <c r="E716" s="220" t="s">
        <v>509</v>
      </c>
      <c r="F716" s="24" t="s">
        <v>43</v>
      </c>
      <c r="G716" s="3" t="s">
        <v>510</v>
      </c>
      <c r="H716" s="4" t="s">
        <v>2966</v>
      </c>
      <c r="I716" s="4" t="s">
        <v>2967</v>
      </c>
      <c r="J716" s="53">
        <v>46260</v>
      </c>
      <c r="K716" s="3" t="str">
        <f t="shared" ca="1" si="165"/>
        <v xml:space="preserve">0 Tahun 0 bulan </v>
      </c>
      <c r="L716" s="36" t="s">
        <v>79</v>
      </c>
      <c r="M716" s="81">
        <v>45993</v>
      </c>
      <c r="N716" s="3" t="str">
        <f t="shared" ca="1" si="158"/>
        <v xml:space="preserve">0 Tahun 8 bulan </v>
      </c>
      <c r="O716" s="4" t="s">
        <v>81</v>
      </c>
      <c r="P716" s="4" t="s">
        <v>35</v>
      </c>
      <c r="Q716" s="4" t="str">
        <f t="shared" si="166"/>
        <v>Laki-Laki</v>
      </c>
      <c r="R716" s="4">
        <f>R714</f>
        <v>1</v>
      </c>
      <c r="S716" s="4" t="str">
        <f t="shared" ref="S716:S724" si="170">IF(E716="LOWONG","0","1")</f>
        <v>1</v>
      </c>
      <c r="T716" s="4">
        <f t="shared" si="164"/>
        <v>0</v>
      </c>
      <c r="U716" s="29"/>
      <c r="V716" s="30" t="s">
        <v>50</v>
      </c>
      <c r="W716" s="30"/>
      <c r="X716" s="30"/>
      <c r="Y716" s="30"/>
      <c r="Z716" s="30"/>
      <c r="AA716" s="30"/>
      <c r="AB716" s="29"/>
      <c r="AC716" s="29"/>
      <c r="AD716" s="37">
        <f t="shared" si="168"/>
        <v>25096</v>
      </c>
      <c r="AE716" s="3" t="str">
        <f t="shared" ca="1" si="167"/>
        <v>57 Tahun 11 bulan 17 Hari</v>
      </c>
      <c r="AF716" s="38">
        <f t="shared" si="169"/>
        <v>47027</v>
      </c>
      <c r="AG716" s="11" t="s">
        <v>3143</v>
      </c>
    </row>
    <row r="717" spans="1:33" ht="30" customHeight="1" x14ac:dyDescent="0.35">
      <c r="A717" s="26">
        <f t="shared" si="163"/>
        <v>670</v>
      </c>
      <c r="B717" s="27" t="s">
        <v>2022</v>
      </c>
      <c r="C717" s="282" t="s">
        <v>2026</v>
      </c>
      <c r="D717" s="283"/>
      <c r="E717" s="39" t="s">
        <v>2027</v>
      </c>
      <c r="F717" s="24" t="s">
        <v>43</v>
      </c>
      <c r="G717" s="25" t="s">
        <v>2854</v>
      </c>
      <c r="H717" s="4" t="s">
        <v>159</v>
      </c>
      <c r="I717" s="25" t="s">
        <v>2834</v>
      </c>
      <c r="J717" s="5">
        <v>45993</v>
      </c>
      <c r="K717" s="3" t="str">
        <f t="shared" ca="1" si="165"/>
        <v xml:space="preserve">0 Tahun 8 bulan </v>
      </c>
      <c r="L717" s="36" t="s">
        <v>346</v>
      </c>
      <c r="M717" s="5"/>
      <c r="N717" s="3" t="str">
        <f t="shared" ca="1" si="158"/>
        <v/>
      </c>
      <c r="O717" s="4"/>
      <c r="P717" s="4" t="s">
        <v>35</v>
      </c>
      <c r="Q717" s="4" t="str">
        <f t="shared" si="166"/>
        <v>Laki-Laki</v>
      </c>
      <c r="R717" s="4">
        <f t="shared" si="159"/>
        <v>1</v>
      </c>
      <c r="S717" s="4" t="str">
        <f t="shared" si="170"/>
        <v>1</v>
      </c>
      <c r="T717" s="4">
        <f t="shared" si="164"/>
        <v>0</v>
      </c>
      <c r="U717" s="29"/>
      <c r="V717" s="30" t="s">
        <v>50</v>
      </c>
      <c r="W717" s="30"/>
      <c r="X717" s="30"/>
      <c r="Y717" s="30"/>
      <c r="Z717" s="30"/>
      <c r="AA717" s="30"/>
      <c r="AB717" s="29"/>
      <c r="AC717" s="29"/>
      <c r="AD717" s="37">
        <f t="shared" si="168"/>
        <v>29641</v>
      </c>
      <c r="AE717" s="3" t="str">
        <f t="shared" ca="1" si="167"/>
        <v>45 Tahun 6 bulan 8 Hari</v>
      </c>
      <c r="AF717" s="38">
        <f t="shared" si="169"/>
        <v>51561</v>
      </c>
      <c r="AG717" s="7"/>
    </row>
    <row r="718" spans="1:33" ht="30" customHeight="1" x14ac:dyDescent="0.35">
      <c r="A718" s="26">
        <f t="shared" si="163"/>
        <v>671</v>
      </c>
      <c r="B718" s="27" t="s">
        <v>2022</v>
      </c>
      <c r="C718" s="26"/>
      <c r="D718" s="111" t="s">
        <v>2028</v>
      </c>
      <c r="E718" s="45" t="s">
        <v>2029</v>
      </c>
      <c r="F718" s="24" t="s">
        <v>43</v>
      </c>
      <c r="G718" s="44" t="s">
        <v>2030</v>
      </c>
      <c r="H718" s="56" t="s">
        <v>94</v>
      </c>
      <c r="I718" s="33" t="s">
        <v>86</v>
      </c>
      <c r="J718" s="65" t="s">
        <v>338</v>
      </c>
      <c r="K718" s="3" t="str">
        <f t="shared" ca="1" si="165"/>
        <v xml:space="preserve">2 Tahun 11 bulan </v>
      </c>
      <c r="L718" s="36" t="s">
        <v>1749</v>
      </c>
      <c r="M718" s="65" t="s">
        <v>338</v>
      </c>
      <c r="N718" s="3" t="str">
        <f t="shared" ca="1" si="158"/>
        <v xml:space="preserve">2 Tahun 11 bulan </v>
      </c>
      <c r="O718" s="4"/>
      <c r="P718" s="4" t="s">
        <v>35</v>
      </c>
      <c r="Q718" s="4" t="str">
        <f t="shared" si="166"/>
        <v>Laki-Laki</v>
      </c>
      <c r="R718" s="4">
        <f t="shared" si="159"/>
        <v>1</v>
      </c>
      <c r="S718" s="4" t="str">
        <f t="shared" si="170"/>
        <v>1</v>
      </c>
      <c r="T718" s="4">
        <f t="shared" si="164"/>
        <v>0</v>
      </c>
      <c r="U718" s="29"/>
      <c r="V718" s="30" t="s">
        <v>50</v>
      </c>
      <c r="W718" s="30"/>
      <c r="X718" s="30"/>
      <c r="Y718" s="30"/>
      <c r="Z718" s="30"/>
      <c r="AA718" s="30"/>
      <c r="AB718" s="29"/>
      <c r="AC718" s="29"/>
      <c r="AD718" s="37">
        <f t="shared" si="168"/>
        <v>29201</v>
      </c>
      <c r="AE718" s="3" t="str">
        <f t="shared" ca="1" si="167"/>
        <v>46 Tahun 8 bulan 20 Hari</v>
      </c>
      <c r="AF718" s="38">
        <f t="shared" si="169"/>
        <v>51136</v>
      </c>
      <c r="AG718" s="7"/>
    </row>
    <row r="719" spans="1:33" ht="30" customHeight="1" x14ac:dyDescent="0.35">
      <c r="A719" s="26">
        <f t="shared" si="163"/>
        <v>672</v>
      </c>
      <c r="B719" s="27" t="s">
        <v>2022</v>
      </c>
      <c r="C719" s="26"/>
      <c r="D719" s="111" t="s">
        <v>2031</v>
      </c>
      <c r="E719" s="45" t="s">
        <v>2032</v>
      </c>
      <c r="F719" s="24" t="s">
        <v>43</v>
      </c>
      <c r="G719" s="44" t="s">
        <v>2033</v>
      </c>
      <c r="H719" s="56" t="s">
        <v>2034</v>
      </c>
      <c r="I719" s="33" t="s">
        <v>2035</v>
      </c>
      <c r="J719" s="65" t="s">
        <v>338</v>
      </c>
      <c r="K719" s="3" t="str">
        <f t="shared" ca="1" si="165"/>
        <v xml:space="preserve">2 Tahun 11 bulan </v>
      </c>
      <c r="L719" s="36" t="s">
        <v>1749</v>
      </c>
      <c r="M719" s="65" t="s">
        <v>338</v>
      </c>
      <c r="N719" s="3" t="str">
        <f t="shared" ca="1" si="158"/>
        <v xml:space="preserve">2 Tahun 11 bulan </v>
      </c>
      <c r="O719" s="4"/>
      <c r="P719" s="4" t="s">
        <v>35</v>
      </c>
      <c r="Q719" s="4" t="str">
        <f t="shared" si="166"/>
        <v>Laki-Laki</v>
      </c>
      <c r="R719" s="4">
        <f t="shared" si="159"/>
        <v>1</v>
      </c>
      <c r="S719" s="4" t="str">
        <f t="shared" si="170"/>
        <v>1</v>
      </c>
      <c r="T719" s="4">
        <f t="shared" si="164"/>
        <v>0</v>
      </c>
      <c r="U719" s="29"/>
      <c r="V719" s="30" t="s">
        <v>50</v>
      </c>
      <c r="W719" s="30"/>
      <c r="X719" s="30"/>
      <c r="Y719" s="30"/>
      <c r="Z719" s="30"/>
      <c r="AA719" s="30"/>
      <c r="AB719" s="29"/>
      <c r="AC719" s="29"/>
      <c r="AD719" s="37">
        <f t="shared" si="168"/>
        <v>28776</v>
      </c>
      <c r="AE719" s="3" t="str">
        <f t="shared" ca="1" si="167"/>
        <v>47 Tahun 10 bulan 19 Hari</v>
      </c>
      <c r="AF719" s="38">
        <f t="shared" si="169"/>
        <v>50710</v>
      </c>
      <c r="AG719" s="7"/>
    </row>
    <row r="720" spans="1:33" ht="30" customHeight="1" x14ac:dyDescent="0.35">
      <c r="A720" s="26">
        <f t="shared" si="163"/>
        <v>673</v>
      </c>
      <c r="B720" s="27" t="s">
        <v>2022</v>
      </c>
      <c r="C720" s="26"/>
      <c r="D720" s="60" t="s">
        <v>2036</v>
      </c>
      <c r="E720" s="24" t="s">
        <v>2037</v>
      </c>
      <c r="F720" s="24" t="s">
        <v>43</v>
      </c>
      <c r="G720" s="3" t="s">
        <v>2038</v>
      </c>
      <c r="H720" s="56" t="s">
        <v>1866</v>
      </c>
      <c r="I720" s="33" t="s">
        <v>86</v>
      </c>
      <c r="J720" s="47" t="s">
        <v>338</v>
      </c>
      <c r="K720" s="3" t="str">
        <f t="shared" ca="1" si="165"/>
        <v xml:space="preserve">2 Tahun 11 bulan </v>
      </c>
      <c r="L720" s="25" t="s">
        <v>200</v>
      </c>
      <c r="M720" s="47" t="s">
        <v>338</v>
      </c>
      <c r="N720" s="3" t="str">
        <f t="shared" ca="1" si="158"/>
        <v xml:space="preserve">2 Tahun 11 bulan </v>
      </c>
      <c r="O720" s="35"/>
      <c r="P720" s="4" t="s">
        <v>35</v>
      </c>
      <c r="Q720" s="4" t="str">
        <f t="shared" si="166"/>
        <v>Laki-Laki</v>
      </c>
      <c r="R720" s="4">
        <f t="shared" si="159"/>
        <v>1</v>
      </c>
      <c r="S720" s="4" t="str">
        <f t="shared" si="170"/>
        <v>1</v>
      </c>
      <c r="T720" s="4">
        <f t="shared" si="164"/>
        <v>0</v>
      </c>
      <c r="U720" s="29"/>
      <c r="V720" s="30" t="s">
        <v>50</v>
      </c>
      <c r="W720" s="30"/>
      <c r="X720" s="30"/>
      <c r="Y720" s="30"/>
      <c r="Z720" s="30"/>
      <c r="AA720" s="30"/>
      <c r="AB720" s="29"/>
      <c r="AC720" s="29"/>
      <c r="AD720" s="37">
        <f t="shared" si="168"/>
        <v>28718</v>
      </c>
      <c r="AE720" s="3" t="str">
        <f t="shared" ca="1" si="167"/>
        <v>48 Tahun 0 bulan 16 Hari</v>
      </c>
      <c r="AF720" s="38">
        <f t="shared" si="169"/>
        <v>50649</v>
      </c>
      <c r="AG720" s="7"/>
    </row>
    <row r="721" spans="1:33" ht="30" customHeight="1" x14ac:dyDescent="0.35">
      <c r="A721" s="26">
        <f t="shared" si="163"/>
        <v>674</v>
      </c>
      <c r="B721" s="27" t="s">
        <v>2022</v>
      </c>
      <c r="C721" s="26"/>
      <c r="D721" s="60" t="s">
        <v>2039</v>
      </c>
      <c r="E721" s="45" t="s">
        <v>2040</v>
      </c>
      <c r="F721" s="24" t="s">
        <v>43</v>
      </c>
      <c r="G721" s="44" t="s">
        <v>2041</v>
      </c>
      <c r="H721" s="56" t="s">
        <v>1823</v>
      </c>
      <c r="I721" s="33" t="s">
        <v>86</v>
      </c>
      <c r="J721" s="65" t="s">
        <v>338</v>
      </c>
      <c r="K721" s="3" t="str">
        <f t="shared" ca="1" si="165"/>
        <v xml:space="preserve">2 Tahun 11 bulan </v>
      </c>
      <c r="L721" s="36" t="s">
        <v>200</v>
      </c>
      <c r="M721" s="65" t="s">
        <v>338</v>
      </c>
      <c r="N721" s="3" t="str">
        <f t="shared" ca="1" si="158"/>
        <v xml:space="preserve">2 Tahun 11 bulan </v>
      </c>
      <c r="O721" s="35"/>
      <c r="P721" s="4" t="s">
        <v>35</v>
      </c>
      <c r="Q721" s="4" t="str">
        <f t="shared" si="166"/>
        <v>Laki-Laki</v>
      </c>
      <c r="R721" s="4">
        <f t="shared" si="159"/>
        <v>1</v>
      </c>
      <c r="S721" s="4" t="str">
        <f t="shared" si="170"/>
        <v>1</v>
      </c>
      <c r="T721" s="4">
        <f t="shared" si="164"/>
        <v>0</v>
      </c>
      <c r="U721" s="29"/>
      <c r="V721" s="30" t="s">
        <v>50</v>
      </c>
      <c r="W721" s="30"/>
      <c r="X721" s="30"/>
      <c r="Y721" s="30"/>
      <c r="Z721" s="30"/>
      <c r="AA721" s="30"/>
      <c r="AB721" s="29"/>
      <c r="AC721" s="29"/>
      <c r="AD721" s="37">
        <f t="shared" si="168"/>
        <v>27964</v>
      </c>
      <c r="AE721" s="3" t="str">
        <f t="shared" ca="1" si="167"/>
        <v>50 Tahun 1 bulan 9 Hari</v>
      </c>
      <c r="AF721" s="38">
        <f t="shared" si="169"/>
        <v>49888</v>
      </c>
      <c r="AG721" s="7"/>
    </row>
    <row r="722" spans="1:33" ht="30" customHeight="1" x14ac:dyDescent="0.35">
      <c r="A722" s="26">
        <f t="shared" si="163"/>
        <v>675</v>
      </c>
      <c r="B722" s="27" t="s">
        <v>2022</v>
      </c>
      <c r="C722" s="26"/>
      <c r="D722" s="111" t="s">
        <v>2042</v>
      </c>
      <c r="E722" s="45" t="s">
        <v>2043</v>
      </c>
      <c r="F722" s="24" t="s">
        <v>43</v>
      </c>
      <c r="G722" s="44" t="s">
        <v>2044</v>
      </c>
      <c r="H722" s="56" t="s">
        <v>621</v>
      </c>
      <c r="I722" s="36" t="s">
        <v>184</v>
      </c>
      <c r="J722" s="65" t="s">
        <v>1748</v>
      </c>
      <c r="K722" s="3" t="str">
        <f t="shared" ca="1" si="165"/>
        <v xml:space="preserve">9 Tahun 7 bulan </v>
      </c>
      <c r="L722" s="36" t="s">
        <v>200</v>
      </c>
      <c r="M722" s="65" t="s">
        <v>1748</v>
      </c>
      <c r="N722" s="3" t="str">
        <f t="shared" ca="1" si="158"/>
        <v xml:space="preserve">9 Tahun 7 bulan </v>
      </c>
      <c r="O722" s="36"/>
      <c r="P722" s="4" t="s">
        <v>35</v>
      </c>
      <c r="Q722" s="4" t="str">
        <f t="shared" si="166"/>
        <v>Laki-Laki</v>
      </c>
      <c r="R722" s="4">
        <f t="shared" si="159"/>
        <v>1</v>
      </c>
      <c r="S722" s="4" t="str">
        <f t="shared" si="170"/>
        <v>1</v>
      </c>
      <c r="T722" s="4">
        <f t="shared" si="164"/>
        <v>0</v>
      </c>
      <c r="U722" s="29"/>
      <c r="V722" s="30" t="s">
        <v>50</v>
      </c>
      <c r="W722" s="30"/>
      <c r="X722" s="30"/>
      <c r="Y722" s="30"/>
      <c r="Z722" s="30"/>
      <c r="AA722" s="30"/>
      <c r="AB722" s="29"/>
      <c r="AC722" s="29"/>
      <c r="AD722" s="37">
        <f t="shared" si="168"/>
        <v>29876</v>
      </c>
      <c r="AE722" s="3" t="str">
        <f t="shared" ca="1" si="167"/>
        <v>44 Tahun 10 bulan 15 Hari</v>
      </c>
      <c r="AF722" s="38">
        <f t="shared" si="169"/>
        <v>51806</v>
      </c>
      <c r="AG722" s="7"/>
    </row>
    <row r="723" spans="1:33" ht="30" customHeight="1" x14ac:dyDescent="0.35">
      <c r="A723" s="26">
        <f t="shared" si="163"/>
        <v>676</v>
      </c>
      <c r="B723" s="27" t="s">
        <v>2022</v>
      </c>
      <c r="C723" s="26"/>
      <c r="D723" s="60" t="s">
        <v>2045</v>
      </c>
      <c r="E723" s="45" t="s">
        <v>2046</v>
      </c>
      <c r="F723" s="24" t="s">
        <v>43</v>
      </c>
      <c r="G723" s="36" t="s">
        <v>2047</v>
      </c>
      <c r="H723" s="25" t="s">
        <v>274</v>
      </c>
      <c r="I723" s="36" t="s">
        <v>86</v>
      </c>
      <c r="J723" s="44" t="s">
        <v>565</v>
      </c>
      <c r="K723" s="3" t="str">
        <f t="shared" ca="1" si="165"/>
        <v xml:space="preserve">5 Tahun 9 bulan </v>
      </c>
      <c r="L723" s="36" t="s">
        <v>200</v>
      </c>
      <c r="M723" s="44" t="s">
        <v>565</v>
      </c>
      <c r="N723" s="3" t="str">
        <f t="shared" ca="1" si="158"/>
        <v xml:space="preserve">5 Tahun 9 bulan </v>
      </c>
      <c r="O723" s="36"/>
      <c r="P723" s="36" t="s">
        <v>35</v>
      </c>
      <c r="Q723" s="4" t="str">
        <f t="shared" si="166"/>
        <v>Laki-Laki</v>
      </c>
      <c r="R723" s="4">
        <f t="shared" si="159"/>
        <v>1</v>
      </c>
      <c r="S723" s="4" t="str">
        <f t="shared" si="170"/>
        <v>1</v>
      </c>
      <c r="T723" s="4">
        <f t="shared" si="164"/>
        <v>0</v>
      </c>
      <c r="U723" s="29"/>
      <c r="V723" s="30" t="s">
        <v>50</v>
      </c>
      <c r="W723" s="30"/>
      <c r="X723" s="30"/>
      <c r="Y723" s="30"/>
      <c r="Z723" s="30"/>
      <c r="AA723" s="30"/>
      <c r="AB723" s="29"/>
      <c r="AC723" s="29"/>
      <c r="AD723" s="37">
        <f t="shared" si="168"/>
        <v>28303</v>
      </c>
      <c r="AE723" s="3" t="str">
        <f t="shared" ca="1" si="167"/>
        <v>49 Tahun 2 bulan 5 Hari</v>
      </c>
      <c r="AF723" s="38">
        <f t="shared" si="169"/>
        <v>50222</v>
      </c>
      <c r="AG723" s="7"/>
    </row>
    <row r="724" spans="1:33" ht="30" customHeight="1" x14ac:dyDescent="0.35">
      <c r="A724" s="26">
        <f t="shared" si="163"/>
        <v>677</v>
      </c>
      <c r="B724" s="27" t="s">
        <v>2022</v>
      </c>
      <c r="C724" s="26"/>
      <c r="D724" s="111" t="s">
        <v>2048</v>
      </c>
      <c r="E724" s="45" t="s">
        <v>2049</v>
      </c>
      <c r="F724" s="24" t="s">
        <v>43</v>
      </c>
      <c r="G724" s="36" t="s">
        <v>2050</v>
      </c>
      <c r="H724" s="4" t="s">
        <v>337</v>
      </c>
      <c r="I724" s="48" t="s">
        <v>86</v>
      </c>
      <c r="J724" s="47" t="s">
        <v>338</v>
      </c>
      <c r="K724" s="3" t="str">
        <f t="shared" ca="1" si="165"/>
        <v xml:space="preserve">2 Tahun 11 bulan </v>
      </c>
      <c r="L724" s="36" t="s">
        <v>200</v>
      </c>
      <c r="M724" s="47" t="s">
        <v>338</v>
      </c>
      <c r="N724" s="3" t="str">
        <f t="shared" ca="1" si="158"/>
        <v xml:space="preserve">2 Tahun 11 bulan </v>
      </c>
      <c r="O724" s="36"/>
      <c r="P724" s="4" t="s">
        <v>35</v>
      </c>
      <c r="Q724" s="4" t="str">
        <f t="shared" si="166"/>
        <v>Laki-Laki</v>
      </c>
      <c r="R724" s="4">
        <f t="shared" si="159"/>
        <v>1</v>
      </c>
      <c r="S724" s="4" t="str">
        <f t="shared" si="170"/>
        <v>1</v>
      </c>
      <c r="T724" s="4">
        <f t="shared" si="164"/>
        <v>0</v>
      </c>
      <c r="U724" s="29"/>
      <c r="V724" s="30" t="s">
        <v>50</v>
      </c>
      <c r="W724" s="30"/>
      <c r="X724" s="30"/>
      <c r="Y724" s="30"/>
      <c r="Z724" s="30"/>
      <c r="AA724" s="30"/>
      <c r="AB724" s="29"/>
      <c r="AC724" s="29"/>
      <c r="AD724" s="37">
        <f t="shared" si="168"/>
        <v>30108</v>
      </c>
      <c r="AE724" s="3" t="str">
        <f t="shared" ca="1" si="167"/>
        <v>44 Tahun 2 bulan 26 Hari</v>
      </c>
      <c r="AF724" s="38">
        <f t="shared" si="169"/>
        <v>52048</v>
      </c>
      <c r="AG724" s="7"/>
    </row>
    <row r="725" spans="1:33" ht="22.5" customHeight="1" x14ac:dyDescent="0.35">
      <c r="A725" s="26"/>
      <c r="B725" s="27" t="s">
        <v>2051</v>
      </c>
      <c r="C725" s="280" t="s">
        <v>2052</v>
      </c>
      <c r="D725" s="281"/>
      <c r="E725" s="24"/>
      <c r="F725" s="24"/>
      <c r="G725" s="4"/>
      <c r="H725" s="4"/>
      <c r="I725" s="33"/>
      <c r="J725" s="5"/>
      <c r="K725" s="3" t="str">
        <f t="shared" ca="1" si="165"/>
        <v/>
      </c>
      <c r="L725" s="30"/>
      <c r="M725" s="5"/>
      <c r="N725" s="3" t="str">
        <f t="shared" ca="1" si="158"/>
        <v/>
      </c>
      <c r="O725" s="4"/>
      <c r="P725" s="4"/>
      <c r="Q725" s="4"/>
      <c r="R725" s="4"/>
      <c r="S725" s="4"/>
      <c r="T725" s="4"/>
      <c r="U725" s="29"/>
      <c r="V725" s="30"/>
      <c r="W725" s="30"/>
      <c r="X725" s="30"/>
      <c r="Y725" s="30"/>
      <c r="Z725" s="29"/>
      <c r="AA725" s="29"/>
      <c r="AB725" s="29"/>
      <c r="AC725" s="29"/>
      <c r="AD725" s="37" t="str">
        <f t="shared" si="168"/>
        <v/>
      </c>
      <c r="AE725" s="3" t="str">
        <f t="shared" ca="1" si="167"/>
        <v/>
      </c>
      <c r="AF725" s="38" t="str">
        <f t="shared" si="169"/>
        <v/>
      </c>
      <c r="AG725" s="7"/>
    </row>
    <row r="726" spans="1:33" ht="32.15" customHeight="1" x14ac:dyDescent="0.35">
      <c r="A726" s="26">
        <f>A724+1</f>
        <v>678</v>
      </c>
      <c r="B726" s="27" t="s">
        <v>2051</v>
      </c>
      <c r="C726" s="282" t="s">
        <v>2053</v>
      </c>
      <c r="D726" s="283"/>
      <c r="E726" s="24" t="s">
        <v>3036</v>
      </c>
      <c r="F726" s="24" t="s">
        <v>43</v>
      </c>
      <c r="G726" s="3" t="s">
        <v>920</v>
      </c>
      <c r="H726" s="4" t="s">
        <v>345</v>
      </c>
      <c r="I726" s="4"/>
      <c r="J726" s="82">
        <v>46260</v>
      </c>
      <c r="K726" s="3" t="str">
        <f t="shared" ca="1" si="165"/>
        <v xml:space="preserve">0 Tahun 0 bulan </v>
      </c>
      <c r="L726" s="36" t="s">
        <v>79</v>
      </c>
      <c r="M726" s="53">
        <v>46260</v>
      </c>
      <c r="N726" s="3" t="str">
        <f t="shared" ca="1" si="158"/>
        <v xml:space="preserve">0 Tahun 0 bulan </v>
      </c>
      <c r="O726" s="4"/>
      <c r="P726" s="4" t="s">
        <v>35</v>
      </c>
      <c r="Q726" s="4" t="str">
        <f t="shared" si="166"/>
        <v>Laki-Laki</v>
      </c>
      <c r="R726" s="4">
        <f>R724</f>
        <v>1</v>
      </c>
      <c r="S726" s="4" t="str">
        <f t="shared" ref="S726:S734" si="171">IF(E726="LOWONG","0","1")</f>
        <v>1</v>
      </c>
      <c r="T726" s="4">
        <f t="shared" si="164"/>
        <v>0</v>
      </c>
      <c r="U726" s="29"/>
      <c r="V726" s="30" t="s">
        <v>50</v>
      </c>
      <c r="W726" s="30"/>
      <c r="X726" s="30"/>
      <c r="Y726" s="30"/>
      <c r="Z726" s="30"/>
      <c r="AA726" s="30"/>
      <c r="AB726" s="29"/>
      <c r="AC726" s="29"/>
      <c r="AD726" s="37">
        <f t="shared" si="168"/>
        <v>30107</v>
      </c>
      <c r="AE726" s="3" t="str">
        <f t="shared" ca="1" si="167"/>
        <v>44 Tahun 2 bulan 27 Hari</v>
      </c>
      <c r="AF726" s="38">
        <f t="shared" si="169"/>
        <v>52048</v>
      </c>
      <c r="AG726" s="7"/>
    </row>
    <row r="727" spans="1:33" ht="32.15" customHeight="1" x14ac:dyDescent="0.35">
      <c r="A727" s="26">
        <f t="shared" si="163"/>
        <v>679</v>
      </c>
      <c r="B727" s="27" t="s">
        <v>2051</v>
      </c>
      <c r="C727" s="282" t="s">
        <v>2054</v>
      </c>
      <c r="D727" s="283"/>
      <c r="E727" s="24" t="s">
        <v>2055</v>
      </c>
      <c r="F727" s="24" t="s">
        <v>43</v>
      </c>
      <c r="G727" s="3" t="s">
        <v>2056</v>
      </c>
      <c r="H727" s="4" t="s">
        <v>1488</v>
      </c>
      <c r="I727" s="4" t="s">
        <v>107</v>
      </c>
      <c r="J727" s="82" t="s">
        <v>338</v>
      </c>
      <c r="K727" s="3" t="str">
        <f t="shared" ca="1" si="165"/>
        <v xml:space="preserve">2 Tahun 11 bulan </v>
      </c>
      <c r="L727" s="36" t="s">
        <v>346</v>
      </c>
      <c r="M727" s="82" t="s">
        <v>338</v>
      </c>
      <c r="N727" s="3" t="str">
        <f t="shared" ca="1" si="158"/>
        <v xml:space="preserve">2 Tahun 11 bulan </v>
      </c>
      <c r="O727" s="35"/>
      <c r="P727" s="4" t="s">
        <v>35</v>
      </c>
      <c r="Q727" s="4" t="str">
        <f t="shared" si="166"/>
        <v>Laki-Laki</v>
      </c>
      <c r="R727" s="4">
        <f t="shared" si="159"/>
        <v>1</v>
      </c>
      <c r="S727" s="4" t="str">
        <f t="shared" si="171"/>
        <v>1</v>
      </c>
      <c r="T727" s="4">
        <f t="shared" si="164"/>
        <v>0</v>
      </c>
      <c r="U727" s="29"/>
      <c r="V727" s="30" t="s">
        <v>50</v>
      </c>
      <c r="W727" s="30"/>
      <c r="X727" s="30"/>
      <c r="Y727" s="30"/>
      <c r="Z727" s="30"/>
      <c r="AA727" s="30"/>
      <c r="AB727" s="29"/>
      <c r="AC727" s="29"/>
      <c r="AD727" s="37">
        <f t="shared" si="168"/>
        <v>26301</v>
      </c>
      <c r="AE727" s="3" t="str">
        <f t="shared" ca="1" si="167"/>
        <v>54 Tahun 7 bulan 29 Hari</v>
      </c>
      <c r="AF727" s="38">
        <f t="shared" si="169"/>
        <v>48245</v>
      </c>
      <c r="AG727" s="7"/>
    </row>
    <row r="728" spans="1:33" ht="27" customHeight="1" x14ac:dyDescent="0.35">
      <c r="A728" s="26">
        <f t="shared" si="163"/>
        <v>680</v>
      </c>
      <c r="B728" s="27" t="s">
        <v>2051</v>
      </c>
      <c r="C728" s="26"/>
      <c r="D728" s="111" t="s">
        <v>2057</v>
      </c>
      <c r="E728" s="45" t="s">
        <v>108</v>
      </c>
      <c r="F728" s="24"/>
      <c r="G728" s="44"/>
      <c r="H728" s="36"/>
      <c r="I728" s="36"/>
      <c r="J728" s="47"/>
      <c r="K728" s="3" t="str">
        <f t="shared" ca="1" si="165"/>
        <v/>
      </c>
      <c r="L728" s="36" t="s">
        <v>1749</v>
      </c>
      <c r="M728" s="47"/>
      <c r="N728" s="3" t="str">
        <f t="shared" ca="1" si="158"/>
        <v/>
      </c>
      <c r="O728" s="36"/>
      <c r="P728" s="4" t="s">
        <v>35</v>
      </c>
      <c r="Q728" s="4" t="str">
        <f t="shared" si="166"/>
        <v/>
      </c>
      <c r="R728" s="4">
        <f t="shared" si="159"/>
        <v>1</v>
      </c>
      <c r="S728" s="4" t="str">
        <f t="shared" si="171"/>
        <v>0</v>
      </c>
      <c r="T728" s="4">
        <f t="shared" si="164"/>
        <v>1</v>
      </c>
      <c r="U728" s="29"/>
      <c r="V728" s="30" t="s">
        <v>50</v>
      </c>
      <c r="W728" s="30"/>
      <c r="X728" s="30"/>
      <c r="Y728" s="30"/>
      <c r="Z728" s="30"/>
      <c r="AA728" s="30"/>
      <c r="AB728" s="29"/>
      <c r="AC728" s="29"/>
      <c r="AD728" s="37" t="str">
        <f t="shared" si="168"/>
        <v/>
      </c>
      <c r="AE728" s="3" t="str">
        <f t="shared" ca="1" si="167"/>
        <v/>
      </c>
      <c r="AF728" s="38" t="str">
        <f t="shared" si="169"/>
        <v/>
      </c>
    </row>
    <row r="729" spans="1:33" ht="27" customHeight="1" x14ac:dyDescent="0.35">
      <c r="A729" s="26">
        <f t="shared" si="163"/>
        <v>681</v>
      </c>
      <c r="B729" s="27" t="s">
        <v>2051</v>
      </c>
      <c r="C729" s="26"/>
      <c r="D729" s="111" t="s">
        <v>2059</v>
      </c>
      <c r="E729" s="24" t="s">
        <v>2060</v>
      </c>
      <c r="F729" s="24" t="s">
        <v>43</v>
      </c>
      <c r="G729" s="3" t="s">
        <v>2061</v>
      </c>
      <c r="H729" s="36" t="s">
        <v>414</v>
      </c>
      <c r="I729" s="36" t="s">
        <v>107</v>
      </c>
      <c r="J729" s="47" t="s">
        <v>386</v>
      </c>
      <c r="K729" s="3" t="str">
        <f t="shared" ca="1" si="165"/>
        <v xml:space="preserve">5 Tahun 5 bulan </v>
      </c>
      <c r="L729" s="36" t="s">
        <v>1749</v>
      </c>
      <c r="M729" s="47" t="s">
        <v>386</v>
      </c>
      <c r="N729" s="3" t="str">
        <f t="shared" ca="1" si="158"/>
        <v xml:space="preserve">5 Tahun 5 bulan </v>
      </c>
      <c r="O729" s="4"/>
      <c r="P729" s="4" t="s">
        <v>35</v>
      </c>
      <c r="Q729" s="4" t="str">
        <f t="shared" si="166"/>
        <v>Perempuan</v>
      </c>
      <c r="R729" s="4">
        <f t="shared" si="159"/>
        <v>1</v>
      </c>
      <c r="S729" s="4" t="str">
        <f t="shared" si="171"/>
        <v>1</v>
      </c>
      <c r="T729" s="4">
        <f t="shared" si="164"/>
        <v>0</v>
      </c>
      <c r="U729" s="29"/>
      <c r="V729" s="30"/>
      <c r="W729" s="30"/>
      <c r="X729" s="30"/>
      <c r="Y729" s="30"/>
      <c r="Z729" s="30"/>
      <c r="AA729" s="30"/>
      <c r="AB729" s="29"/>
      <c r="AC729" s="29"/>
      <c r="AD729" s="37">
        <f t="shared" si="168"/>
        <v>29248</v>
      </c>
      <c r="AE729" s="3" t="str">
        <f t="shared" ca="1" si="167"/>
        <v>46 Tahun 7 bulan 4 Hari</v>
      </c>
      <c r="AF729" s="38">
        <f t="shared" si="169"/>
        <v>51167</v>
      </c>
      <c r="AG729" s="7"/>
    </row>
    <row r="730" spans="1:33" ht="27" customHeight="1" x14ac:dyDescent="0.35">
      <c r="A730" s="26">
        <f t="shared" si="163"/>
        <v>682</v>
      </c>
      <c r="B730" s="27" t="s">
        <v>2051</v>
      </c>
      <c r="C730" s="26"/>
      <c r="D730" s="60" t="s">
        <v>2062</v>
      </c>
      <c r="E730" s="45" t="s">
        <v>2063</v>
      </c>
      <c r="F730" s="24" t="s">
        <v>43</v>
      </c>
      <c r="G730" s="44" t="s">
        <v>2064</v>
      </c>
      <c r="H730" s="4" t="s">
        <v>135</v>
      </c>
      <c r="I730" s="36" t="s">
        <v>86</v>
      </c>
      <c r="J730" s="82" t="s">
        <v>354</v>
      </c>
      <c r="K730" s="3" t="str">
        <f t="shared" ca="1" si="165"/>
        <v xml:space="preserve">6 Tahun 9 bulan </v>
      </c>
      <c r="L730" s="36" t="s">
        <v>200</v>
      </c>
      <c r="M730" s="82" t="s">
        <v>354</v>
      </c>
      <c r="N730" s="3" t="str">
        <f t="shared" ca="1" si="158"/>
        <v xml:space="preserve">6 Tahun 9 bulan </v>
      </c>
      <c r="O730" s="36"/>
      <c r="P730" s="4" t="s">
        <v>35</v>
      </c>
      <c r="Q730" s="4" t="str">
        <f t="shared" si="166"/>
        <v>Laki-Laki</v>
      </c>
      <c r="R730" s="4">
        <f t="shared" si="159"/>
        <v>1</v>
      </c>
      <c r="S730" s="4" t="str">
        <f t="shared" si="171"/>
        <v>1</v>
      </c>
      <c r="T730" s="4">
        <f t="shared" si="164"/>
        <v>0</v>
      </c>
      <c r="U730" s="29"/>
      <c r="V730" s="30" t="s">
        <v>50</v>
      </c>
      <c r="W730" s="30"/>
      <c r="X730" s="30"/>
      <c r="Y730" s="30"/>
      <c r="Z730" s="30"/>
      <c r="AA730" s="30"/>
      <c r="AB730" s="29"/>
      <c r="AC730" s="29"/>
      <c r="AD730" s="37">
        <f t="shared" si="168"/>
        <v>28265</v>
      </c>
      <c r="AE730" s="3" t="str">
        <f t="shared" ca="1" si="167"/>
        <v>49 Tahun 3 bulan 12 Hari</v>
      </c>
      <c r="AF730" s="38">
        <f t="shared" si="169"/>
        <v>50192</v>
      </c>
      <c r="AG730" s="7"/>
    </row>
    <row r="731" spans="1:33" ht="27" customHeight="1" x14ac:dyDescent="0.35">
      <c r="A731" s="26">
        <f t="shared" si="163"/>
        <v>683</v>
      </c>
      <c r="B731" s="27" t="s">
        <v>2051</v>
      </c>
      <c r="C731" s="26"/>
      <c r="D731" s="60" t="s">
        <v>2065</v>
      </c>
      <c r="E731" s="45" t="s">
        <v>3075</v>
      </c>
      <c r="F731" s="24" t="s">
        <v>43</v>
      </c>
      <c r="G731" s="36" t="s">
        <v>3076</v>
      </c>
      <c r="H731" s="4" t="s">
        <v>329</v>
      </c>
      <c r="I731" s="25" t="s">
        <v>778</v>
      </c>
      <c r="J731" s="81">
        <v>46260</v>
      </c>
      <c r="K731" s="3" t="str">
        <f t="shared" ca="1" si="165"/>
        <v xml:space="preserve">0 Tahun 0 bulan </v>
      </c>
      <c r="L731" s="36" t="s">
        <v>200</v>
      </c>
      <c r="M731" s="81"/>
      <c r="N731" s="3" t="str">
        <f t="shared" ca="1" si="158"/>
        <v/>
      </c>
      <c r="O731" s="36"/>
      <c r="P731" s="4" t="s">
        <v>35</v>
      </c>
      <c r="Q731" s="4" t="str">
        <f t="shared" si="166"/>
        <v>Laki-Laki</v>
      </c>
      <c r="R731" s="4">
        <f t="shared" si="159"/>
        <v>1</v>
      </c>
      <c r="S731" s="4" t="str">
        <f t="shared" si="171"/>
        <v>1</v>
      </c>
      <c r="T731" s="4">
        <f t="shared" si="164"/>
        <v>0</v>
      </c>
      <c r="U731" s="29"/>
      <c r="V731" s="30" t="s">
        <v>50</v>
      </c>
      <c r="W731" s="30"/>
      <c r="X731" s="30"/>
      <c r="Y731" s="30"/>
      <c r="Z731" s="30"/>
      <c r="AA731" s="30"/>
      <c r="AB731" s="29"/>
      <c r="AC731" s="29"/>
      <c r="AD731" s="37">
        <f t="shared" si="168"/>
        <v>27276</v>
      </c>
      <c r="AE731" s="3" t="str">
        <f t="shared" ca="1" si="167"/>
        <v>51 Tahun 11 bulan 28 Hari</v>
      </c>
      <c r="AF731" s="38">
        <f t="shared" si="169"/>
        <v>49218</v>
      </c>
      <c r="AG731" s="7"/>
    </row>
    <row r="732" spans="1:33" ht="27" customHeight="1" x14ac:dyDescent="0.35">
      <c r="A732" s="26">
        <f t="shared" si="163"/>
        <v>684</v>
      </c>
      <c r="B732" s="27" t="s">
        <v>2051</v>
      </c>
      <c r="C732" s="26"/>
      <c r="D732" s="60" t="s">
        <v>2066</v>
      </c>
      <c r="E732" s="45" t="s">
        <v>2067</v>
      </c>
      <c r="F732" s="24" t="s">
        <v>43</v>
      </c>
      <c r="G732" s="44" t="s">
        <v>2068</v>
      </c>
      <c r="H732" s="4" t="s">
        <v>554</v>
      </c>
      <c r="I732" s="25" t="s">
        <v>1736</v>
      </c>
      <c r="J732" s="81" t="s">
        <v>199</v>
      </c>
      <c r="K732" s="3" t="str">
        <f t="shared" ca="1" si="165"/>
        <v xml:space="preserve">3 Tahun 11 bulan </v>
      </c>
      <c r="L732" s="36" t="s">
        <v>200</v>
      </c>
      <c r="M732" s="81" t="s">
        <v>199</v>
      </c>
      <c r="N732" s="3" t="str">
        <f t="shared" ca="1" si="158"/>
        <v xml:space="preserve">3 Tahun 11 bulan </v>
      </c>
      <c r="O732" s="36"/>
      <c r="P732" s="4" t="s">
        <v>35</v>
      </c>
      <c r="Q732" s="4" t="str">
        <f t="shared" si="166"/>
        <v/>
      </c>
      <c r="R732" s="4">
        <f t="shared" si="159"/>
        <v>1</v>
      </c>
      <c r="S732" s="4" t="str">
        <f t="shared" si="171"/>
        <v>1</v>
      </c>
      <c r="T732" s="4">
        <f t="shared" si="164"/>
        <v>0</v>
      </c>
      <c r="U732" s="29"/>
      <c r="V732" s="30"/>
      <c r="W732" s="30"/>
      <c r="X732" s="30"/>
      <c r="Y732" s="30"/>
      <c r="Z732" s="30"/>
      <c r="AA732" s="30"/>
      <c r="AB732" s="29"/>
      <c r="AC732" s="29"/>
      <c r="AD732" s="37">
        <f t="shared" si="168"/>
        <v>27938</v>
      </c>
      <c r="AE732" s="3" t="str">
        <f t="shared" ca="1" si="167"/>
        <v>50 Tahun 2 bulan 5 Hari</v>
      </c>
      <c r="AF732" s="38">
        <f t="shared" si="169"/>
        <v>49857</v>
      </c>
      <c r="AG732" s="7"/>
    </row>
    <row r="733" spans="1:33" ht="27" customHeight="1" x14ac:dyDescent="0.35">
      <c r="A733" s="26">
        <f t="shared" si="163"/>
        <v>685</v>
      </c>
      <c r="B733" s="27" t="s">
        <v>2051</v>
      </c>
      <c r="C733" s="26"/>
      <c r="D733" s="60" t="s">
        <v>2069</v>
      </c>
      <c r="E733" s="51" t="s">
        <v>2070</v>
      </c>
      <c r="F733" s="24" t="s">
        <v>43</v>
      </c>
      <c r="G733" s="59" t="s">
        <v>2071</v>
      </c>
      <c r="H733" s="4" t="s">
        <v>135</v>
      </c>
      <c r="I733" s="33" t="s">
        <v>46</v>
      </c>
      <c r="J733" s="47" t="s">
        <v>386</v>
      </c>
      <c r="K733" s="3" t="str">
        <f t="shared" ca="1" si="165"/>
        <v xml:space="preserve">5 Tahun 5 bulan </v>
      </c>
      <c r="L733" s="36" t="s">
        <v>200</v>
      </c>
      <c r="M733" s="47" t="s">
        <v>386</v>
      </c>
      <c r="N733" s="3" t="str">
        <f t="shared" ca="1" si="158"/>
        <v xml:space="preserve">5 Tahun 5 bulan </v>
      </c>
      <c r="O733" s="4"/>
      <c r="P733" s="4" t="s">
        <v>35</v>
      </c>
      <c r="Q733" s="4" t="str">
        <f t="shared" si="166"/>
        <v>Perempuan</v>
      </c>
      <c r="R733" s="4">
        <f t="shared" si="159"/>
        <v>1</v>
      </c>
      <c r="S733" s="4" t="str">
        <f t="shared" si="171"/>
        <v>1</v>
      </c>
      <c r="T733" s="4">
        <f t="shared" si="164"/>
        <v>0</v>
      </c>
      <c r="U733" s="29"/>
      <c r="V733" s="30"/>
      <c r="W733" s="30"/>
      <c r="X733" s="30"/>
      <c r="Y733" s="30"/>
      <c r="Z733" s="30"/>
      <c r="AA733" s="30"/>
      <c r="AB733" s="29"/>
      <c r="AC733" s="29"/>
      <c r="AD733" s="37">
        <f t="shared" si="168"/>
        <v>30063</v>
      </c>
      <c r="AE733" s="3" t="str">
        <f t="shared" ca="1" si="167"/>
        <v>44 Tahun 4 bulan 10 Hari</v>
      </c>
      <c r="AF733" s="38">
        <f t="shared" si="169"/>
        <v>51987</v>
      </c>
      <c r="AG733" s="7"/>
    </row>
    <row r="734" spans="1:33" ht="27" customHeight="1" x14ac:dyDescent="0.35">
      <c r="A734" s="26">
        <f t="shared" si="163"/>
        <v>686</v>
      </c>
      <c r="B734" s="27" t="s">
        <v>2051</v>
      </c>
      <c r="C734" s="26"/>
      <c r="D734" s="60" t="s">
        <v>2072</v>
      </c>
      <c r="E734" s="45" t="s">
        <v>2911</v>
      </c>
      <c r="F734" s="24" t="s">
        <v>43</v>
      </c>
      <c r="G734" s="44" t="s">
        <v>2912</v>
      </c>
      <c r="H734" s="4" t="s">
        <v>2913</v>
      </c>
      <c r="I734" s="36" t="s">
        <v>2910</v>
      </c>
      <c r="J734" s="81">
        <v>46132</v>
      </c>
      <c r="K734" s="3" t="str">
        <f t="shared" ca="1" si="165"/>
        <v xml:space="preserve">0 Tahun 4 bulan </v>
      </c>
      <c r="L734" s="36" t="s">
        <v>200</v>
      </c>
      <c r="M734" s="81">
        <v>46132</v>
      </c>
      <c r="N734" s="3" t="str">
        <f t="shared" ca="1" si="158"/>
        <v xml:space="preserve">0 Tahun 4 bulan </v>
      </c>
      <c r="O734" s="36"/>
      <c r="P734" s="4" t="s">
        <v>35</v>
      </c>
      <c r="Q734" s="4" t="str">
        <f t="shared" si="166"/>
        <v>Perempuan</v>
      </c>
      <c r="R734" s="4">
        <f t="shared" si="159"/>
        <v>1</v>
      </c>
      <c r="S734" s="4" t="str">
        <f t="shared" si="171"/>
        <v>1</v>
      </c>
      <c r="T734" s="4">
        <f t="shared" si="164"/>
        <v>0</v>
      </c>
      <c r="U734" s="29"/>
      <c r="V734" s="30"/>
      <c r="W734" s="30"/>
      <c r="X734" s="30"/>
      <c r="Y734" s="30"/>
      <c r="Z734" s="30"/>
      <c r="AA734" s="30"/>
      <c r="AB734" s="29"/>
      <c r="AC734" s="29"/>
      <c r="AD734" s="37">
        <f t="shared" si="168"/>
        <v>30559</v>
      </c>
      <c r="AE734" s="3" t="str">
        <f t="shared" ca="1" si="167"/>
        <v>43 Tahun 0 bulan 1 Hari</v>
      </c>
      <c r="AF734" s="38">
        <f t="shared" si="169"/>
        <v>52475</v>
      </c>
      <c r="AG734" s="7"/>
    </row>
    <row r="735" spans="1:33" ht="35.4" customHeight="1" x14ac:dyDescent="0.35">
      <c r="A735" s="26"/>
      <c r="B735" s="27" t="s">
        <v>2073</v>
      </c>
      <c r="C735" s="280" t="s">
        <v>2074</v>
      </c>
      <c r="D735" s="281"/>
      <c r="E735" s="24"/>
      <c r="F735" s="24"/>
      <c r="G735" s="4"/>
      <c r="H735" s="4"/>
      <c r="I735" s="33"/>
      <c r="J735" s="5"/>
      <c r="K735" s="3" t="str">
        <f t="shared" ca="1" si="165"/>
        <v/>
      </c>
      <c r="L735" s="30"/>
      <c r="M735" s="5"/>
      <c r="N735" s="3" t="str">
        <f t="shared" ca="1" si="158"/>
        <v/>
      </c>
      <c r="O735" s="4"/>
      <c r="P735" s="4"/>
      <c r="Q735" s="4"/>
      <c r="R735" s="4"/>
      <c r="S735" s="4"/>
      <c r="T735" s="4"/>
      <c r="U735" s="29"/>
      <c r="V735" s="30"/>
      <c r="W735" s="30"/>
      <c r="X735" s="30"/>
      <c r="Y735" s="30"/>
      <c r="Z735" s="29"/>
      <c r="AA735" s="29"/>
      <c r="AB735" s="29"/>
      <c r="AC735" s="29"/>
      <c r="AD735" s="37" t="str">
        <f t="shared" si="168"/>
        <v/>
      </c>
      <c r="AE735" s="3" t="str">
        <f t="shared" ca="1" si="167"/>
        <v/>
      </c>
      <c r="AF735" s="38" t="str">
        <f t="shared" si="169"/>
        <v/>
      </c>
      <c r="AG735" s="7"/>
    </row>
    <row r="736" spans="1:33" ht="32.15" customHeight="1" x14ac:dyDescent="0.35">
      <c r="A736" s="26">
        <f>A734+1</f>
        <v>687</v>
      </c>
      <c r="B736" s="27" t="s">
        <v>2073</v>
      </c>
      <c r="C736" s="282" t="s">
        <v>2075</v>
      </c>
      <c r="D736" s="283"/>
      <c r="E736" s="45" t="s">
        <v>2881</v>
      </c>
      <c r="F736" s="24" t="s">
        <v>43</v>
      </c>
      <c r="G736" s="44" t="s">
        <v>406</v>
      </c>
      <c r="H736" s="44" t="s">
        <v>181</v>
      </c>
      <c r="I736" s="44" t="s">
        <v>415</v>
      </c>
      <c r="J736" s="81">
        <v>46087</v>
      </c>
      <c r="K736" s="3" t="str">
        <f t="shared" ca="1" si="165"/>
        <v xml:space="preserve">0 Tahun 5 bulan </v>
      </c>
      <c r="L736" s="36" t="s">
        <v>79</v>
      </c>
      <c r="M736" s="81">
        <v>46087</v>
      </c>
      <c r="N736" s="3" t="str">
        <f t="shared" ca="1" si="158"/>
        <v xml:space="preserve">0 Tahun 5 bulan </v>
      </c>
      <c r="O736" s="4"/>
      <c r="P736" s="4" t="str">
        <f t="shared" ref="P736" si="172">P717</f>
        <v>Islam</v>
      </c>
      <c r="Q736" s="4" t="str">
        <f t="shared" si="166"/>
        <v>Laki-Laki</v>
      </c>
      <c r="R736" s="4">
        <f>R734</f>
        <v>1</v>
      </c>
      <c r="S736" s="4" t="str">
        <f t="shared" ref="S736:S744" si="173">IF(E736="LOWONG","0","1")</f>
        <v>1</v>
      </c>
      <c r="T736" s="4">
        <f t="shared" si="164"/>
        <v>0</v>
      </c>
      <c r="U736" s="117"/>
      <c r="V736" s="30" t="s">
        <v>50</v>
      </c>
      <c r="W736" s="30"/>
      <c r="X736" s="30"/>
      <c r="Y736" s="30"/>
      <c r="Z736" s="30"/>
      <c r="AA736" s="30"/>
      <c r="AB736" s="29"/>
      <c r="AC736" s="29"/>
      <c r="AD736" s="37">
        <f t="shared" si="168"/>
        <v>28801</v>
      </c>
      <c r="AE736" s="3" t="str">
        <f t="shared" ca="1" si="167"/>
        <v>47 Tahun 9 bulan 25 Hari</v>
      </c>
      <c r="AF736" s="38">
        <f t="shared" si="169"/>
        <v>50740</v>
      </c>
      <c r="AG736" s="7"/>
    </row>
    <row r="737" spans="1:32" s="7" customFormat="1" ht="32.15" customHeight="1" x14ac:dyDescent="0.35">
      <c r="A737" s="26">
        <f t="shared" si="163"/>
        <v>688</v>
      </c>
      <c r="B737" s="27" t="s">
        <v>2073</v>
      </c>
      <c r="C737" s="282" t="s">
        <v>2076</v>
      </c>
      <c r="D737" s="283"/>
      <c r="E737" s="57" t="s">
        <v>2077</v>
      </c>
      <c r="F737" s="24" t="s">
        <v>43</v>
      </c>
      <c r="G737" s="4" t="s">
        <v>2078</v>
      </c>
      <c r="H737" s="44" t="s">
        <v>159</v>
      </c>
      <c r="I737" s="4" t="s">
        <v>67</v>
      </c>
      <c r="J737" s="81" t="s">
        <v>237</v>
      </c>
      <c r="K737" s="3" t="str">
        <f t="shared" ca="1" si="165"/>
        <v xml:space="preserve">4 Tahun 7 bulan </v>
      </c>
      <c r="L737" s="30" t="s">
        <v>346</v>
      </c>
      <c r="M737" s="81" t="s">
        <v>237</v>
      </c>
      <c r="N737" s="3" t="str">
        <f t="shared" ca="1" si="158"/>
        <v xml:space="preserve">4 Tahun 7 bulan </v>
      </c>
      <c r="O737" s="4"/>
      <c r="P737" s="4" t="s">
        <v>35</v>
      </c>
      <c r="Q737" s="4" t="str">
        <f t="shared" si="166"/>
        <v>Laki-Laki</v>
      </c>
      <c r="R737" s="4">
        <f t="shared" si="159"/>
        <v>1</v>
      </c>
      <c r="S737" s="4" t="str">
        <f t="shared" si="173"/>
        <v>1</v>
      </c>
      <c r="T737" s="4">
        <f t="shared" si="164"/>
        <v>0</v>
      </c>
      <c r="U737" s="117"/>
      <c r="V737" s="30" t="s">
        <v>50</v>
      </c>
      <c r="W737" s="30"/>
      <c r="X737" s="30"/>
      <c r="Y737" s="30"/>
      <c r="Z737" s="30"/>
      <c r="AA737" s="30"/>
      <c r="AB737" s="29"/>
      <c r="AC737" s="29"/>
      <c r="AD737" s="37">
        <f t="shared" si="168"/>
        <v>28726</v>
      </c>
      <c r="AE737" s="3" t="str">
        <f t="shared" ca="1" si="167"/>
        <v>48 Tahun 0 bulan 8 Hari</v>
      </c>
      <c r="AF737" s="38">
        <f t="shared" si="169"/>
        <v>50649</v>
      </c>
    </row>
    <row r="738" spans="1:32" s="7" customFormat="1" ht="32.15" customHeight="1" x14ac:dyDescent="0.35">
      <c r="A738" s="26">
        <f t="shared" si="163"/>
        <v>689</v>
      </c>
      <c r="B738" s="27" t="s">
        <v>2073</v>
      </c>
      <c r="C738" s="26"/>
      <c r="D738" s="111" t="s">
        <v>2079</v>
      </c>
      <c r="E738" s="24" t="s">
        <v>2080</v>
      </c>
      <c r="F738" s="24" t="s">
        <v>43</v>
      </c>
      <c r="G738" s="4" t="s">
        <v>2081</v>
      </c>
      <c r="H738" s="4" t="s">
        <v>891</v>
      </c>
      <c r="I738" s="4" t="s">
        <v>86</v>
      </c>
      <c r="J738" s="47" t="s">
        <v>711</v>
      </c>
      <c r="K738" s="3" t="str">
        <f t="shared" ca="1" si="165"/>
        <v xml:space="preserve">4 Tahun 11 bulan </v>
      </c>
      <c r="L738" s="36" t="s">
        <v>1749</v>
      </c>
      <c r="M738" s="47" t="s">
        <v>711</v>
      </c>
      <c r="N738" s="3" t="str">
        <f t="shared" ca="1" si="158"/>
        <v xml:space="preserve">4 Tahun 11 bulan </v>
      </c>
      <c r="O738" s="36"/>
      <c r="P738" s="4" t="s">
        <v>35</v>
      </c>
      <c r="Q738" s="4" t="str">
        <f t="shared" si="166"/>
        <v>Perempuan</v>
      </c>
      <c r="R738" s="4">
        <f t="shared" si="159"/>
        <v>1</v>
      </c>
      <c r="S738" s="4" t="str">
        <f t="shared" si="173"/>
        <v>1</v>
      </c>
      <c r="T738" s="4">
        <f t="shared" si="164"/>
        <v>0</v>
      </c>
      <c r="U738" s="29"/>
      <c r="V738" s="30"/>
      <c r="W738" s="30"/>
      <c r="X738" s="30"/>
      <c r="Y738" s="30"/>
      <c r="Z738" s="30"/>
      <c r="AA738" s="30"/>
      <c r="AB738" s="29"/>
      <c r="AC738" s="29"/>
      <c r="AD738" s="37">
        <f t="shared" si="168"/>
        <v>30632</v>
      </c>
      <c r="AE738" s="3" t="str">
        <f t="shared" ca="1" si="167"/>
        <v>42 Tahun 9 bulan 20 Hari</v>
      </c>
      <c r="AF738" s="38">
        <f t="shared" si="169"/>
        <v>52566</v>
      </c>
    </row>
    <row r="739" spans="1:32" s="7" customFormat="1" ht="32.15" customHeight="1" x14ac:dyDescent="0.35">
      <c r="A739" s="26">
        <f t="shared" si="163"/>
        <v>690</v>
      </c>
      <c r="B739" s="27" t="s">
        <v>2073</v>
      </c>
      <c r="C739" s="26"/>
      <c r="D739" s="111" t="s">
        <v>2082</v>
      </c>
      <c r="E739" s="45" t="s">
        <v>2083</v>
      </c>
      <c r="F739" s="45" t="s">
        <v>71</v>
      </c>
      <c r="G739" s="44" t="str">
        <f>G824</f>
        <v>19830918 201001 2 033</v>
      </c>
      <c r="H739" s="44" t="s">
        <v>1723</v>
      </c>
      <c r="I739" s="44" t="str">
        <f t="shared" ref="I739" si="174">I824</f>
        <v>S.1 Ekonomi</v>
      </c>
      <c r="J739" s="81">
        <v>45805</v>
      </c>
      <c r="K739" s="3" t="str">
        <f t="shared" ca="1" si="165"/>
        <v xml:space="preserve">1 Tahun 3 bulan </v>
      </c>
      <c r="L739" s="36" t="str">
        <f>L824</f>
        <v>4B</v>
      </c>
      <c r="M739" s="36" t="str">
        <f>M824</f>
        <v>19-09-2022</v>
      </c>
      <c r="N739" s="3" t="str">
        <f t="shared" ca="1" si="158"/>
        <v xml:space="preserve">3 Tahun 11 bulan </v>
      </c>
      <c r="O739" s="36"/>
      <c r="P739" s="4" t="str">
        <f>P824</f>
        <v>Islam</v>
      </c>
      <c r="Q739" s="4" t="str">
        <f t="shared" si="166"/>
        <v>Perempuan</v>
      </c>
      <c r="R739" s="4">
        <f t="shared" si="159"/>
        <v>1</v>
      </c>
      <c r="S739" s="4" t="str">
        <f t="shared" si="173"/>
        <v>1</v>
      </c>
      <c r="T739" s="4">
        <f t="shared" si="164"/>
        <v>0</v>
      </c>
      <c r="U739" s="29"/>
      <c r="V739" s="30" t="s">
        <v>50</v>
      </c>
      <c r="W739" s="30"/>
      <c r="X739" s="30"/>
      <c r="Y739" s="30"/>
      <c r="Z739" s="30"/>
      <c r="AA739" s="30"/>
      <c r="AB739" s="29"/>
      <c r="AC739" s="29"/>
      <c r="AD739" s="37">
        <f t="shared" si="168"/>
        <v>30577</v>
      </c>
      <c r="AE739" s="3" t="str">
        <f t="shared" ca="1" si="167"/>
        <v>42 Tahun 11 bulan 14 Hari</v>
      </c>
      <c r="AF739" s="38">
        <f t="shared" si="169"/>
        <v>52505</v>
      </c>
    </row>
    <row r="740" spans="1:32" s="7" customFormat="1" ht="32.15" customHeight="1" x14ac:dyDescent="0.35">
      <c r="A740" s="26">
        <f t="shared" si="163"/>
        <v>691</v>
      </c>
      <c r="B740" s="27" t="s">
        <v>2073</v>
      </c>
      <c r="C740" s="26"/>
      <c r="D740" s="60" t="s">
        <v>2084</v>
      </c>
      <c r="E740" s="45" t="s">
        <v>2085</v>
      </c>
      <c r="F740" s="24" t="s">
        <v>43</v>
      </c>
      <c r="G740" s="44" t="s">
        <v>2086</v>
      </c>
      <c r="H740" s="4" t="s">
        <v>94</v>
      </c>
      <c r="I740" s="4" t="s">
        <v>184</v>
      </c>
      <c r="J740" s="82" t="s">
        <v>711</v>
      </c>
      <c r="K740" s="3" t="str">
        <f t="shared" ca="1" si="165"/>
        <v xml:space="preserve">4 Tahun 11 bulan </v>
      </c>
      <c r="L740" s="36" t="s">
        <v>200</v>
      </c>
      <c r="M740" s="82" t="s">
        <v>711</v>
      </c>
      <c r="N740" s="3" t="str">
        <f t="shared" ca="1" si="158"/>
        <v xml:space="preserve">4 Tahun 11 bulan </v>
      </c>
      <c r="O740" s="36"/>
      <c r="P740" s="4" t="s">
        <v>35</v>
      </c>
      <c r="Q740" s="4" t="str">
        <f t="shared" si="166"/>
        <v>Laki-Laki</v>
      </c>
      <c r="R740" s="4">
        <f t="shared" si="159"/>
        <v>1</v>
      </c>
      <c r="S740" s="4" t="str">
        <f t="shared" si="173"/>
        <v>1</v>
      </c>
      <c r="T740" s="4">
        <f t="shared" si="164"/>
        <v>0</v>
      </c>
      <c r="U740" s="29"/>
      <c r="V740" s="30" t="s">
        <v>50</v>
      </c>
      <c r="W740" s="30"/>
      <c r="X740" s="30"/>
      <c r="Y740" s="30"/>
      <c r="Z740" s="30"/>
      <c r="AA740" s="30"/>
      <c r="AB740" s="29"/>
      <c r="AC740" s="29"/>
      <c r="AD740" s="37">
        <f t="shared" si="168"/>
        <v>28687</v>
      </c>
      <c r="AE740" s="3" t="str">
        <f t="shared" ca="1" si="167"/>
        <v>48 Tahun 1 bulan 16 Hari</v>
      </c>
      <c r="AF740" s="38">
        <f t="shared" si="169"/>
        <v>50618</v>
      </c>
    </row>
    <row r="741" spans="1:32" s="7" customFormat="1" ht="32.15" customHeight="1" x14ac:dyDescent="0.35">
      <c r="A741" s="26">
        <f t="shared" si="163"/>
        <v>692</v>
      </c>
      <c r="B741" s="27" t="s">
        <v>2073</v>
      </c>
      <c r="C741" s="26"/>
      <c r="D741" s="60" t="s">
        <v>2087</v>
      </c>
      <c r="E741" s="45" t="s">
        <v>2088</v>
      </c>
      <c r="F741" s="24" t="s">
        <v>43</v>
      </c>
      <c r="G741" s="44" t="s">
        <v>2089</v>
      </c>
      <c r="H741" s="4" t="s">
        <v>1158</v>
      </c>
      <c r="I741" s="36" t="s">
        <v>86</v>
      </c>
      <c r="J741" s="82" t="s">
        <v>1032</v>
      </c>
      <c r="K741" s="3" t="str">
        <f t="shared" ca="1" si="165"/>
        <v xml:space="preserve">4 Tahun 5 bulan </v>
      </c>
      <c r="L741" s="36" t="s">
        <v>200</v>
      </c>
      <c r="M741" s="82" t="s">
        <v>1032</v>
      </c>
      <c r="N741" s="3" t="str">
        <f t="shared" ca="1" si="158"/>
        <v xml:space="preserve">4 Tahun 5 bulan </v>
      </c>
      <c r="O741" s="36"/>
      <c r="P741" s="4" t="s">
        <v>35</v>
      </c>
      <c r="Q741" s="4" t="str">
        <f t="shared" si="166"/>
        <v>Laki-Laki</v>
      </c>
      <c r="R741" s="4">
        <f t="shared" si="159"/>
        <v>1</v>
      </c>
      <c r="S741" s="4" t="str">
        <f t="shared" si="173"/>
        <v>1</v>
      </c>
      <c r="T741" s="4">
        <f t="shared" si="164"/>
        <v>0</v>
      </c>
      <c r="U741" s="29"/>
      <c r="V741" s="30" t="s">
        <v>50</v>
      </c>
      <c r="W741" s="30"/>
      <c r="X741" s="30"/>
      <c r="Y741" s="30"/>
      <c r="Z741" s="30"/>
      <c r="AA741" s="30"/>
      <c r="AB741" s="29"/>
      <c r="AC741" s="29"/>
      <c r="AD741" s="37">
        <f t="shared" si="168"/>
        <v>27570</v>
      </c>
      <c r="AE741" s="3" t="str">
        <f t="shared" ca="1" si="167"/>
        <v>51 Tahun 2 bulan 7 Hari</v>
      </c>
      <c r="AF741" s="38">
        <f t="shared" si="169"/>
        <v>49491</v>
      </c>
    </row>
    <row r="742" spans="1:32" s="7" customFormat="1" ht="32.15" customHeight="1" x14ac:dyDescent="0.35">
      <c r="A742" s="26">
        <f t="shared" si="163"/>
        <v>693</v>
      </c>
      <c r="B742" s="27" t="s">
        <v>2073</v>
      </c>
      <c r="C742" s="26"/>
      <c r="D742" s="60" t="s">
        <v>2090</v>
      </c>
      <c r="E742" s="45" t="s">
        <v>2091</v>
      </c>
      <c r="F742" s="24" t="s">
        <v>43</v>
      </c>
      <c r="G742" s="44"/>
      <c r="H742" s="4"/>
      <c r="I742" s="36"/>
      <c r="J742" s="116">
        <v>45993</v>
      </c>
      <c r="K742" s="3" t="str">
        <f t="shared" ca="1" si="165"/>
        <v xml:space="preserve">0 Tahun 8 bulan </v>
      </c>
      <c r="L742" s="36" t="s">
        <v>200</v>
      </c>
      <c r="M742" s="116"/>
      <c r="N742" s="3" t="str">
        <f t="shared" ca="1" si="158"/>
        <v/>
      </c>
      <c r="O742" s="36"/>
      <c r="P742" s="4"/>
      <c r="Q742" s="4" t="str">
        <f t="shared" si="166"/>
        <v/>
      </c>
      <c r="R742" s="4">
        <f t="shared" si="159"/>
        <v>1</v>
      </c>
      <c r="S742" s="4" t="str">
        <f t="shared" si="173"/>
        <v>1</v>
      </c>
      <c r="T742" s="4">
        <f t="shared" si="164"/>
        <v>0</v>
      </c>
      <c r="U742" s="29"/>
      <c r="V742" s="30" t="s">
        <v>50</v>
      </c>
      <c r="W742" s="30"/>
      <c r="X742" s="30"/>
      <c r="Y742" s="30"/>
      <c r="Z742" s="30"/>
      <c r="AA742" s="30"/>
      <c r="AB742" s="29"/>
      <c r="AC742" s="29"/>
      <c r="AD742" s="37" t="str">
        <f t="shared" si="168"/>
        <v/>
      </c>
      <c r="AE742" s="3" t="str">
        <f t="shared" ca="1" si="167"/>
        <v/>
      </c>
      <c r="AF742" s="38" t="str">
        <f t="shared" si="169"/>
        <v/>
      </c>
    </row>
    <row r="743" spans="1:32" s="7" customFormat="1" ht="32.15" customHeight="1" x14ac:dyDescent="0.35">
      <c r="A743" s="26">
        <f t="shared" si="163"/>
        <v>694</v>
      </c>
      <c r="B743" s="27" t="s">
        <v>2073</v>
      </c>
      <c r="C743" s="26"/>
      <c r="D743" s="60" t="s">
        <v>2092</v>
      </c>
      <c r="E743" s="45" t="s">
        <v>2093</v>
      </c>
      <c r="F743" s="24" t="s">
        <v>43</v>
      </c>
      <c r="G743" s="44" t="s">
        <v>2094</v>
      </c>
      <c r="H743" s="4" t="s">
        <v>1031</v>
      </c>
      <c r="I743" s="48" t="s">
        <v>86</v>
      </c>
      <c r="J743" s="47" t="s">
        <v>565</v>
      </c>
      <c r="K743" s="3" t="str">
        <f t="shared" ca="1" si="165"/>
        <v xml:space="preserve">5 Tahun 9 bulan </v>
      </c>
      <c r="L743" s="36" t="s">
        <v>200</v>
      </c>
      <c r="M743" s="47" t="s">
        <v>565</v>
      </c>
      <c r="N743" s="3" t="str">
        <f t="shared" ca="1" si="158"/>
        <v xml:space="preserve">5 Tahun 9 bulan </v>
      </c>
      <c r="O743" s="35"/>
      <c r="P743" s="4" t="s">
        <v>35</v>
      </c>
      <c r="Q743" s="4" t="str">
        <f t="shared" si="166"/>
        <v>Laki-Laki</v>
      </c>
      <c r="R743" s="4">
        <f t="shared" si="159"/>
        <v>1</v>
      </c>
      <c r="S743" s="4" t="str">
        <f t="shared" si="173"/>
        <v>1</v>
      </c>
      <c r="T743" s="4">
        <f t="shared" si="164"/>
        <v>0</v>
      </c>
      <c r="U743" s="29"/>
      <c r="V743" s="30" t="s">
        <v>50</v>
      </c>
      <c r="W743" s="30"/>
      <c r="X743" s="30"/>
      <c r="Y743" s="30"/>
      <c r="Z743" s="30"/>
      <c r="AA743" s="30"/>
      <c r="AB743" s="29"/>
      <c r="AC743" s="29"/>
      <c r="AD743" s="37">
        <f t="shared" si="168"/>
        <v>31232</v>
      </c>
      <c r="AE743" s="3" t="str">
        <f t="shared" ca="1" si="167"/>
        <v>41 Tahun 1 bulan 28 Hari</v>
      </c>
      <c r="AF743" s="38">
        <f t="shared" si="169"/>
        <v>53175</v>
      </c>
    </row>
    <row r="744" spans="1:32" s="7" customFormat="1" ht="32.15" customHeight="1" x14ac:dyDescent="0.35">
      <c r="A744" s="26">
        <f t="shared" si="163"/>
        <v>695</v>
      </c>
      <c r="B744" s="27" t="s">
        <v>2073</v>
      </c>
      <c r="C744" s="26"/>
      <c r="D744" s="60" t="s">
        <v>2095</v>
      </c>
      <c r="E744" s="45" t="s">
        <v>2096</v>
      </c>
      <c r="F744" s="24" t="s">
        <v>43</v>
      </c>
      <c r="G744" s="44" t="s">
        <v>2097</v>
      </c>
      <c r="H744" s="4" t="s">
        <v>1031</v>
      </c>
      <c r="I744" s="36" t="s">
        <v>242</v>
      </c>
      <c r="J744" s="82" t="s">
        <v>338</v>
      </c>
      <c r="K744" s="3" t="str">
        <f t="shared" ca="1" si="165"/>
        <v xml:space="preserve">2 Tahun 11 bulan </v>
      </c>
      <c r="L744" s="36" t="s">
        <v>200</v>
      </c>
      <c r="M744" s="82" t="s">
        <v>338</v>
      </c>
      <c r="N744" s="3" t="str">
        <f t="shared" ca="1" si="158"/>
        <v xml:space="preserve">2 Tahun 11 bulan </v>
      </c>
      <c r="O744" s="36"/>
      <c r="P744" s="4"/>
      <c r="Q744" s="4" t="str">
        <f t="shared" si="166"/>
        <v>Laki-Laki</v>
      </c>
      <c r="R744" s="4">
        <f t="shared" si="159"/>
        <v>1</v>
      </c>
      <c r="S744" s="4" t="str">
        <f t="shared" si="173"/>
        <v>1</v>
      </c>
      <c r="T744" s="4">
        <f t="shared" si="164"/>
        <v>0</v>
      </c>
      <c r="U744" s="29"/>
      <c r="V744" s="30"/>
      <c r="W744" s="30"/>
      <c r="X744" s="30"/>
      <c r="Y744" s="30"/>
      <c r="Z744" s="30"/>
      <c r="AA744" s="30"/>
      <c r="AB744" s="29"/>
      <c r="AC744" s="29"/>
      <c r="AD744" s="37">
        <f t="shared" si="168"/>
        <v>27962</v>
      </c>
      <c r="AE744" s="3" t="str">
        <f t="shared" ca="1" si="167"/>
        <v>50 Tahun 1 bulan 11 Hari</v>
      </c>
      <c r="AF744" s="38">
        <f t="shared" si="169"/>
        <v>49888</v>
      </c>
    </row>
    <row r="745" spans="1:32" s="7" customFormat="1" ht="25.5" customHeight="1" x14ac:dyDescent="0.35">
      <c r="A745" s="26"/>
      <c r="B745" s="27" t="s">
        <v>2098</v>
      </c>
      <c r="C745" s="280" t="s">
        <v>2099</v>
      </c>
      <c r="D745" s="281"/>
      <c r="E745" s="24"/>
      <c r="F745" s="24"/>
      <c r="G745" s="4"/>
      <c r="H745" s="4"/>
      <c r="I745" s="33"/>
      <c r="J745" s="5"/>
      <c r="K745" s="3" t="str">
        <f t="shared" ca="1" si="165"/>
        <v/>
      </c>
      <c r="L745" s="30"/>
      <c r="M745" s="5"/>
      <c r="N745" s="3" t="str">
        <f t="shared" ca="1" si="158"/>
        <v/>
      </c>
      <c r="O745" s="4"/>
      <c r="P745" s="4"/>
      <c r="Q745" s="4"/>
      <c r="R745" s="4"/>
      <c r="S745" s="4"/>
      <c r="T745" s="4"/>
      <c r="U745" s="29"/>
      <c r="V745" s="30"/>
      <c r="W745" s="30"/>
      <c r="X745" s="30"/>
      <c r="Y745" s="30"/>
      <c r="Z745" s="29"/>
      <c r="AA745" s="29"/>
      <c r="AB745" s="29"/>
      <c r="AC745" s="29"/>
      <c r="AD745" s="37" t="str">
        <f t="shared" si="168"/>
        <v/>
      </c>
      <c r="AE745" s="3" t="str">
        <f t="shared" ca="1" si="167"/>
        <v/>
      </c>
      <c r="AF745" s="38" t="str">
        <f t="shared" si="169"/>
        <v/>
      </c>
    </row>
    <row r="746" spans="1:32" s="7" customFormat="1" ht="32.15" customHeight="1" x14ac:dyDescent="0.35">
      <c r="A746" s="26">
        <f>A744+1</f>
        <v>696</v>
      </c>
      <c r="B746" s="27" t="s">
        <v>2098</v>
      </c>
      <c r="C746" s="282" t="s">
        <v>2100</v>
      </c>
      <c r="D746" s="283"/>
      <c r="E746" s="24" t="s">
        <v>1141</v>
      </c>
      <c r="F746" s="24" t="s">
        <v>43</v>
      </c>
      <c r="G746" s="3" t="s">
        <v>1787</v>
      </c>
      <c r="H746" s="3" t="s">
        <v>85</v>
      </c>
      <c r="I746" s="33" t="s">
        <v>2835</v>
      </c>
      <c r="J746" s="5">
        <v>46260</v>
      </c>
      <c r="K746" s="3" t="str">
        <f t="shared" ca="1" si="165"/>
        <v xml:space="preserve">0 Tahun 0 bulan </v>
      </c>
      <c r="L746" s="36" t="s">
        <v>79</v>
      </c>
      <c r="M746" s="5"/>
      <c r="N746" s="3" t="str">
        <f t="shared" ca="1" si="158"/>
        <v/>
      </c>
      <c r="O746" s="4"/>
      <c r="P746" s="4" t="s">
        <v>35</v>
      </c>
      <c r="Q746" s="4" t="str">
        <f t="shared" si="166"/>
        <v>Laki-Laki</v>
      </c>
      <c r="R746" s="4">
        <f>R744</f>
        <v>1</v>
      </c>
      <c r="S746" s="4" t="str">
        <f t="shared" ref="S746:S754" si="175">IF(E746="LOWONG","0","1")</f>
        <v>1</v>
      </c>
      <c r="T746" s="4">
        <f t="shared" si="164"/>
        <v>0</v>
      </c>
      <c r="U746" s="29"/>
      <c r="V746" s="30" t="s">
        <v>50</v>
      </c>
      <c r="W746" s="30"/>
      <c r="X746" s="30"/>
      <c r="Y746" s="30"/>
      <c r="Z746" s="30"/>
      <c r="AA746" s="30"/>
      <c r="AB746" s="29"/>
      <c r="AC746" s="29"/>
      <c r="AD746" s="37">
        <f t="shared" si="168"/>
        <v>34091</v>
      </c>
      <c r="AE746" s="3" t="str">
        <f t="shared" ca="1" si="167"/>
        <v>33 Tahun 3 bulan 30 Hari</v>
      </c>
      <c r="AF746" s="38">
        <f t="shared" si="169"/>
        <v>56036</v>
      </c>
    </row>
    <row r="747" spans="1:32" s="7" customFormat="1" ht="32.15" customHeight="1" x14ac:dyDescent="0.35">
      <c r="A747" s="26">
        <f t="shared" si="163"/>
        <v>697</v>
      </c>
      <c r="B747" s="27" t="s">
        <v>2098</v>
      </c>
      <c r="C747" s="282" t="s">
        <v>2101</v>
      </c>
      <c r="D747" s="283"/>
      <c r="E747" s="24" t="s">
        <v>3057</v>
      </c>
      <c r="F747" s="24" t="s">
        <v>43</v>
      </c>
      <c r="G747" s="4" t="s">
        <v>3058</v>
      </c>
      <c r="H747" s="4" t="s">
        <v>313</v>
      </c>
      <c r="I747" s="33" t="s">
        <v>759</v>
      </c>
      <c r="J747" s="53">
        <v>46260</v>
      </c>
      <c r="K747" s="3" t="str">
        <f t="shared" ca="1" si="165"/>
        <v xml:space="preserve">0 Tahun 0 bulan </v>
      </c>
      <c r="L747" s="36" t="s">
        <v>346</v>
      </c>
      <c r="M747" s="47"/>
      <c r="N747" s="3" t="str">
        <f t="shared" ca="1" si="158"/>
        <v/>
      </c>
      <c r="O747" s="36"/>
      <c r="P747" s="4" t="s">
        <v>35</v>
      </c>
      <c r="Q747" s="4" t="str">
        <f t="shared" si="166"/>
        <v>Laki-Laki</v>
      </c>
      <c r="R747" s="4">
        <f t="shared" si="159"/>
        <v>1</v>
      </c>
      <c r="S747" s="4" t="str">
        <f t="shared" si="175"/>
        <v>1</v>
      </c>
      <c r="T747" s="4">
        <f t="shared" si="164"/>
        <v>0</v>
      </c>
      <c r="U747" s="29"/>
      <c r="V747" s="30" t="s">
        <v>50</v>
      </c>
      <c r="W747" s="30"/>
      <c r="X747" s="30"/>
      <c r="Y747" s="30"/>
      <c r="Z747" s="30"/>
      <c r="AA747" s="30"/>
      <c r="AB747" s="29"/>
      <c r="AC747" s="29"/>
      <c r="AD747" s="37">
        <f t="shared" si="168"/>
        <v>27365</v>
      </c>
      <c r="AE747" s="3" t="str">
        <f t="shared" ca="1" si="167"/>
        <v>51 Tahun 8 bulan 30 Hari</v>
      </c>
      <c r="AF747" s="38">
        <f t="shared" si="169"/>
        <v>49310</v>
      </c>
    </row>
    <row r="748" spans="1:32" s="7" customFormat="1" ht="32.15" customHeight="1" x14ac:dyDescent="0.35">
      <c r="A748" s="26">
        <f t="shared" si="163"/>
        <v>698</v>
      </c>
      <c r="B748" s="27" t="s">
        <v>2098</v>
      </c>
      <c r="C748" s="26"/>
      <c r="D748" s="111" t="s">
        <v>2103</v>
      </c>
      <c r="E748" s="45" t="s">
        <v>2104</v>
      </c>
      <c r="F748" s="24" t="s">
        <v>43</v>
      </c>
      <c r="G748" s="44" t="s">
        <v>2105</v>
      </c>
      <c r="H748" s="4" t="s">
        <v>703</v>
      </c>
      <c r="I748" s="4" t="s">
        <v>1734</v>
      </c>
      <c r="J748" s="65" t="s">
        <v>199</v>
      </c>
      <c r="K748" s="3" t="str">
        <f t="shared" ca="1" si="165"/>
        <v xml:space="preserve">3 Tahun 11 bulan </v>
      </c>
      <c r="L748" s="36" t="s">
        <v>1749</v>
      </c>
      <c r="M748" s="65" t="s">
        <v>199</v>
      </c>
      <c r="N748" s="3" t="str">
        <f t="shared" ca="1" si="158"/>
        <v xml:space="preserve">3 Tahun 11 bulan </v>
      </c>
      <c r="O748" s="36"/>
      <c r="P748" s="4" t="s">
        <v>35</v>
      </c>
      <c r="Q748" s="4" t="str">
        <f t="shared" si="166"/>
        <v>Perempuan</v>
      </c>
      <c r="R748" s="4">
        <f t="shared" si="159"/>
        <v>1</v>
      </c>
      <c r="S748" s="4" t="str">
        <f t="shared" si="175"/>
        <v>1</v>
      </c>
      <c r="T748" s="4">
        <f t="shared" si="164"/>
        <v>0</v>
      </c>
      <c r="U748" s="29"/>
      <c r="V748" s="30"/>
      <c r="W748" s="30"/>
      <c r="X748" s="30"/>
      <c r="Y748" s="30"/>
      <c r="Z748" s="30"/>
      <c r="AA748" s="30"/>
      <c r="AB748" s="29"/>
      <c r="AC748" s="29"/>
      <c r="AD748" s="37">
        <f t="shared" si="168"/>
        <v>31055</v>
      </c>
      <c r="AE748" s="3" t="str">
        <f t="shared" ca="1" si="167"/>
        <v>41 Tahun 7 bulan 24 Hari</v>
      </c>
      <c r="AF748" s="38">
        <f t="shared" si="169"/>
        <v>52994</v>
      </c>
    </row>
    <row r="749" spans="1:32" s="7" customFormat="1" ht="32.15" customHeight="1" x14ac:dyDescent="0.35">
      <c r="A749" s="26">
        <f t="shared" si="163"/>
        <v>699</v>
      </c>
      <c r="B749" s="27" t="s">
        <v>2098</v>
      </c>
      <c r="C749" s="26"/>
      <c r="D749" s="111" t="s">
        <v>2106</v>
      </c>
      <c r="E749" s="45" t="s">
        <v>2107</v>
      </c>
      <c r="F749" s="24" t="s">
        <v>43</v>
      </c>
      <c r="G749" s="44" t="s">
        <v>2108</v>
      </c>
      <c r="H749" s="36" t="s">
        <v>554</v>
      </c>
      <c r="I749" s="36" t="s">
        <v>267</v>
      </c>
      <c r="J749" s="82" t="s">
        <v>338</v>
      </c>
      <c r="K749" s="3" t="str">
        <f t="shared" ca="1" si="165"/>
        <v xml:space="preserve">2 Tahun 11 bulan </v>
      </c>
      <c r="L749" s="36" t="s">
        <v>1749</v>
      </c>
      <c r="M749" s="82" t="s">
        <v>338</v>
      </c>
      <c r="N749" s="3" t="str">
        <f t="shared" ca="1" si="158"/>
        <v xml:space="preserve">2 Tahun 11 bulan </v>
      </c>
      <c r="O749" s="36"/>
      <c r="P749" s="4" t="s">
        <v>35</v>
      </c>
      <c r="Q749" s="4" t="str">
        <f t="shared" si="166"/>
        <v>Perempuan</v>
      </c>
      <c r="R749" s="4">
        <f t="shared" si="159"/>
        <v>1</v>
      </c>
      <c r="S749" s="4" t="str">
        <f t="shared" si="175"/>
        <v>1</v>
      </c>
      <c r="T749" s="4">
        <f t="shared" si="164"/>
        <v>0</v>
      </c>
      <c r="U749" s="29"/>
      <c r="V749" s="30"/>
      <c r="W749" s="30"/>
      <c r="X749" s="30"/>
      <c r="Y749" s="30"/>
      <c r="Z749" s="30"/>
      <c r="AA749" s="30"/>
      <c r="AB749" s="29"/>
      <c r="AC749" s="29"/>
      <c r="AD749" s="37">
        <f t="shared" si="168"/>
        <v>28987</v>
      </c>
      <c r="AE749" s="3" t="str">
        <f t="shared" ca="1" si="167"/>
        <v>47 Tahun 3 bulan 20 Hari</v>
      </c>
      <c r="AF749" s="38">
        <f t="shared" si="169"/>
        <v>50922</v>
      </c>
    </row>
    <row r="750" spans="1:32" s="7" customFormat="1" ht="32.15" customHeight="1" x14ac:dyDescent="0.35">
      <c r="A750" s="26">
        <f t="shared" si="163"/>
        <v>700</v>
      </c>
      <c r="B750" s="27" t="s">
        <v>2098</v>
      </c>
      <c r="C750" s="26"/>
      <c r="D750" s="60" t="s">
        <v>2109</v>
      </c>
      <c r="E750" s="45" t="s">
        <v>2110</v>
      </c>
      <c r="F750" s="24" t="s">
        <v>43</v>
      </c>
      <c r="G750" s="44" t="s">
        <v>2111</v>
      </c>
      <c r="H750" s="36" t="s">
        <v>106</v>
      </c>
      <c r="I750" s="4" t="s">
        <v>415</v>
      </c>
      <c r="J750" s="82" t="s">
        <v>338</v>
      </c>
      <c r="K750" s="3" t="str">
        <f t="shared" ca="1" si="165"/>
        <v xml:space="preserve">2 Tahun 11 bulan </v>
      </c>
      <c r="L750" s="36" t="s">
        <v>200</v>
      </c>
      <c r="M750" s="82" t="s">
        <v>338</v>
      </c>
      <c r="N750" s="3" t="str">
        <f t="shared" ca="1" si="158"/>
        <v xml:space="preserve">2 Tahun 11 bulan </v>
      </c>
      <c r="O750" s="36"/>
      <c r="P750" s="4" t="s">
        <v>35</v>
      </c>
      <c r="Q750" s="4" t="str">
        <f t="shared" si="166"/>
        <v>Laki-Laki</v>
      </c>
      <c r="R750" s="4">
        <f t="shared" si="159"/>
        <v>1</v>
      </c>
      <c r="S750" s="4" t="str">
        <f t="shared" si="175"/>
        <v>1</v>
      </c>
      <c r="T750" s="4">
        <f t="shared" si="164"/>
        <v>0</v>
      </c>
      <c r="U750" s="29"/>
      <c r="V750" s="30" t="s">
        <v>50</v>
      </c>
      <c r="W750" s="30"/>
      <c r="X750" s="30"/>
      <c r="Y750" s="30"/>
      <c r="Z750" s="30"/>
      <c r="AA750" s="30"/>
      <c r="AB750" s="29"/>
      <c r="AC750" s="29"/>
      <c r="AD750" s="37">
        <f t="shared" si="168"/>
        <v>28170</v>
      </c>
      <c r="AE750" s="3" t="str">
        <f t="shared" ca="1" si="167"/>
        <v>49 Tahun 6 bulan 18 Hari</v>
      </c>
      <c r="AF750" s="38">
        <f t="shared" si="169"/>
        <v>50100</v>
      </c>
    </row>
    <row r="751" spans="1:32" s="7" customFormat="1" ht="32.15" customHeight="1" x14ac:dyDescent="0.35">
      <c r="A751" s="26">
        <f t="shared" si="163"/>
        <v>701</v>
      </c>
      <c r="B751" s="27" t="s">
        <v>2098</v>
      </c>
      <c r="C751" s="26"/>
      <c r="D751" s="60" t="s">
        <v>2112</v>
      </c>
      <c r="E751" s="39" t="s">
        <v>2113</v>
      </c>
      <c r="F751" s="24" t="s">
        <v>43</v>
      </c>
      <c r="G751" s="25" t="s">
        <v>2114</v>
      </c>
      <c r="H751" s="4" t="s">
        <v>94</v>
      </c>
      <c r="I751" s="4" t="s">
        <v>86</v>
      </c>
      <c r="J751" s="82" t="s">
        <v>501</v>
      </c>
      <c r="K751" s="3" t="str">
        <f t="shared" ca="1" si="165"/>
        <v xml:space="preserve">5 Tahun 2 bulan </v>
      </c>
      <c r="L751" s="36" t="s">
        <v>200</v>
      </c>
      <c r="M751" s="82" t="s">
        <v>501</v>
      </c>
      <c r="N751" s="3" t="str">
        <f t="shared" ref="N751:N814" ca="1" si="176">IF(M751="","",CONCATENATE(DATEDIF(M751,NOW(),"Y")," Tahun ",DATEDIF(M751,NOW(),"YM")," bulan "))</f>
        <v xml:space="preserve">5 Tahun 2 bulan </v>
      </c>
      <c r="O751" s="36"/>
      <c r="P751" s="4" t="s">
        <v>35</v>
      </c>
      <c r="Q751" s="4" t="str">
        <f t="shared" si="166"/>
        <v>Laki-Laki</v>
      </c>
      <c r="R751" s="4">
        <f t="shared" ref="R751:R774" si="177">R750</f>
        <v>1</v>
      </c>
      <c r="S751" s="4" t="str">
        <f t="shared" si="175"/>
        <v>1</v>
      </c>
      <c r="T751" s="4">
        <f t="shared" si="164"/>
        <v>0</v>
      </c>
      <c r="U751" s="29"/>
      <c r="V751" s="30" t="s">
        <v>50</v>
      </c>
      <c r="W751" s="30"/>
      <c r="X751" s="30"/>
      <c r="Y751" s="30"/>
      <c r="Z751" s="30"/>
      <c r="AA751" s="30"/>
      <c r="AB751" s="29"/>
      <c r="AC751" s="29"/>
      <c r="AD751" s="37">
        <f t="shared" si="168"/>
        <v>25369</v>
      </c>
      <c r="AE751" s="3" t="str">
        <f t="shared" ca="1" si="167"/>
        <v>57 Tahun 2 bulan 17 Hari</v>
      </c>
      <c r="AF751" s="38">
        <f t="shared" si="169"/>
        <v>47300</v>
      </c>
    </row>
    <row r="752" spans="1:32" s="7" customFormat="1" ht="32.15" customHeight="1" x14ac:dyDescent="0.35">
      <c r="A752" s="26">
        <f t="shared" si="163"/>
        <v>702</v>
      </c>
      <c r="B752" s="27" t="s">
        <v>2098</v>
      </c>
      <c r="C752" s="26"/>
      <c r="D752" s="60" t="s">
        <v>2115</v>
      </c>
      <c r="E752" s="45" t="s">
        <v>2116</v>
      </c>
      <c r="F752" s="24" t="s">
        <v>43</v>
      </c>
      <c r="G752" s="44" t="s">
        <v>2117</v>
      </c>
      <c r="H752" s="4" t="s">
        <v>2118</v>
      </c>
      <c r="I752" s="36" t="s">
        <v>86</v>
      </c>
      <c r="J752" s="47" t="s">
        <v>292</v>
      </c>
      <c r="K752" s="3" t="str">
        <f t="shared" ca="1" si="165"/>
        <v xml:space="preserve">7 Tahun 7 bulan </v>
      </c>
      <c r="L752" s="36" t="s">
        <v>200</v>
      </c>
      <c r="M752" s="47" t="s">
        <v>292</v>
      </c>
      <c r="N752" s="3" t="str">
        <f t="shared" ca="1" si="176"/>
        <v xml:space="preserve">7 Tahun 7 bulan </v>
      </c>
      <c r="O752" s="36"/>
      <c r="P752" s="4" t="s">
        <v>35</v>
      </c>
      <c r="Q752" s="4" t="str">
        <f t="shared" si="166"/>
        <v>Laki-Laki</v>
      </c>
      <c r="R752" s="4">
        <f t="shared" si="177"/>
        <v>1</v>
      </c>
      <c r="S752" s="4" t="str">
        <f t="shared" si="175"/>
        <v>1</v>
      </c>
      <c r="T752" s="4">
        <f t="shared" si="164"/>
        <v>0</v>
      </c>
      <c r="U752" s="29"/>
      <c r="V752" s="30" t="s">
        <v>50</v>
      </c>
      <c r="W752" s="30"/>
      <c r="X752" s="30"/>
      <c r="Y752" s="30"/>
      <c r="Z752" s="30"/>
      <c r="AA752" s="30"/>
      <c r="AB752" s="29"/>
      <c r="AC752" s="29"/>
      <c r="AD752" s="37">
        <f t="shared" si="168"/>
        <v>27711</v>
      </c>
      <c r="AE752" s="3" t="str">
        <f t="shared" ca="1" si="167"/>
        <v>50 Tahun 9 bulan 19 Hari</v>
      </c>
      <c r="AF752" s="38">
        <f t="shared" si="169"/>
        <v>49644</v>
      </c>
    </row>
    <row r="753" spans="1:32" s="7" customFormat="1" ht="32.15" customHeight="1" x14ac:dyDescent="0.35">
      <c r="A753" s="26">
        <f t="shared" si="163"/>
        <v>703</v>
      </c>
      <c r="B753" s="27" t="s">
        <v>2098</v>
      </c>
      <c r="C753" s="26"/>
      <c r="D753" s="60" t="s">
        <v>2119</v>
      </c>
      <c r="E753" s="45" t="s">
        <v>2120</v>
      </c>
      <c r="F753" s="24" t="s">
        <v>43</v>
      </c>
      <c r="G753" s="44" t="s">
        <v>2121</v>
      </c>
      <c r="H753" s="4" t="s">
        <v>1956</v>
      </c>
      <c r="I753" s="4" t="s">
        <v>86</v>
      </c>
      <c r="J753" s="65" t="s">
        <v>711</v>
      </c>
      <c r="K753" s="3" t="str">
        <f t="shared" ca="1" si="165"/>
        <v xml:space="preserve">4 Tahun 11 bulan </v>
      </c>
      <c r="L753" s="36" t="s">
        <v>200</v>
      </c>
      <c r="M753" s="65" t="s">
        <v>711</v>
      </c>
      <c r="N753" s="3" t="str">
        <f t="shared" ca="1" si="176"/>
        <v xml:space="preserve">4 Tahun 11 bulan </v>
      </c>
      <c r="O753" s="36"/>
      <c r="P753" s="4" t="s">
        <v>35</v>
      </c>
      <c r="Q753" s="4" t="str">
        <f t="shared" si="166"/>
        <v>Laki-Laki</v>
      </c>
      <c r="R753" s="4">
        <f t="shared" si="177"/>
        <v>1</v>
      </c>
      <c r="S753" s="4" t="str">
        <f t="shared" si="175"/>
        <v>1</v>
      </c>
      <c r="T753" s="4">
        <f t="shared" si="164"/>
        <v>0</v>
      </c>
      <c r="U753" s="29"/>
      <c r="V753" s="30" t="s">
        <v>50</v>
      </c>
      <c r="W753" s="30"/>
      <c r="X753" s="30"/>
      <c r="Y753" s="30"/>
      <c r="Z753" s="30"/>
      <c r="AA753" s="30"/>
      <c r="AB753" s="29"/>
      <c r="AC753" s="29"/>
      <c r="AD753" s="37">
        <f t="shared" si="168"/>
        <v>27627</v>
      </c>
      <c r="AE753" s="3" t="str">
        <f t="shared" ca="1" si="167"/>
        <v>51 Tahun 0 bulan 11 Hari</v>
      </c>
      <c r="AF753" s="38">
        <f t="shared" si="169"/>
        <v>49553</v>
      </c>
    </row>
    <row r="754" spans="1:32" s="7" customFormat="1" ht="32.15" customHeight="1" x14ac:dyDescent="0.35">
      <c r="A754" s="26">
        <f t="shared" si="163"/>
        <v>704</v>
      </c>
      <c r="B754" s="27" t="s">
        <v>2098</v>
      </c>
      <c r="C754" s="26"/>
      <c r="D754" s="60" t="s">
        <v>2122</v>
      </c>
      <c r="E754" s="45" t="s">
        <v>2123</v>
      </c>
      <c r="F754" s="24" t="s">
        <v>43</v>
      </c>
      <c r="G754" s="44" t="s">
        <v>2124</v>
      </c>
      <c r="H754" s="36" t="s">
        <v>472</v>
      </c>
      <c r="I754" s="36" t="s">
        <v>86</v>
      </c>
      <c r="J754" s="82" t="s">
        <v>1748</v>
      </c>
      <c r="K754" s="3" t="str">
        <f t="shared" ca="1" si="165"/>
        <v xml:space="preserve">9 Tahun 7 bulan </v>
      </c>
      <c r="L754" s="36" t="s">
        <v>200</v>
      </c>
      <c r="M754" s="82" t="s">
        <v>1748</v>
      </c>
      <c r="N754" s="3" t="str">
        <f t="shared" ca="1" si="176"/>
        <v xml:space="preserve">9 Tahun 7 bulan </v>
      </c>
      <c r="O754" s="36"/>
      <c r="P754" s="4" t="s">
        <v>35</v>
      </c>
      <c r="Q754" s="4" t="str">
        <f t="shared" si="166"/>
        <v>Perempuan</v>
      </c>
      <c r="R754" s="4">
        <f t="shared" si="177"/>
        <v>1</v>
      </c>
      <c r="S754" s="4" t="str">
        <f t="shared" si="175"/>
        <v>1</v>
      </c>
      <c r="T754" s="4">
        <f t="shared" si="164"/>
        <v>0</v>
      </c>
      <c r="U754" s="29"/>
      <c r="V754" s="30"/>
      <c r="W754" s="30"/>
      <c r="X754" s="30"/>
      <c r="Y754" s="30"/>
      <c r="Z754" s="30"/>
      <c r="AA754" s="30"/>
      <c r="AB754" s="29"/>
      <c r="AC754" s="29"/>
      <c r="AD754" s="37">
        <f t="shared" si="168"/>
        <v>28523</v>
      </c>
      <c r="AE754" s="3" t="str">
        <f t="shared" ca="1" si="167"/>
        <v>48 Tahun 6 bulan 30 Hari</v>
      </c>
      <c r="AF754" s="38">
        <f t="shared" si="169"/>
        <v>50465</v>
      </c>
    </row>
    <row r="755" spans="1:32" s="7" customFormat="1" ht="25.5" customHeight="1" x14ac:dyDescent="0.35">
      <c r="A755" s="26"/>
      <c r="B755" s="27" t="s">
        <v>2125</v>
      </c>
      <c r="C755" s="280" t="s">
        <v>2126</v>
      </c>
      <c r="D755" s="281"/>
      <c r="E755" s="24"/>
      <c r="F755" s="24"/>
      <c r="G755" s="4"/>
      <c r="H755" s="4"/>
      <c r="I755" s="33"/>
      <c r="J755" s="5"/>
      <c r="K755" s="3" t="str">
        <f t="shared" ca="1" si="165"/>
        <v/>
      </c>
      <c r="L755" s="30"/>
      <c r="M755" s="5"/>
      <c r="N755" s="3" t="str">
        <f t="shared" ca="1" si="176"/>
        <v/>
      </c>
      <c r="O755" s="4"/>
      <c r="P755" s="4"/>
      <c r="Q755" s="4"/>
      <c r="R755" s="4"/>
      <c r="S755" s="4"/>
      <c r="T755" s="4"/>
      <c r="U755" s="29"/>
      <c r="V755" s="30"/>
      <c r="W755" s="30"/>
      <c r="X755" s="30"/>
      <c r="Y755" s="30"/>
      <c r="Z755" s="29"/>
      <c r="AA755" s="29"/>
      <c r="AB755" s="29"/>
      <c r="AC755" s="29"/>
      <c r="AD755" s="37" t="str">
        <f t="shared" si="168"/>
        <v/>
      </c>
      <c r="AE755" s="3" t="str">
        <f t="shared" ca="1" si="167"/>
        <v/>
      </c>
      <c r="AF755" s="38" t="str">
        <f t="shared" si="169"/>
        <v/>
      </c>
    </row>
    <row r="756" spans="1:32" s="7" customFormat="1" ht="32.15" customHeight="1" x14ac:dyDescent="0.35">
      <c r="A756" s="26">
        <f>A754+1</f>
        <v>705</v>
      </c>
      <c r="B756" s="27" t="s">
        <v>2125</v>
      </c>
      <c r="C756" s="282" t="s">
        <v>2127</v>
      </c>
      <c r="D756" s="283"/>
      <c r="E756" s="45" t="s">
        <v>2129</v>
      </c>
      <c r="F756" s="24" t="s">
        <v>43</v>
      </c>
      <c r="G756" s="44" t="s">
        <v>2130</v>
      </c>
      <c r="H756" s="4" t="s">
        <v>2131</v>
      </c>
      <c r="I756" s="36" t="s">
        <v>1814</v>
      </c>
      <c r="J756" s="53">
        <v>46198</v>
      </c>
      <c r="K756" s="3" t="str">
        <f t="shared" ca="1" si="165"/>
        <v xml:space="preserve">0 Tahun 2 bulan </v>
      </c>
      <c r="L756" s="36" t="s">
        <v>79</v>
      </c>
      <c r="M756" s="47" t="s">
        <v>3004</v>
      </c>
      <c r="N756" s="3" t="str">
        <f t="shared" ca="1" si="176"/>
        <v xml:space="preserve">3 Tahun 11 bulan </v>
      </c>
      <c r="O756" s="36"/>
      <c r="P756" s="4" t="s">
        <v>35</v>
      </c>
      <c r="Q756" s="4" t="str">
        <f t="shared" si="166"/>
        <v>Laki-Laki</v>
      </c>
      <c r="R756" s="4">
        <f>R754</f>
        <v>1</v>
      </c>
      <c r="S756" s="4" t="str">
        <f t="shared" ref="S756:S764" si="178">IF(E756="LOWONG","0","1")</f>
        <v>1</v>
      </c>
      <c r="T756" s="4">
        <f t="shared" si="164"/>
        <v>0</v>
      </c>
      <c r="U756" s="29"/>
      <c r="V756" s="30" t="s">
        <v>50</v>
      </c>
      <c r="W756" s="30"/>
      <c r="X756" s="30"/>
      <c r="Y756" s="30"/>
      <c r="Z756" s="30"/>
      <c r="AA756" s="30"/>
      <c r="AB756" s="29"/>
      <c r="AC756" s="29"/>
      <c r="AD756" s="37">
        <f t="shared" si="168"/>
        <v>25298</v>
      </c>
      <c r="AE756" s="3" t="str">
        <f t="shared" ca="1" si="167"/>
        <v>57 Tahun 4 bulan 27 Hari</v>
      </c>
      <c r="AF756" s="38">
        <f t="shared" si="169"/>
        <v>47239</v>
      </c>
    </row>
    <row r="757" spans="1:32" s="7" customFormat="1" ht="32.15" customHeight="1" x14ac:dyDescent="0.35">
      <c r="A757" s="26">
        <f t="shared" si="163"/>
        <v>706</v>
      </c>
      <c r="B757" s="27" t="s">
        <v>2125</v>
      </c>
      <c r="C757" s="282" t="s">
        <v>2128</v>
      </c>
      <c r="D757" s="283"/>
      <c r="E757" s="24" t="s">
        <v>108</v>
      </c>
      <c r="F757" s="24"/>
      <c r="G757" s="3"/>
      <c r="H757" s="4"/>
      <c r="I757" s="33"/>
      <c r="J757" s="47"/>
      <c r="K757" s="3" t="str">
        <f t="shared" ca="1" si="165"/>
        <v/>
      </c>
      <c r="L757" s="36" t="s">
        <v>346</v>
      </c>
      <c r="M757" s="47"/>
      <c r="N757" s="3" t="str">
        <f t="shared" ca="1" si="176"/>
        <v/>
      </c>
      <c r="O757" s="36"/>
      <c r="P757" s="4"/>
      <c r="Q757" s="4" t="str">
        <f t="shared" si="166"/>
        <v/>
      </c>
      <c r="R757" s="4">
        <f t="shared" si="177"/>
        <v>1</v>
      </c>
      <c r="S757" s="4" t="str">
        <f t="shared" si="178"/>
        <v>0</v>
      </c>
      <c r="T757" s="4">
        <f t="shared" si="164"/>
        <v>1</v>
      </c>
      <c r="U757" s="29"/>
      <c r="V757" s="30" t="s">
        <v>50</v>
      </c>
      <c r="W757" s="30"/>
      <c r="X757" s="30"/>
      <c r="Y757" s="30"/>
      <c r="Z757" s="30"/>
      <c r="AA757" s="30"/>
      <c r="AB757" s="29"/>
      <c r="AC757" s="29"/>
      <c r="AD757" s="37" t="str">
        <f t="shared" si="168"/>
        <v/>
      </c>
      <c r="AE757" s="3" t="str">
        <f t="shared" ca="1" si="167"/>
        <v/>
      </c>
      <c r="AF757" s="38" t="str">
        <f t="shared" si="169"/>
        <v/>
      </c>
    </row>
    <row r="758" spans="1:32" s="7" customFormat="1" ht="32.15" customHeight="1" x14ac:dyDescent="0.35">
      <c r="A758" s="26">
        <f t="shared" si="163"/>
        <v>707</v>
      </c>
      <c r="B758" s="27" t="s">
        <v>2125</v>
      </c>
      <c r="C758" s="26"/>
      <c r="D758" s="111" t="s">
        <v>2132</v>
      </c>
      <c r="E758" s="45" t="s">
        <v>108</v>
      </c>
      <c r="F758" s="24"/>
      <c r="G758" s="44"/>
      <c r="H758" s="36"/>
      <c r="I758" s="4"/>
      <c r="J758" s="82"/>
      <c r="K758" s="3" t="str">
        <f t="shared" ca="1" si="165"/>
        <v/>
      </c>
      <c r="L758" s="36" t="s">
        <v>1749</v>
      </c>
      <c r="M758" s="82"/>
      <c r="N758" s="3" t="str">
        <f t="shared" ca="1" si="176"/>
        <v/>
      </c>
      <c r="O758" s="36"/>
      <c r="P758" s="4" t="s">
        <v>35</v>
      </c>
      <c r="Q758" s="4" t="str">
        <f t="shared" si="166"/>
        <v/>
      </c>
      <c r="R758" s="4">
        <f t="shared" si="177"/>
        <v>1</v>
      </c>
      <c r="S758" s="4" t="str">
        <f t="shared" si="178"/>
        <v>0</v>
      </c>
      <c r="T758" s="4">
        <f t="shared" si="164"/>
        <v>1</v>
      </c>
      <c r="U758" s="29"/>
      <c r="V758" s="30" t="s">
        <v>50</v>
      </c>
      <c r="W758" s="30"/>
      <c r="X758" s="30"/>
      <c r="Y758" s="30"/>
      <c r="Z758" s="30"/>
      <c r="AA758" s="30"/>
      <c r="AB758" s="29"/>
      <c r="AC758" s="29"/>
      <c r="AD758" s="37" t="str">
        <f t="shared" si="168"/>
        <v/>
      </c>
      <c r="AE758" s="3" t="str">
        <f t="shared" ca="1" si="167"/>
        <v/>
      </c>
      <c r="AF758" s="38" t="str">
        <f t="shared" si="169"/>
        <v/>
      </c>
    </row>
    <row r="759" spans="1:32" s="7" customFormat="1" ht="32.15" customHeight="1" x14ac:dyDescent="0.35">
      <c r="A759" s="26">
        <f t="shared" si="163"/>
        <v>708</v>
      </c>
      <c r="B759" s="27" t="s">
        <v>2125</v>
      </c>
      <c r="C759" s="26"/>
      <c r="D759" s="111" t="s">
        <v>2134</v>
      </c>
      <c r="E759" s="45" t="s">
        <v>2135</v>
      </c>
      <c r="F759" s="24" t="s">
        <v>43</v>
      </c>
      <c r="G759" s="44" t="s">
        <v>2136</v>
      </c>
      <c r="H759" s="36" t="s">
        <v>2137</v>
      </c>
      <c r="I759" s="4" t="s">
        <v>350</v>
      </c>
      <c r="J759" s="82" t="s">
        <v>386</v>
      </c>
      <c r="K759" s="3" t="str">
        <f t="shared" ca="1" si="165"/>
        <v xml:space="preserve">5 Tahun 5 bulan </v>
      </c>
      <c r="L759" s="36" t="s">
        <v>1749</v>
      </c>
      <c r="M759" s="82" t="s">
        <v>386</v>
      </c>
      <c r="N759" s="3" t="str">
        <f t="shared" ca="1" si="176"/>
        <v xml:space="preserve">5 Tahun 5 bulan </v>
      </c>
      <c r="O759" s="36"/>
      <c r="P759" s="4" t="s">
        <v>35</v>
      </c>
      <c r="Q759" s="4" t="str">
        <f t="shared" si="166"/>
        <v/>
      </c>
      <c r="R759" s="4">
        <f t="shared" si="177"/>
        <v>1</v>
      </c>
      <c r="S759" s="4" t="str">
        <f t="shared" si="178"/>
        <v>1</v>
      </c>
      <c r="T759" s="4">
        <f t="shared" si="164"/>
        <v>0</v>
      </c>
      <c r="U759" s="29"/>
      <c r="V759" s="30" t="s">
        <v>50</v>
      </c>
      <c r="W759" s="30"/>
      <c r="X759" s="30"/>
      <c r="Y759" s="30"/>
      <c r="Z759" s="30"/>
      <c r="AA759" s="30"/>
      <c r="AB759" s="29"/>
      <c r="AC759" s="29"/>
      <c r="AD759" s="37">
        <f t="shared" si="168"/>
        <v>25702</v>
      </c>
      <c r="AE759" s="3" t="str">
        <f t="shared" ca="1" si="167"/>
        <v>56 Tahun 3 bulan 18 Hari</v>
      </c>
      <c r="AF759" s="38">
        <f t="shared" si="169"/>
        <v>47635</v>
      </c>
    </row>
    <row r="760" spans="1:32" s="7" customFormat="1" ht="32.15" customHeight="1" x14ac:dyDescent="0.35">
      <c r="A760" s="26">
        <f t="shared" si="163"/>
        <v>709</v>
      </c>
      <c r="B760" s="27" t="s">
        <v>2125</v>
      </c>
      <c r="C760" s="26"/>
      <c r="D760" s="245" t="s">
        <v>2138</v>
      </c>
      <c r="E760" s="45" t="s">
        <v>108</v>
      </c>
      <c r="F760" s="45"/>
      <c r="G760" s="44"/>
      <c r="H760" s="4"/>
      <c r="I760" s="48"/>
      <c r="J760" s="84"/>
      <c r="K760" s="3" t="str">
        <f t="shared" ca="1" si="165"/>
        <v/>
      </c>
      <c r="L760" s="36" t="s">
        <v>200</v>
      </c>
      <c r="M760" s="84"/>
      <c r="N760" s="3" t="str">
        <f t="shared" ca="1" si="176"/>
        <v/>
      </c>
      <c r="O760" s="36"/>
      <c r="P760" s="4"/>
      <c r="Q760" s="4" t="str">
        <f t="shared" si="166"/>
        <v/>
      </c>
      <c r="R760" s="4">
        <f t="shared" si="177"/>
        <v>1</v>
      </c>
      <c r="S760" s="4" t="str">
        <f t="shared" si="178"/>
        <v>0</v>
      </c>
      <c r="T760" s="4">
        <f t="shared" si="164"/>
        <v>1</v>
      </c>
      <c r="U760" s="29"/>
      <c r="V760" s="30" t="s">
        <v>50</v>
      </c>
      <c r="W760" s="30"/>
      <c r="X760" s="30"/>
      <c r="Y760" s="30"/>
      <c r="Z760" s="30"/>
      <c r="AA760" s="30"/>
      <c r="AB760" s="29"/>
      <c r="AC760" s="29"/>
      <c r="AD760" s="37" t="str">
        <f t="shared" si="168"/>
        <v/>
      </c>
      <c r="AE760" s="3" t="str">
        <f t="shared" ca="1" si="167"/>
        <v/>
      </c>
      <c r="AF760" s="38" t="str">
        <f t="shared" si="169"/>
        <v/>
      </c>
    </row>
    <row r="761" spans="1:32" s="7" customFormat="1" ht="32.15" customHeight="1" x14ac:dyDescent="0.35">
      <c r="A761" s="26">
        <f t="shared" si="163"/>
        <v>710</v>
      </c>
      <c r="B761" s="27" t="s">
        <v>2125</v>
      </c>
      <c r="C761" s="26"/>
      <c r="D761" s="60" t="s">
        <v>2139</v>
      </c>
      <c r="E761" s="45" t="s">
        <v>2140</v>
      </c>
      <c r="F761" s="24" t="s">
        <v>43</v>
      </c>
      <c r="G761" s="44" t="s">
        <v>2141</v>
      </c>
      <c r="H761" s="4" t="s">
        <v>85</v>
      </c>
      <c r="I761" s="4" t="s">
        <v>350</v>
      </c>
      <c r="J761" s="82" t="s">
        <v>386</v>
      </c>
      <c r="K761" s="3" t="str">
        <f t="shared" ca="1" si="165"/>
        <v xml:space="preserve">5 Tahun 5 bulan </v>
      </c>
      <c r="L761" s="36" t="s">
        <v>200</v>
      </c>
      <c r="M761" s="82" t="s">
        <v>386</v>
      </c>
      <c r="N761" s="3" t="str">
        <f t="shared" ca="1" si="176"/>
        <v xml:space="preserve">5 Tahun 5 bulan </v>
      </c>
      <c r="O761" s="36"/>
      <c r="P761" s="4" t="s">
        <v>35</v>
      </c>
      <c r="Q761" s="4" t="str">
        <f t="shared" si="166"/>
        <v>Laki-Laki</v>
      </c>
      <c r="R761" s="4">
        <f t="shared" si="177"/>
        <v>1</v>
      </c>
      <c r="S761" s="4" t="str">
        <f t="shared" si="178"/>
        <v>1</v>
      </c>
      <c r="T761" s="4">
        <f t="shared" si="164"/>
        <v>0</v>
      </c>
      <c r="U761" s="29"/>
      <c r="V761" s="30" t="s">
        <v>50</v>
      </c>
      <c r="W761" s="30"/>
      <c r="X761" s="30"/>
      <c r="Y761" s="30"/>
      <c r="Z761" s="30"/>
      <c r="AA761" s="30"/>
      <c r="AB761" s="29"/>
      <c r="AC761" s="29"/>
      <c r="AD761" s="37">
        <f t="shared" si="168"/>
        <v>28706</v>
      </c>
      <c r="AE761" s="3" t="str">
        <f t="shared" ca="1" si="167"/>
        <v>48 Tahun 0 bulan 28 Hari</v>
      </c>
      <c r="AF761" s="38">
        <f t="shared" si="169"/>
        <v>50649</v>
      </c>
    </row>
    <row r="762" spans="1:32" s="7" customFormat="1" ht="32.15" customHeight="1" x14ac:dyDescent="0.35">
      <c r="A762" s="26">
        <f t="shared" si="163"/>
        <v>711</v>
      </c>
      <c r="B762" s="27" t="s">
        <v>2125</v>
      </c>
      <c r="C762" s="26"/>
      <c r="D762" s="60" t="s">
        <v>2142</v>
      </c>
      <c r="E762" s="45" t="s">
        <v>2143</v>
      </c>
      <c r="F762" s="24" t="s">
        <v>43</v>
      </c>
      <c r="G762" s="44" t="s">
        <v>2144</v>
      </c>
      <c r="H762" s="36" t="s">
        <v>662</v>
      </c>
      <c r="I762" s="4" t="s">
        <v>184</v>
      </c>
      <c r="J762" s="82" t="s">
        <v>338</v>
      </c>
      <c r="K762" s="3" t="str">
        <f t="shared" ca="1" si="165"/>
        <v xml:space="preserve">2 Tahun 11 bulan </v>
      </c>
      <c r="L762" s="36" t="s">
        <v>200</v>
      </c>
      <c r="M762" s="82" t="s">
        <v>338</v>
      </c>
      <c r="N762" s="3" t="str">
        <f t="shared" ca="1" si="176"/>
        <v xml:space="preserve">2 Tahun 11 bulan </v>
      </c>
      <c r="O762" s="36"/>
      <c r="P762" s="4" t="s">
        <v>35</v>
      </c>
      <c r="Q762" s="4" t="str">
        <f t="shared" si="166"/>
        <v>Laki-Laki</v>
      </c>
      <c r="R762" s="4">
        <f t="shared" si="177"/>
        <v>1</v>
      </c>
      <c r="S762" s="4" t="str">
        <f t="shared" si="178"/>
        <v>1</v>
      </c>
      <c r="T762" s="4">
        <f t="shared" si="164"/>
        <v>0</v>
      </c>
      <c r="U762" s="29"/>
      <c r="V762" s="30" t="s">
        <v>50</v>
      </c>
      <c r="W762" s="30"/>
      <c r="X762" s="30"/>
      <c r="Y762" s="30"/>
      <c r="Z762" s="30"/>
      <c r="AA762" s="30"/>
      <c r="AB762" s="29"/>
      <c r="AC762" s="29"/>
      <c r="AD762" s="37">
        <f t="shared" si="168"/>
        <v>26849</v>
      </c>
      <c r="AE762" s="3" t="str">
        <f t="shared" ca="1" si="167"/>
        <v>53 Tahun 1 bulan 28 Hari</v>
      </c>
      <c r="AF762" s="38">
        <f t="shared" si="169"/>
        <v>48792</v>
      </c>
    </row>
    <row r="763" spans="1:32" s="7" customFormat="1" ht="32.15" customHeight="1" x14ac:dyDescent="0.35">
      <c r="A763" s="26">
        <f t="shared" si="163"/>
        <v>712</v>
      </c>
      <c r="B763" s="27" t="s">
        <v>2125</v>
      </c>
      <c r="C763" s="26"/>
      <c r="D763" s="60" t="s">
        <v>2145</v>
      </c>
      <c r="E763" s="24" t="s">
        <v>3093</v>
      </c>
      <c r="F763" s="24" t="s">
        <v>43</v>
      </c>
      <c r="G763" s="3" t="s">
        <v>2133</v>
      </c>
      <c r="H763" s="4" t="s">
        <v>3094</v>
      </c>
      <c r="I763" s="33" t="s">
        <v>86</v>
      </c>
      <c r="J763" s="53">
        <v>46260</v>
      </c>
      <c r="K763" s="3" t="str">
        <f t="shared" ca="1" si="165"/>
        <v xml:space="preserve">0 Tahun 0 bulan </v>
      </c>
      <c r="L763" s="36" t="s">
        <v>200</v>
      </c>
      <c r="M763" s="47" t="s">
        <v>565</v>
      </c>
      <c r="N763" s="3" t="str">
        <f t="shared" ca="1" si="176"/>
        <v xml:space="preserve">5 Tahun 9 bulan </v>
      </c>
      <c r="O763" s="36"/>
      <c r="P763" s="4"/>
      <c r="Q763" s="4" t="str">
        <f t="shared" si="166"/>
        <v>Laki-Laki</v>
      </c>
      <c r="R763" s="4">
        <f t="shared" si="177"/>
        <v>1</v>
      </c>
      <c r="S763" s="4" t="str">
        <f t="shared" si="178"/>
        <v>1</v>
      </c>
      <c r="T763" s="4">
        <f t="shared" si="164"/>
        <v>0</v>
      </c>
      <c r="U763" s="29"/>
      <c r="V763" s="30" t="s">
        <v>50</v>
      </c>
      <c r="W763" s="30"/>
      <c r="X763" s="30"/>
      <c r="Y763" s="30"/>
      <c r="Z763" s="30"/>
      <c r="AA763" s="30"/>
      <c r="AB763" s="29"/>
      <c r="AC763" s="29"/>
      <c r="AD763" s="37">
        <f t="shared" si="168"/>
        <v>29900</v>
      </c>
      <c r="AE763" s="3" t="str">
        <f t="shared" ca="1" si="167"/>
        <v>44 Tahun 9 bulan 22 Hari</v>
      </c>
      <c r="AF763" s="38">
        <f t="shared" si="169"/>
        <v>51836</v>
      </c>
    </row>
    <row r="764" spans="1:32" s="7" customFormat="1" ht="32.15" customHeight="1" x14ac:dyDescent="0.35">
      <c r="A764" s="26">
        <f t="shared" si="163"/>
        <v>713</v>
      </c>
      <c r="B764" s="27" t="s">
        <v>2125</v>
      </c>
      <c r="C764" s="26"/>
      <c r="D764" s="60" t="s">
        <v>2148</v>
      </c>
      <c r="E764" s="24" t="s">
        <v>2149</v>
      </c>
      <c r="F764" s="24" t="s">
        <v>43</v>
      </c>
      <c r="G764" s="3" t="s">
        <v>2150</v>
      </c>
      <c r="H764" s="4" t="s">
        <v>85</v>
      </c>
      <c r="I764" s="36" t="s">
        <v>86</v>
      </c>
      <c r="J764" s="82" t="s">
        <v>386</v>
      </c>
      <c r="K764" s="3" t="str">
        <f t="shared" ca="1" si="165"/>
        <v xml:space="preserve">5 Tahun 5 bulan </v>
      </c>
      <c r="L764" s="36" t="s">
        <v>200</v>
      </c>
      <c r="M764" s="82" t="s">
        <v>386</v>
      </c>
      <c r="N764" s="3" t="str">
        <f t="shared" ca="1" si="176"/>
        <v xml:space="preserve">5 Tahun 5 bulan </v>
      </c>
      <c r="O764" s="36"/>
      <c r="P764" s="4" t="s">
        <v>35</v>
      </c>
      <c r="Q764" s="4" t="str">
        <f t="shared" si="166"/>
        <v/>
      </c>
      <c r="R764" s="4">
        <f t="shared" si="177"/>
        <v>1</v>
      </c>
      <c r="S764" s="4" t="str">
        <f t="shared" si="178"/>
        <v>1</v>
      </c>
      <c r="T764" s="4">
        <f t="shared" si="164"/>
        <v>0</v>
      </c>
      <c r="U764" s="29"/>
      <c r="V764" s="30" t="s">
        <v>50</v>
      </c>
      <c r="W764" s="30"/>
      <c r="X764" s="30"/>
      <c r="Y764" s="30"/>
      <c r="Z764" s="30"/>
      <c r="AA764" s="30"/>
      <c r="AB764" s="29"/>
      <c r="AC764" s="29"/>
      <c r="AD764" s="37">
        <f t="shared" si="168"/>
        <v>25385</v>
      </c>
      <c r="AE764" s="3" t="str">
        <f t="shared" ca="1" si="167"/>
        <v>57 Tahun 2 bulan 0 Hari</v>
      </c>
      <c r="AF764" s="38">
        <f t="shared" si="169"/>
        <v>47331</v>
      </c>
    </row>
    <row r="765" spans="1:32" s="7" customFormat="1" ht="25.5" customHeight="1" x14ac:dyDescent="0.35">
      <c r="A765" s="26"/>
      <c r="B765" s="27" t="s">
        <v>2151</v>
      </c>
      <c r="C765" s="280" t="s">
        <v>2152</v>
      </c>
      <c r="D765" s="281"/>
      <c r="E765" s="24"/>
      <c r="F765" s="24"/>
      <c r="G765" s="4"/>
      <c r="H765" s="4"/>
      <c r="I765" s="33"/>
      <c r="J765" s="5"/>
      <c r="K765" s="3" t="str">
        <f t="shared" ca="1" si="165"/>
        <v/>
      </c>
      <c r="L765" s="30"/>
      <c r="M765" s="5"/>
      <c r="N765" s="3" t="str">
        <f t="shared" ca="1" si="176"/>
        <v/>
      </c>
      <c r="O765" s="4"/>
      <c r="P765" s="4"/>
      <c r="Q765" s="4"/>
      <c r="R765" s="4"/>
      <c r="S765" s="4"/>
      <c r="T765" s="4"/>
      <c r="U765" s="29"/>
      <c r="V765" s="30"/>
      <c r="W765" s="30"/>
      <c r="X765" s="30"/>
      <c r="Y765" s="30"/>
      <c r="Z765" s="29"/>
      <c r="AA765" s="29"/>
      <c r="AB765" s="29"/>
      <c r="AC765" s="29"/>
      <c r="AD765" s="37" t="str">
        <f t="shared" si="168"/>
        <v/>
      </c>
      <c r="AE765" s="3" t="str">
        <f t="shared" ca="1" si="167"/>
        <v/>
      </c>
      <c r="AF765" s="38" t="str">
        <f t="shared" si="169"/>
        <v/>
      </c>
    </row>
    <row r="766" spans="1:32" s="7" customFormat="1" ht="32.15" customHeight="1" x14ac:dyDescent="0.35">
      <c r="A766" s="26">
        <f>A764+1</f>
        <v>714</v>
      </c>
      <c r="B766" s="27" t="s">
        <v>2151</v>
      </c>
      <c r="C766" s="282" t="s">
        <v>2153</v>
      </c>
      <c r="D766" s="283"/>
      <c r="E766" s="45" t="s">
        <v>3037</v>
      </c>
      <c r="F766" s="24" t="s">
        <v>43</v>
      </c>
      <c r="G766" s="44" t="s">
        <v>212</v>
      </c>
      <c r="H766" s="4" t="s">
        <v>3038</v>
      </c>
      <c r="I766" s="33"/>
      <c r="J766" s="53">
        <v>46260</v>
      </c>
      <c r="K766" s="3" t="str">
        <f t="shared" ca="1" si="165"/>
        <v xml:space="preserve">0 Tahun 0 bulan </v>
      </c>
      <c r="L766" s="36" t="s">
        <v>79</v>
      </c>
      <c r="M766" s="53">
        <v>46260</v>
      </c>
      <c r="N766" s="3" t="str">
        <f t="shared" ca="1" si="176"/>
        <v xml:space="preserve">0 Tahun 0 bulan </v>
      </c>
      <c r="O766" s="56"/>
      <c r="P766" s="4" t="s">
        <v>35</v>
      </c>
      <c r="Q766" s="4" t="str">
        <f t="shared" si="166"/>
        <v>Laki-Laki</v>
      </c>
      <c r="R766" s="4">
        <f>R764</f>
        <v>1</v>
      </c>
      <c r="S766" s="4" t="str">
        <f t="shared" ref="S766:S774" si="179">IF(E766="LOWONG","0","1")</f>
        <v>1</v>
      </c>
      <c r="T766" s="4">
        <f t="shared" si="164"/>
        <v>0</v>
      </c>
      <c r="U766" s="29"/>
      <c r="V766" s="30" t="s">
        <v>50</v>
      </c>
      <c r="W766" s="30"/>
      <c r="X766" s="30"/>
      <c r="Y766" s="30"/>
      <c r="Z766" s="30"/>
      <c r="AA766" s="30"/>
      <c r="AB766" s="29"/>
      <c r="AC766" s="29"/>
      <c r="AD766" s="37">
        <f t="shared" si="168"/>
        <v>33775</v>
      </c>
      <c r="AE766" s="3" t="str">
        <f t="shared" ca="1" si="167"/>
        <v>34 Tahun 2 bulan 12 Hari</v>
      </c>
      <c r="AF766" s="38">
        <f t="shared" si="169"/>
        <v>55701</v>
      </c>
    </row>
    <row r="767" spans="1:32" s="7" customFormat="1" ht="32.15" customHeight="1" x14ac:dyDescent="0.35">
      <c r="A767" s="26">
        <f t="shared" si="163"/>
        <v>715</v>
      </c>
      <c r="B767" s="27" t="s">
        <v>2151</v>
      </c>
      <c r="C767" s="284" t="s">
        <v>2154</v>
      </c>
      <c r="D767" s="285"/>
      <c r="E767" s="24" t="s">
        <v>2155</v>
      </c>
      <c r="F767" s="24" t="s">
        <v>43</v>
      </c>
      <c r="G767" s="3" t="s">
        <v>2856</v>
      </c>
      <c r="H767" s="36" t="s">
        <v>625</v>
      </c>
      <c r="I767" s="4" t="s">
        <v>2857</v>
      </c>
      <c r="J767" s="115" t="s">
        <v>898</v>
      </c>
      <c r="K767" s="3" t="str">
        <f t="shared" ca="1" si="165"/>
        <v xml:space="preserve">0 Tahun 8 bulan </v>
      </c>
      <c r="L767" s="36" t="s">
        <v>346</v>
      </c>
      <c r="M767" s="65"/>
      <c r="N767" s="3" t="str">
        <f t="shared" ca="1" si="176"/>
        <v/>
      </c>
      <c r="O767" s="4"/>
      <c r="P767" s="4" t="s">
        <v>35</v>
      </c>
      <c r="Q767" s="4" t="str">
        <f t="shared" si="166"/>
        <v>Perempuan</v>
      </c>
      <c r="R767" s="4">
        <f t="shared" si="177"/>
        <v>1</v>
      </c>
      <c r="S767" s="4" t="str">
        <f t="shared" si="179"/>
        <v>1</v>
      </c>
      <c r="T767" s="4">
        <f t="shared" si="164"/>
        <v>0</v>
      </c>
      <c r="U767" s="29"/>
      <c r="V767" s="30" t="s">
        <v>50</v>
      </c>
      <c r="W767" s="30"/>
      <c r="X767" s="30"/>
      <c r="Y767" s="30"/>
      <c r="Z767" s="30"/>
      <c r="AA767" s="30"/>
      <c r="AB767" s="29"/>
      <c r="AC767" s="29"/>
      <c r="AD767" s="37">
        <f t="shared" si="168"/>
        <v>27011</v>
      </c>
      <c r="AE767" s="3" t="str">
        <f t="shared" ca="1" si="167"/>
        <v>52 Tahun 8 bulan 19 Hari</v>
      </c>
      <c r="AF767" s="38">
        <f t="shared" si="169"/>
        <v>48945</v>
      </c>
    </row>
    <row r="768" spans="1:32" s="7" customFormat="1" ht="32.15" customHeight="1" x14ac:dyDescent="0.35">
      <c r="A768" s="26">
        <f t="shared" si="163"/>
        <v>716</v>
      </c>
      <c r="B768" s="27" t="s">
        <v>2151</v>
      </c>
      <c r="C768" s="26"/>
      <c r="D768" s="111" t="s">
        <v>2156</v>
      </c>
      <c r="E768" s="51" t="s">
        <v>2157</v>
      </c>
      <c r="F768" s="24" t="s">
        <v>43</v>
      </c>
      <c r="G768" s="59" t="s">
        <v>2158</v>
      </c>
      <c r="H768" s="36" t="s">
        <v>2159</v>
      </c>
      <c r="I768" s="36" t="s">
        <v>86</v>
      </c>
      <c r="J768" s="47" t="s">
        <v>565</v>
      </c>
      <c r="K768" s="3" t="str">
        <f t="shared" ca="1" si="165"/>
        <v xml:space="preserve">5 Tahun 9 bulan </v>
      </c>
      <c r="L768" s="36" t="s">
        <v>1749</v>
      </c>
      <c r="M768" s="47" t="s">
        <v>565</v>
      </c>
      <c r="N768" s="3" t="str">
        <f t="shared" ca="1" si="176"/>
        <v xml:space="preserve">5 Tahun 9 bulan </v>
      </c>
      <c r="O768" s="4"/>
      <c r="P768" s="4" t="s">
        <v>35</v>
      </c>
      <c r="Q768" s="4" t="str">
        <f t="shared" si="166"/>
        <v>Laki-Laki</v>
      </c>
      <c r="R768" s="4">
        <f t="shared" si="177"/>
        <v>1</v>
      </c>
      <c r="S768" s="4" t="str">
        <f t="shared" si="179"/>
        <v>1</v>
      </c>
      <c r="T768" s="4">
        <f t="shared" si="164"/>
        <v>0</v>
      </c>
      <c r="U768" s="29"/>
      <c r="V768" s="30" t="s">
        <v>50</v>
      </c>
      <c r="W768" s="30"/>
      <c r="X768" s="30"/>
      <c r="Y768" s="30"/>
      <c r="Z768" s="30"/>
      <c r="AA768" s="30"/>
      <c r="AB768" s="29"/>
      <c r="AC768" s="29"/>
      <c r="AD768" s="37">
        <f t="shared" si="168"/>
        <v>27934</v>
      </c>
      <c r="AE768" s="3" t="str">
        <f t="shared" ca="1" si="167"/>
        <v>50 Tahun 2 bulan 9 Hari</v>
      </c>
      <c r="AF768" s="38">
        <f t="shared" si="169"/>
        <v>49857</v>
      </c>
    </row>
    <row r="769" spans="1:33" ht="32.15" customHeight="1" x14ac:dyDescent="0.35">
      <c r="A769" s="26">
        <f t="shared" si="163"/>
        <v>717</v>
      </c>
      <c r="B769" s="27" t="s">
        <v>2151</v>
      </c>
      <c r="C769" s="26"/>
      <c r="D769" s="111" t="s">
        <v>2160</v>
      </c>
      <c r="E769" s="39" t="s">
        <v>108</v>
      </c>
      <c r="F769" s="39"/>
      <c r="G769" s="40"/>
      <c r="H769" s="4"/>
      <c r="I769" s="36"/>
      <c r="J769" s="91"/>
      <c r="K769" s="3" t="str">
        <f t="shared" ca="1" si="165"/>
        <v/>
      </c>
      <c r="L769" s="36" t="s">
        <v>1749</v>
      </c>
      <c r="M769" s="91"/>
      <c r="N769" s="3" t="str">
        <f t="shared" ca="1" si="176"/>
        <v/>
      </c>
      <c r="O769" s="4"/>
      <c r="P769" s="4"/>
      <c r="Q769" s="4" t="str">
        <f t="shared" si="166"/>
        <v/>
      </c>
      <c r="R769" s="4">
        <f t="shared" si="177"/>
        <v>1</v>
      </c>
      <c r="S769" s="4" t="str">
        <f t="shared" si="179"/>
        <v>0</v>
      </c>
      <c r="T769" s="4">
        <f t="shared" si="164"/>
        <v>1</v>
      </c>
      <c r="U769" s="29"/>
      <c r="V769" s="30"/>
      <c r="W769" s="30"/>
      <c r="X769" s="30"/>
      <c r="Y769" s="30"/>
      <c r="Z769" s="30"/>
      <c r="AA769" s="30"/>
      <c r="AB769" s="29"/>
      <c r="AC769" s="29"/>
      <c r="AD769" s="37" t="str">
        <f t="shared" si="168"/>
        <v/>
      </c>
      <c r="AE769" s="3" t="str">
        <f t="shared" ca="1" si="167"/>
        <v/>
      </c>
      <c r="AF769" s="38" t="str">
        <f t="shared" si="169"/>
        <v/>
      </c>
      <c r="AG769" s="7"/>
    </row>
    <row r="770" spans="1:33" ht="32.15" customHeight="1" x14ac:dyDescent="0.35">
      <c r="A770" s="26">
        <f t="shared" si="163"/>
        <v>718</v>
      </c>
      <c r="B770" s="27" t="s">
        <v>2151</v>
      </c>
      <c r="C770" s="26"/>
      <c r="D770" s="60" t="s">
        <v>2161</v>
      </c>
      <c r="E770" s="39" t="s">
        <v>2162</v>
      </c>
      <c r="F770" s="24" t="s">
        <v>43</v>
      </c>
      <c r="G770" s="44"/>
      <c r="H770" s="4"/>
      <c r="I770" s="36"/>
      <c r="J770" s="112" t="s">
        <v>898</v>
      </c>
      <c r="K770" s="3" t="str">
        <f t="shared" ca="1" si="165"/>
        <v xml:space="preserve">0 Tahun 8 bulan </v>
      </c>
      <c r="L770" s="36" t="s">
        <v>200</v>
      </c>
      <c r="M770" s="118"/>
      <c r="N770" s="3" t="str">
        <f t="shared" ca="1" si="176"/>
        <v/>
      </c>
      <c r="O770" s="36"/>
      <c r="P770" s="4"/>
      <c r="Q770" s="4" t="str">
        <f t="shared" si="166"/>
        <v/>
      </c>
      <c r="R770" s="4">
        <f t="shared" si="177"/>
        <v>1</v>
      </c>
      <c r="S770" s="4" t="str">
        <f t="shared" si="179"/>
        <v>1</v>
      </c>
      <c r="T770" s="4">
        <f t="shared" si="164"/>
        <v>0</v>
      </c>
      <c r="U770" s="29"/>
      <c r="V770" s="30" t="s">
        <v>50</v>
      </c>
      <c r="W770" s="30"/>
      <c r="X770" s="30"/>
      <c r="Y770" s="30"/>
      <c r="Z770" s="30"/>
      <c r="AA770" s="30"/>
      <c r="AB770" s="29"/>
      <c r="AC770" s="29"/>
      <c r="AD770" s="37" t="str">
        <f t="shared" si="168"/>
        <v/>
      </c>
      <c r="AE770" s="3" t="str">
        <f t="shared" ca="1" si="167"/>
        <v/>
      </c>
      <c r="AF770" s="38" t="str">
        <f t="shared" si="169"/>
        <v/>
      </c>
      <c r="AG770" s="7"/>
    </row>
    <row r="771" spans="1:33" ht="32.15" customHeight="1" x14ac:dyDescent="0.35">
      <c r="A771" s="26">
        <f t="shared" ref="A771:A832" si="180">A770+1</f>
        <v>719</v>
      </c>
      <c r="B771" s="27" t="s">
        <v>2151</v>
      </c>
      <c r="C771" s="26"/>
      <c r="D771" s="60" t="s">
        <v>2163</v>
      </c>
      <c r="E771" s="39" t="s">
        <v>2164</v>
      </c>
      <c r="F771" s="24" t="s">
        <v>43</v>
      </c>
      <c r="G771" s="40" t="s">
        <v>2165</v>
      </c>
      <c r="H771" s="4" t="s">
        <v>85</v>
      </c>
      <c r="I771" s="36" t="s">
        <v>1814</v>
      </c>
      <c r="J771" s="82" t="s">
        <v>386</v>
      </c>
      <c r="K771" s="3" t="str">
        <f t="shared" ca="1" si="165"/>
        <v xml:space="preserve">5 Tahun 5 bulan </v>
      </c>
      <c r="L771" s="36" t="s">
        <v>200</v>
      </c>
      <c r="M771" s="82" t="s">
        <v>386</v>
      </c>
      <c r="N771" s="3" t="str">
        <f t="shared" ca="1" si="176"/>
        <v xml:space="preserve">5 Tahun 5 bulan </v>
      </c>
      <c r="O771" s="36"/>
      <c r="P771" s="4" t="s">
        <v>35</v>
      </c>
      <c r="Q771" s="4" t="str">
        <f t="shared" si="166"/>
        <v>Laki-Laki</v>
      </c>
      <c r="R771" s="4">
        <f t="shared" si="177"/>
        <v>1</v>
      </c>
      <c r="S771" s="4" t="str">
        <f t="shared" si="179"/>
        <v>1</v>
      </c>
      <c r="T771" s="4">
        <f t="shared" si="164"/>
        <v>0</v>
      </c>
      <c r="U771" s="29"/>
      <c r="V771" s="30" t="s">
        <v>50</v>
      </c>
      <c r="W771" s="30"/>
      <c r="X771" s="30"/>
      <c r="Y771" s="30"/>
      <c r="Z771" s="30"/>
      <c r="AA771" s="30"/>
      <c r="AB771" s="29"/>
      <c r="AC771" s="29"/>
      <c r="AD771" s="37">
        <f t="shared" si="168"/>
        <v>28470</v>
      </c>
      <c r="AE771" s="3" t="str">
        <f t="shared" ca="1" si="167"/>
        <v>48 Tahun 8 bulan 21 Hari</v>
      </c>
      <c r="AF771" s="38">
        <f t="shared" si="169"/>
        <v>50406</v>
      </c>
      <c r="AG771" s="7"/>
    </row>
    <row r="772" spans="1:33" ht="32.15" customHeight="1" x14ac:dyDescent="0.35">
      <c r="A772" s="26">
        <f t="shared" si="180"/>
        <v>720</v>
      </c>
      <c r="B772" s="27" t="s">
        <v>2151</v>
      </c>
      <c r="C772" s="26"/>
      <c r="D772" s="60" t="s">
        <v>2166</v>
      </c>
      <c r="E772" s="39" t="s">
        <v>2167</v>
      </c>
      <c r="F772" s="24" t="s">
        <v>43</v>
      </c>
      <c r="G772" s="25" t="s">
        <v>2168</v>
      </c>
      <c r="H772" s="4" t="s">
        <v>337</v>
      </c>
      <c r="I772" s="25" t="s">
        <v>86</v>
      </c>
      <c r="J772" s="82" t="s">
        <v>1748</v>
      </c>
      <c r="K772" s="3" t="str">
        <f t="shared" ca="1" si="165"/>
        <v xml:space="preserve">9 Tahun 7 bulan </v>
      </c>
      <c r="L772" s="36" t="s">
        <v>200</v>
      </c>
      <c r="M772" s="82" t="s">
        <v>1748</v>
      </c>
      <c r="N772" s="3" t="str">
        <f t="shared" ca="1" si="176"/>
        <v xml:space="preserve">9 Tahun 7 bulan </v>
      </c>
      <c r="O772" s="36"/>
      <c r="P772" s="4" t="s">
        <v>35</v>
      </c>
      <c r="Q772" s="4" t="str">
        <f t="shared" si="166"/>
        <v>Laki-Laki</v>
      </c>
      <c r="R772" s="4">
        <f t="shared" si="177"/>
        <v>1</v>
      </c>
      <c r="S772" s="4" t="str">
        <f t="shared" si="179"/>
        <v>1</v>
      </c>
      <c r="T772" s="4">
        <f t="shared" si="164"/>
        <v>0</v>
      </c>
      <c r="U772" s="29"/>
      <c r="V772" s="30" t="s">
        <v>50</v>
      </c>
      <c r="W772" s="30"/>
      <c r="X772" s="30"/>
      <c r="Y772" s="30"/>
      <c r="Z772" s="30"/>
      <c r="AA772" s="30"/>
      <c r="AB772" s="29"/>
      <c r="AC772" s="29"/>
      <c r="AD772" s="37">
        <f t="shared" si="168"/>
        <v>29985</v>
      </c>
      <c r="AE772" s="3" t="str">
        <f t="shared" ca="1" si="167"/>
        <v>44 Tahun 6 bulan 29 Hari</v>
      </c>
      <c r="AF772" s="38">
        <f t="shared" si="169"/>
        <v>51926</v>
      </c>
      <c r="AG772" s="7"/>
    </row>
    <row r="773" spans="1:33" ht="32.15" customHeight="1" x14ac:dyDescent="0.35">
      <c r="A773" s="26">
        <f t="shared" si="180"/>
        <v>721</v>
      </c>
      <c r="B773" s="27" t="s">
        <v>2151</v>
      </c>
      <c r="C773" s="26"/>
      <c r="D773" s="60" t="s">
        <v>2169</v>
      </c>
      <c r="E773" s="45" t="s">
        <v>2170</v>
      </c>
      <c r="F773" s="24" t="s">
        <v>43</v>
      </c>
      <c r="G773" s="36" t="s">
        <v>2171</v>
      </c>
      <c r="H773" s="4" t="s">
        <v>1179</v>
      </c>
      <c r="I773" s="36" t="s">
        <v>86</v>
      </c>
      <c r="J773" s="82" t="s">
        <v>354</v>
      </c>
      <c r="K773" s="3" t="str">
        <f t="shared" ca="1" si="165"/>
        <v xml:space="preserve">6 Tahun 9 bulan </v>
      </c>
      <c r="L773" s="36" t="s">
        <v>200</v>
      </c>
      <c r="M773" s="82" t="s">
        <v>354</v>
      </c>
      <c r="N773" s="3" t="str">
        <f t="shared" ca="1" si="176"/>
        <v xml:space="preserve">6 Tahun 9 bulan </v>
      </c>
      <c r="O773" s="36"/>
      <c r="P773" s="4" t="s">
        <v>35</v>
      </c>
      <c r="Q773" s="4" t="str">
        <f t="shared" si="166"/>
        <v>Laki-Laki</v>
      </c>
      <c r="R773" s="4">
        <f t="shared" si="177"/>
        <v>1</v>
      </c>
      <c r="S773" s="4" t="str">
        <f t="shared" si="179"/>
        <v>1</v>
      </c>
      <c r="T773" s="4">
        <f t="shared" si="164"/>
        <v>0</v>
      </c>
      <c r="U773" s="29"/>
      <c r="V773" s="30" t="s">
        <v>50</v>
      </c>
      <c r="W773" s="30"/>
      <c r="X773" s="30"/>
      <c r="Y773" s="30"/>
      <c r="Z773" s="30"/>
      <c r="AA773" s="30"/>
      <c r="AB773" s="29"/>
      <c r="AC773" s="29"/>
      <c r="AD773" s="37">
        <f t="shared" si="168"/>
        <v>27892</v>
      </c>
      <c r="AE773" s="3" t="str">
        <f t="shared" ca="1" si="167"/>
        <v>50 Tahun 3 bulan 20 Hari</v>
      </c>
      <c r="AF773" s="38">
        <f t="shared" si="169"/>
        <v>49827</v>
      </c>
      <c r="AG773" s="7"/>
    </row>
    <row r="774" spans="1:33" ht="32.15" customHeight="1" x14ac:dyDescent="0.35">
      <c r="A774" s="26">
        <f t="shared" si="180"/>
        <v>722</v>
      </c>
      <c r="B774" s="27" t="s">
        <v>2151</v>
      </c>
      <c r="C774" s="26"/>
      <c r="D774" s="60" t="s">
        <v>2172</v>
      </c>
      <c r="E774" s="39" t="s">
        <v>2173</v>
      </c>
      <c r="F774" s="24" t="s">
        <v>43</v>
      </c>
      <c r="G774" s="40" t="s">
        <v>2174</v>
      </c>
      <c r="H774" s="4" t="s">
        <v>662</v>
      </c>
      <c r="I774" s="36" t="s">
        <v>86</v>
      </c>
      <c r="J774" s="47" t="s">
        <v>2175</v>
      </c>
      <c r="K774" s="3" t="str">
        <f t="shared" ca="1" si="165"/>
        <v xml:space="preserve">4 Tahun 6 bulan </v>
      </c>
      <c r="L774" s="36" t="s">
        <v>200</v>
      </c>
      <c r="M774" s="47" t="s">
        <v>2175</v>
      </c>
      <c r="N774" s="3" t="str">
        <f t="shared" ca="1" si="176"/>
        <v xml:space="preserve">4 Tahun 6 bulan </v>
      </c>
      <c r="O774" s="4"/>
      <c r="P774" s="4" t="s">
        <v>35</v>
      </c>
      <c r="Q774" s="4" t="str">
        <f t="shared" si="166"/>
        <v>Laki-Laki</v>
      </c>
      <c r="R774" s="4">
        <f t="shared" si="177"/>
        <v>1</v>
      </c>
      <c r="S774" s="4" t="str">
        <f t="shared" si="179"/>
        <v>1</v>
      </c>
      <c r="T774" s="4">
        <f t="shared" si="164"/>
        <v>0</v>
      </c>
      <c r="U774" s="29"/>
      <c r="V774" s="30" t="s">
        <v>50</v>
      </c>
      <c r="W774" s="30"/>
      <c r="X774" s="30"/>
      <c r="Y774" s="30"/>
      <c r="Z774" s="30"/>
      <c r="AA774" s="30"/>
      <c r="AB774" s="29"/>
      <c r="AC774" s="29"/>
      <c r="AD774" s="37">
        <f t="shared" si="168"/>
        <v>28858</v>
      </c>
      <c r="AE774" s="3" t="str">
        <f t="shared" ca="1" si="167"/>
        <v>47 Tahun 7 bulan 29 Hari</v>
      </c>
      <c r="AF774" s="38">
        <f t="shared" si="169"/>
        <v>50802</v>
      </c>
      <c r="AG774" s="7"/>
    </row>
    <row r="775" spans="1:33" ht="23.25" customHeight="1" x14ac:dyDescent="0.35">
      <c r="A775" s="26"/>
      <c r="B775" s="27" t="s">
        <v>2176</v>
      </c>
      <c r="C775" s="280" t="s">
        <v>2177</v>
      </c>
      <c r="D775" s="281"/>
      <c r="E775" s="24"/>
      <c r="F775" s="24"/>
      <c r="G775" s="4"/>
      <c r="H775" s="4"/>
      <c r="I775" s="33"/>
      <c r="J775" s="5"/>
      <c r="K775" s="3" t="str">
        <f t="shared" ref="K775:K838" ca="1" si="181">IF(J775="","",CONCATENATE(DATEDIF(J775,NOW(),"Y")," Tahun ",DATEDIF(J775,NOW(),"YM")," bulan "))</f>
        <v/>
      </c>
      <c r="L775" s="30"/>
      <c r="M775" s="5"/>
      <c r="N775" s="3" t="str">
        <f t="shared" ca="1" si="176"/>
        <v/>
      </c>
      <c r="O775" s="4"/>
      <c r="P775" s="4"/>
      <c r="Q775" s="4"/>
      <c r="R775" s="4"/>
      <c r="S775" s="4"/>
      <c r="T775" s="4"/>
      <c r="U775" s="29"/>
      <c r="V775" s="30"/>
      <c r="W775" s="30"/>
      <c r="X775" s="30"/>
      <c r="Y775" s="30"/>
      <c r="Z775" s="29"/>
      <c r="AA775" s="29"/>
      <c r="AB775" s="29"/>
      <c r="AC775" s="29"/>
      <c r="AD775" s="37" t="str">
        <f t="shared" si="168"/>
        <v/>
      </c>
      <c r="AE775" s="3" t="str">
        <f t="shared" ref="AE775:AE838" ca="1" si="182">IF(TRIM(AD775)="", "", CONCATENATE(DATEDIF(AD775,NOW(),"Y")," Tahun ",DATEDIF(AD775,NOW(),"YM")," bulan ",DATEDIF(AD775,NOW(),"MD")," Hari"))</f>
        <v/>
      </c>
      <c r="AF775" s="38" t="str">
        <f t="shared" si="169"/>
        <v/>
      </c>
      <c r="AG775" s="7"/>
    </row>
    <row r="776" spans="1:33" ht="32.15" customHeight="1" x14ac:dyDescent="0.35">
      <c r="A776" s="26">
        <f>A774+1</f>
        <v>723</v>
      </c>
      <c r="B776" s="27" t="s">
        <v>2176</v>
      </c>
      <c r="C776" s="282" t="s">
        <v>2178</v>
      </c>
      <c r="D776" s="283"/>
      <c r="E776" s="45" t="s">
        <v>2179</v>
      </c>
      <c r="F776" s="24" t="s">
        <v>43</v>
      </c>
      <c r="G776" s="44" t="s">
        <v>2858</v>
      </c>
      <c r="H776" s="56" t="s">
        <v>66</v>
      </c>
      <c r="I776" s="36" t="s">
        <v>2820</v>
      </c>
      <c r="J776" s="53" t="s">
        <v>898</v>
      </c>
      <c r="K776" s="3" t="str">
        <f t="shared" ca="1" si="181"/>
        <v xml:space="preserve">0 Tahun 8 bulan </v>
      </c>
      <c r="L776" s="36" t="s">
        <v>79</v>
      </c>
      <c r="M776" s="47"/>
      <c r="N776" s="3" t="str">
        <f t="shared" ca="1" si="176"/>
        <v/>
      </c>
      <c r="O776" s="29"/>
      <c r="P776" s="4" t="s">
        <v>35</v>
      </c>
      <c r="Q776" s="4" t="str">
        <f t="shared" ref="Q776:Q839" si="183">CONCATENATE(IF(MID(G776,17,1)="1","Laki-Laki",IF(MID(G776,17,1)="2","Perempuan",)))</f>
        <v>Laki-Laki</v>
      </c>
      <c r="R776" s="4">
        <f>R774</f>
        <v>1</v>
      </c>
      <c r="S776" s="4" t="str">
        <f t="shared" ref="S776:S784" si="184">IF(E776="LOWONG","0","1")</f>
        <v>1</v>
      </c>
      <c r="T776" s="4">
        <f t="shared" si="164"/>
        <v>0</v>
      </c>
      <c r="U776" s="29"/>
      <c r="V776" s="30" t="s">
        <v>50</v>
      </c>
      <c r="W776" s="30"/>
      <c r="X776" s="30"/>
      <c r="Y776" s="30"/>
      <c r="Z776" s="30"/>
      <c r="AA776" s="30"/>
      <c r="AB776" s="29"/>
      <c r="AC776" s="29"/>
      <c r="AD776" s="37">
        <f t="shared" ref="AD776:AD839" si="185">IF(TRIM(G776)="", "", DATE(LEFT(G776,4),MID(G776,5,2),MID(G776,7,2)))</f>
        <v>27261</v>
      </c>
      <c r="AE776" s="3" t="str">
        <f t="shared" ca="1" si="182"/>
        <v>52 Tahun 0 bulan 12 Hari</v>
      </c>
      <c r="AF776" s="38">
        <f t="shared" ref="AF776:AF839" si="186">IF(TRIM(AD776)="","",DATE(YEAR(AD776)+60,MONTH(AD776)+1,1))</f>
        <v>49188</v>
      </c>
      <c r="AG776" s="7"/>
    </row>
    <row r="777" spans="1:33" ht="32.15" customHeight="1" x14ac:dyDescent="0.35">
      <c r="A777" s="26">
        <f t="shared" si="180"/>
        <v>724</v>
      </c>
      <c r="B777" s="27" t="s">
        <v>2176</v>
      </c>
      <c r="C777" s="282" t="s">
        <v>2180</v>
      </c>
      <c r="D777" s="283"/>
      <c r="E777" s="39" t="s">
        <v>2203</v>
      </c>
      <c r="F777" s="24" t="s">
        <v>43</v>
      </c>
      <c r="G777" s="25" t="s">
        <v>2204</v>
      </c>
      <c r="H777" s="36" t="s">
        <v>106</v>
      </c>
      <c r="I777" s="25" t="s">
        <v>86</v>
      </c>
      <c r="J777" s="53">
        <v>46260</v>
      </c>
      <c r="K777" s="3" t="str">
        <f t="shared" ca="1" si="181"/>
        <v xml:space="preserve">0 Tahun 0 bulan </v>
      </c>
      <c r="L777" s="36" t="s">
        <v>346</v>
      </c>
      <c r="M777" s="47" t="s">
        <v>354</v>
      </c>
      <c r="N777" s="3" t="str">
        <f t="shared" ca="1" si="176"/>
        <v xml:space="preserve">6 Tahun 9 bulan </v>
      </c>
      <c r="O777" s="36"/>
      <c r="P777" s="4" t="s">
        <v>35</v>
      </c>
      <c r="Q777" s="4" t="str">
        <f t="shared" si="183"/>
        <v>Laki-Laki</v>
      </c>
      <c r="R777" s="4">
        <f t="shared" ref="R777:R840" si="187">R776</f>
        <v>1</v>
      </c>
      <c r="S777" s="4" t="str">
        <f t="shared" si="184"/>
        <v>1</v>
      </c>
      <c r="T777" s="4">
        <f t="shared" si="164"/>
        <v>0</v>
      </c>
      <c r="U777" s="29"/>
      <c r="V777" s="30" t="s">
        <v>50</v>
      </c>
      <c r="W777" s="30"/>
      <c r="X777" s="30"/>
      <c r="Y777" s="30"/>
      <c r="Z777" s="30"/>
      <c r="AA777" s="30"/>
      <c r="AB777" s="29"/>
      <c r="AC777" s="29"/>
      <c r="AD777" s="37">
        <f t="shared" si="185"/>
        <v>25197</v>
      </c>
      <c r="AE777" s="3" t="str">
        <f t="shared" ca="1" si="182"/>
        <v>57 Tahun 8 bulan 7 Hari</v>
      </c>
      <c r="AF777" s="38">
        <f t="shared" si="186"/>
        <v>47119</v>
      </c>
      <c r="AG777" s="11" t="s">
        <v>3146</v>
      </c>
    </row>
    <row r="778" spans="1:33" ht="32.15" customHeight="1" x14ac:dyDescent="0.35">
      <c r="A778" s="26">
        <f t="shared" si="180"/>
        <v>725</v>
      </c>
      <c r="B778" s="27" t="s">
        <v>2176</v>
      </c>
      <c r="C778" s="26"/>
      <c r="D778" s="111" t="s">
        <v>2183</v>
      </c>
      <c r="E778" s="24" t="s">
        <v>2184</v>
      </c>
      <c r="F778" s="24" t="s">
        <v>43</v>
      </c>
      <c r="G778" s="44" t="s">
        <v>2185</v>
      </c>
      <c r="H778" s="4" t="s">
        <v>703</v>
      </c>
      <c r="I778" s="36" t="s">
        <v>589</v>
      </c>
      <c r="J778" s="47" t="s">
        <v>338</v>
      </c>
      <c r="K778" s="3" t="str">
        <f t="shared" ca="1" si="181"/>
        <v xml:space="preserve">2 Tahun 11 bulan </v>
      </c>
      <c r="L778" s="36" t="s">
        <v>1749</v>
      </c>
      <c r="M778" s="47" t="s">
        <v>338</v>
      </c>
      <c r="N778" s="3" t="str">
        <f t="shared" ca="1" si="176"/>
        <v xml:space="preserve">2 Tahun 11 bulan </v>
      </c>
      <c r="O778" s="36"/>
      <c r="P778" s="4" t="s">
        <v>35</v>
      </c>
      <c r="Q778" s="4" t="str">
        <f t="shared" si="183"/>
        <v>Perempuan</v>
      </c>
      <c r="R778" s="4">
        <f t="shared" si="187"/>
        <v>1</v>
      </c>
      <c r="S778" s="4" t="str">
        <f t="shared" si="184"/>
        <v>1</v>
      </c>
      <c r="T778" s="4">
        <f t="shared" ref="T778:T848" si="188">R778-S778</f>
        <v>0</v>
      </c>
      <c r="U778" s="29"/>
      <c r="V778" s="30"/>
      <c r="W778" s="30"/>
      <c r="X778" s="30"/>
      <c r="Y778" s="30"/>
      <c r="Z778" s="30"/>
      <c r="AA778" s="30"/>
      <c r="AB778" s="29"/>
      <c r="AC778" s="29"/>
      <c r="AD778" s="37">
        <f t="shared" si="185"/>
        <v>26176</v>
      </c>
      <c r="AE778" s="3" t="str">
        <f t="shared" ca="1" si="182"/>
        <v>55 Tahun 0 bulan 1 Hari</v>
      </c>
      <c r="AF778" s="38">
        <f t="shared" si="186"/>
        <v>48092</v>
      </c>
      <c r="AG778" s="7"/>
    </row>
    <row r="779" spans="1:33" ht="32.15" customHeight="1" x14ac:dyDescent="0.35">
      <c r="A779" s="26">
        <f t="shared" si="180"/>
        <v>726</v>
      </c>
      <c r="B779" s="27" t="s">
        <v>2176</v>
      </c>
      <c r="C779" s="26"/>
      <c r="D779" s="111" t="s">
        <v>2186</v>
      </c>
      <c r="E779" s="79" t="s">
        <v>2187</v>
      </c>
      <c r="F779" s="24" t="s">
        <v>43</v>
      </c>
      <c r="G779" s="73" t="s">
        <v>2188</v>
      </c>
      <c r="H779" s="76" t="s">
        <v>2189</v>
      </c>
      <c r="I779" s="36" t="s">
        <v>86</v>
      </c>
      <c r="J779" s="47" t="s">
        <v>626</v>
      </c>
      <c r="K779" s="3" t="str">
        <f t="shared" ca="1" si="181"/>
        <v xml:space="preserve">7 Tahun 7 bulan </v>
      </c>
      <c r="L779" s="36" t="s">
        <v>1749</v>
      </c>
      <c r="M779" s="47" t="s">
        <v>626</v>
      </c>
      <c r="N779" s="3" t="str">
        <f t="shared" ca="1" si="176"/>
        <v xml:space="preserve">7 Tahun 7 bulan </v>
      </c>
      <c r="O779" s="35"/>
      <c r="P779" s="4" t="s">
        <v>35</v>
      </c>
      <c r="Q779" s="4" t="str">
        <f t="shared" si="183"/>
        <v>Laki-Laki</v>
      </c>
      <c r="R779" s="4">
        <f t="shared" si="187"/>
        <v>1</v>
      </c>
      <c r="S779" s="4" t="str">
        <f t="shared" si="184"/>
        <v>1</v>
      </c>
      <c r="T779" s="4">
        <f t="shared" si="188"/>
        <v>0</v>
      </c>
      <c r="U779" s="29"/>
      <c r="V779" s="30" t="s">
        <v>50</v>
      </c>
      <c r="W779" s="30"/>
      <c r="X779" s="30"/>
      <c r="Y779" s="30"/>
      <c r="Z779" s="30"/>
      <c r="AA779" s="30"/>
      <c r="AB779" s="29"/>
      <c r="AC779" s="29"/>
      <c r="AD779" s="37">
        <f t="shared" si="185"/>
        <v>26362</v>
      </c>
      <c r="AE779" s="3" t="str">
        <f t="shared" ca="1" si="182"/>
        <v>54 Tahun 5 bulan 28 Hari</v>
      </c>
      <c r="AF779" s="38">
        <f t="shared" si="186"/>
        <v>48305</v>
      </c>
      <c r="AG779" s="7"/>
    </row>
    <row r="780" spans="1:33" ht="32.15" customHeight="1" x14ac:dyDescent="0.35">
      <c r="A780" s="26">
        <f t="shared" si="180"/>
        <v>727</v>
      </c>
      <c r="B780" s="27" t="s">
        <v>2176</v>
      </c>
      <c r="C780" s="26"/>
      <c r="D780" s="60" t="s">
        <v>2190</v>
      </c>
      <c r="E780" s="45" t="s">
        <v>2191</v>
      </c>
      <c r="F780" s="24" t="s">
        <v>43</v>
      </c>
      <c r="G780" s="44" t="s">
        <v>2192</v>
      </c>
      <c r="H780" s="4" t="s">
        <v>135</v>
      </c>
      <c r="I780" s="36" t="s">
        <v>86</v>
      </c>
      <c r="J780" s="82" t="s">
        <v>1748</v>
      </c>
      <c r="K780" s="3" t="str">
        <f t="shared" ca="1" si="181"/>
        <v xml:space="preserve">9 Tahun 7 bulan </v>
      </c>
      <c r="L780" s="36" t="s">
        <v>200</v>
      </c>
      <c r="M780" s="82" t="s">
        <v>1748</v>
      </c>
      <c r="N780" s="3" t="str">
        <f t="shared" ca="1" si="176"/>
        <v xml:space="preserve">9 Tahun 7 bulan </v>
      </c>
      <c r="O780" s="36"/>
      <c r="P780" s="4" t="s">
        <v>35</v>
      </c>
      <c r="Q780" s="4" t="str">
        <f t="shared" si="183"/>
        <v>Laki-Laki</v>
      </c>
      <c r="R780" s="4">
        <f t="shared" si="187"/>
        <v>1</v>
      </c>
      <c r="S780" s="4" t="str">
        <f t="shared" si="184"/>
        <v>1</v>
      </c>
      <c r="T780" s="4">
        <f t="shared" si="188"/>
        <v>0</v>
      </c>
      <c r="U780" s="29"/>
      <c r="V780" s="30" t="s">
        <v>50</v>
      </c>
      <c r="W780" s="30"/>
      <c r="X780" s="30"/>
      <c r="Y780" s="30"/>
      <c r="Z780" s="30"/>
      <c r="AA780" s="30"/>
      <c r="AB780" s="29"/>
      <c r="AC780" s="29"/>
      <c r="AD780" s="37">
        <f t="shared" si="185"/>
        <v>28746</v>
      </c>
      <c r="AE780" s="3" t="str">
        <f t="shared" ca="1" si="182"/>
        <v>47 Tahun 11 bulan 19 Hari</v>
      </c>
      <c r="AF780" s="38">
        <f t="shared" si="186"/>
        <v>50679</v>
      </c>
      <c r="AG780" s="7"/>
    </row>
    <row r="781" spans="1:33" ht="32.15" customHeight="1" x14ac:dyDescent="0.35">
      <c r="A781" s="26">
        <f t="shared" si="180"/>
        <v>728</v>
      </c>
      <c r="B781" s="27" t="s">
        <v>2176</v>
      </c>
      <c r="C781" s="26"/>
      <c r="D781" s="60" t="s">
        <v>2193</v>
      </c>
      <c r="E781" s="51" t="s">
        <v>2194</v>
      </c>
      <c r="F781" s="24" t="s">
        <v>43</v>
      </c>
      <c r="G781" s="59" t="s">
        <v>2195</v>
      </c>
      <c r="H781" s="36" t="s">
        <v>1761</v>
      </c>
      <c r="I781" s="4" t="s">
        <v>107</v>
      </c>
      <c r="J781" s="82" t="s">
        <v>338</v>
      </c>
      <c r="K781" s="3" t="str">
        <f t="shared" ca="1" si="181"/>
        <v xml:space="preserve">2 Tahun 11 bulan </v>
      </c>
      <c r="L781" s="36" t="s">
        <v>200</v>
      </c>
      <c r="M781" s="82" t="s">
        <v>338</v>
      </c>
      <c r="N781" s="3" t="str">
        <f t="shared" ca="1" si="176"/>
        <v xml:space="preserve">2 Tahun 11 bulan </v>
      </c>
      <c r="O781" s="36"/>
      <c r="P781" s="4" t="s">
        <v>35</v>
      </c>
      <c r="Q781" s="4" t="str">
        <f t="shared" si="183"/>
        <v>Laki-Laki</v>
      </c>
      <c r="R781" s="4">
        <f t="shared" si="187"/>
        <v>1</v>
      </c>
      <c r="S781" s="4" t="str">
        <f t="shared" si="184"/>
        <v>1</v>
      </c>
      <c r="T781" s="4">
        <f t="shared" si="188"/>
        <v>0</v>
      </c>
      <c r="U781" s="29"/>
      <c r="V781" s="30" t="s">
        <v>50</v>
      </c>
      <c r="W781" s="30"/>
      <c r="X781" s="30"/>
      <c r="Y781" s="30"/>
      <c r="Z781" s="30"/>
      <c r="AA781" s="30"/>
      <c r="AB781" s="29"/>
      <c r="AC781" s="29"/>
      <c r="AD781" s="37">
        <f t="shared" si="185"/>
        <v>25671</v>
      </c>
      <c r="AE781" s="3" t="str">
        <f t="shared" ca="1" si="182"/>
        <v>56 Tahun 4 bulan 19 Hari</v>
      </c>
      <c r="AF781" s="38">
        <f t="shared" si="186"/>
        <v>47604</v>
      </c>
      <c r="AG781" s="7"/>
    </row>
    <row r="782" spans="1:33" ht="32.15" customHeight="1" x14ac:dyDescent="0.35">
      <c r="A782" s="26">
        <f t="shared" si="180"/>
        <v>729</v>
      </c>
      <c r="B782" s="27" t="s">
        <v>2176</v>
      </c>
      <c r="C782" s="26"/>
      <c r="D782" s="60" t="s">
        <v>2196</v>
      </c>
      <c r="E782" s="24" t="s">
        <v>2197</v>
      </c>
      <c r="F782" s="24" t="s">
        <v>43</v>
      </c>
      <c r="G782" s="3" t="s">
        <v>2198</v>
      </c>
      <c r="H782" s="4" t="s">
        <v>703</v>
      </c>
      <c r="I782" s="36" t="s">
        <v>86</v>
      </c>
      <c r="J782" s="82" t="s">
        <v>338</v>
      </c>
      <c r="K782" s="3" t="str">
        <f t="shared" ca="1" si="181"/>
        <v xml:space="preserve">2 Tahun 11 bulan </v>
      </c>
      <c r="L782" s="36" t="s">
        <v>200</v>
      </c>
      <c r="M782" s="82" t="s">
        <v>338</v>
      </c>
      <c r="N782" s="3" t="str">
        <f t="shared" ca="1" si="176"/>
        <v xml:space="preserve">2 Tahun 11 bulan </v>
      </c>
      <c r="O782" s="36"/>
      <c r="P782" s="4" t="s">
        <v>35</v>
      </c>
      <c r="Q782" s="4" t="str">
        <f t="shared" si="183"/>
        <v>Laki-Laki</v>
      </c>
      <c r="R782" s="4">
        <f t="shared" si="187"/>
        <v>1</v>
      </c>
      <c r="S782" s="4" t="str">
        <f t="shared" si="184"/>
        <v>1</v>
      </c>
      <c r="T782" s="4">
        <f t="shared" si="188"/>
        <v>0</v>
      </c>
      <c r="U782" s="29"/>
      <c r="V782" s="30" t="s">
        <v>50</v>
      </c>
      <c r="W782" s="30"/>
      <c r="X782" s="30"/>
      <c r="Y782" s="30"/>
      <c r="Z782" s="30"/>
      <c r="AA782" s="30"/>
      <c r="AB782" s="29"/>
      <c r="AC782" s="29"/>
      <c r="AD782" s="37">
        <f t="shared" si="185"/>
        <v>27855</v>
      </c>
      <c r="AE782" s="3" t="str">
        <f t="shared" ca="1" si="182"/>
        <v>50 Tahun 4 bulan 27 Hari</v>
      </c>
      <c r="AF782" s="38">
        <f t="shared" si="186"/>
        <v>49796</v>
      </c>
      <c r="AG782" s="7"/>
    </row>
    <row r="783" spans="1:33" ht="32.15" customHeight="1" x14ac:dyDescent="0.35">
      <c r="A783" s="26">
        <f t="shared" si="180"/>
        <v>730</v>
      </c>
      <c r="B783" s="27" t="s">
        <v>2176</v>
      </c>
      <c r="C783" s="26"/>
      <c r="D783" s="245" t="s">
        <v>2199</v>
      </c>
      <c r="E783" s="24" t="s">
        <v>108</v>
      </c>
      <c r="F783" s="24"/>
      <c r="G783" s="3"/>
      <c r="H783" s="4"/>
      <c r="I783" s="48"/>
      <c r="J783" s="47"/>
      <c r="K783" s="3" t="str">
        <f t="shared" ca="1" si="181"/>
        <v/>
      </c>
      <c r="L783" s="36" t="s">
        <v>200</v>
      </c>
      <c r="M783" s="47"/>
      <c r="N783" s="3" t="str">
        <f t="shared" ca="1" si="176"/>
        <v/>
      </c>
      <c r="O783" s="36"/>
      <c r="P783" s="4" t="s">
        <v>35</v>
      </c>
      <c r="Q783" s="4" t="str">
        <f t="shared" si="183"/>
        <v/>
      </c>
      <c r="R783" s="4">
        <f t="shared" si="187"/>
        <v>1</v>
      </c>
      <c r="S783" s="4" t="str">
        <f t="shared" si="184"/>
        <v>0</v>
      </c>
      <c r="T783" s="4">
        <f t="shared" si="188"/>
        <v>1</v>
      </c>
      <c r="U783" s="29"/>
      <c r="V783" s="30" t="s">
        <v>50</v>
      </c>
      <c r="W783" s="30"/>
      <c r="X783" s="30"/>
      <c r="Y783" s="30"/>
      <c r="Z783" s="30"/>
      <c r="AA783" s="30"/>
      <c r="AB783" s="29"/>
      <c r="AC783" s="29"/>
      <c r="AD783" s="37" t="str">
        <f t="shared" si="185"/>
        <v/>
      </c>
      <c r="AE783" s="3" t="str">
        <f t="shared" ca="1" si="182"/>
        <v/>
      </c>
      <c r="AF783" s="38" t="str">
        <f t="shared" si="186"/>
        <v/>
      </c>
      <c r="AG783" s="7"/>
    </row>
    <row r="784" spans="1:33" ht="32.15" customHeight="1" x14ac:dyDescent="0.35">
      <c r="A784" s="26">
        <f t="shared" si="180"/>
        <v>731</v>
      </c>
      <c r="B784" s="27" t="s">
        <v>2176</v>
      </c>
      <c r="C784" s="26"/>
      <c r="D784" s="60" t="s">
        <v>2202</v>
      </c>
      <c r="E784" s="24" t="s">
        <v>2200</v>
      </c>
      <c r="F784" s="24" t="s">
        <v>43</v>
      </c>
      <c r="G784" s="3" t="s">
        <v>2201</v>
      </c>
      <c r="H784" s="4" t="s">
        <v>259</v>
      </c>
      <c r="I784" s="48" t="s">
        <v>86</v>
      </c>
      <c r="J784" s="82">
        <v>46260</v>
      </c>
      <c r="K784" s="3" t="str">
        <f t="shared" ca="1" si="181"/>
        <v xml:space="preserve">0 Tahun 0 bulan </v>
      </c>
      <c r="L784" s="36" t="s">
        <v>200</v>
      </c>
      <c r="M784" s="82" t="s">
        <v>199</v>
      </c>
      <c r="N784" s="3" t="str">
        <f t="shared" ca="1" si="176"/>
        <v xml:space="preserve">3 Tahun 11 bulan </v>
      </c>
      <c r="O784" s="36"/>
      <c r="P784" s="4" t="s">
        <v>35</v>
      </c>
      <c r="Q784" s="4" t="str">
        <f t="shared" si="183"/>
        <v>Perempuan</v>
      </c>
      <c r="R784" s="4">
        <f t="shared" si="187"/>
        <v>1</v>
      </c>
      <c r="S784" s="4" t="str">
        <f t="shared" si="184"/>
        <v>1</v>
      </c>
      <c r="T784" s="4">
        <f t="shared" si="188"/>
        <v>0</v>
      </c>
      <c r="U784" s="29"/>
      <c r="V784" s="30" t="s">
        <v>50</v>
      </c>
      <c r="W784" s="30"/>
      <c r="X784" s="30"/>
      <c r="Y784" s="30"/>
      <c r="Z784" s="30"/>
      <c r="AA784" s="30"/>
      <c r="AB784" s="29"/>
      <c r="AC784" s="29"/>
      <c r="AD784" s="37">
        <f t="shared" si="185"/>
        <v>28773</v>
      </c>
      <c r="AE784" s="3" t="str">
        <f t="shared" ca="1" si="182"/>
        <v>47 Tahun 10 bulan 22 Hari</v>
      </c>
      <c r="AF784" s="38">
        <f t="shared" si="186"/>
        <v>50710</v>
      </c>
      <c r="AG784" s="7"/>
    </row>
    <row r="785" spans="1:32" s="7" customFormat="1" ht="24.75" customHeight="1" x14ac:dyDescent="0.35">
      <c r="A785" s="26"/>
      <c r="B785" s="27" t="s">
        <v>2205</v>
      </c>
      <c r="C785" s="280" t="s">
        <v>2206</v>
      </c>
      <c r="D785" s="281"/>
      <c r="E785" s="24"/>
      <c r="F785" s="24"/>
      <c r="G785" s="4"/>
      <c r="H785" s="4"/>
      <c r="I785" s="33"/>
      <c r="J785" s="119"/>
      <c r="K785" s="120"/>
      <c r="L785" s="121"/>
      <c r="M785" s="119"/>
      <c r="N785" s="3" t="str">
        <f t="shared" ca="1" si="176"/>
        <v/>
      </c>
      <c r="O785" s="122"/>
      <c r="P785" s="4"/>
      <c r="Q785" s="4"/>
      <c r="R785" s="4"/>
      <c r="S785" s="4"/>
      <c r="T785" s="4"/>
      <c r="U785" s="29"/>
      <c r="V785" s="30"/>
      <c r="W785" s="30"/>
      <c r="X785" s="30"/>
      <c r="Y785" s="30"/>
      <c r="Z785" s="29"/>
      <c r="AA785" s="29"/>
      <c r="AB785" s="29"/>
      <c r="AC785" s="29"/>
      <c r="AD785" s="37" t="str">
        <f t="shared" si="185"/>
        <v/>
      </c>
      <c r="AE785" s="3" t="str">
        <f t="shared" ca="1" si="182"/>
        <v/>
      </c>
      <c r="AF785" s="38" t="str">
        <f t="shared" si="186"/>
        <v/>
      </c>
    </row>
    <row r="786" spans="1:32" s="7" customFormat="1" ht="28.5" customHeight="1" x14ac:dyDescent="0.35">
      <c r="A786" s="26">
        <f>A784+1</f>
        <v>732</v>
      </c>
      <c r="B786" s="27" t="s">
        <v>2205</v>
      </c>
      <c r="C786" s="282" t="s">
        <v>2207</v>
      </c>
      <c r="D786" s="283"/>
      <c r="E786" s="45" t="s">
        <v>2208</v>
      </c>
      <c r="F786" s="24" t="s">
        <v>43</v>
      </c>
      <c r="G786" s="25" t="s">
        <v>2209</v>
      </c>
      <c r="H786" s="25" t="s">
        <v>181</v>
      </c>
      <c r="I786" s="25" t="s">
        <v>184</v>
      </c>
      <c r="J786" s="123" t="s">
        <v>898</v>
      </c>
      <c r="K786" s="44" t="str">
        <f t="shared" ca="1" si="181"/>
        <v xml:space="preserve">0 Tahun 8 bulan </v>
      </c>
      <c r="L786" s="36" t="s">
        <v>79</v>
      </c>
      <c r="M786" s="5" t="s">
        <v>338</v>
      </c>
      <c r="N786" s="3" t="str">
        <f t="shared" ca="1" si="176"/>
        <v xml:space="preserve">2 Tahun 11 bulan </v>
      </c>
      <c r="O786" s="29"/>
      <c r="P786" s="4" t="s">
        <v>35</v>
      </c>
      <c r="Q786" s="4" t="str">
        <f t="shared" si="183"/>
        <v>Laki-Laki</v>
      </c>
      <c r="R786" s="4">
        <f>R784</f>
        <v>1</v>
      </c>
      <c r="S786" s="4" t="str">
        <f t="shared" ref="S786:S794" si="189">IF(E786="LOWONG","0","1")</f>
        <v>1</v>
      </c>
      <c r="T786" s="4">
        <f t="shared" si="188"/>
        <v>0</v>
      </c>
      <c r="U786" s="29"/>
      <c r="V786" s="30"/>
      <c r="W786" s="30"/>
      <c r="X786" s="30"/>
      <c r="Y786" s="30"/>
      <c r="Z786" s="30"/>
      <c r="AA786" s="30"/>
      <c r="AB786" s="29"/>
      <c r="AC786" s="29"/>
      <c r="AD786" s="37">
        <f t="shared" si="185"/>
        <v>26679</v>
      </c>
      <c r="AE786" s="3" t="str">
        <f t="shared" ca="1" si="182"/>
        <v>53 Tahun 7 bulan 17 Hari</v>
      </c>
      <c r="AF786" s="38">
        <f t="shared" si="186"/>
        <v>48611</v>
      </c>
    </row>
    <row r="787" spans="1:32" s="7" customFormat="1" ht="28.5" customHeight="1" x14ac:dyDescent="0.35">
      <c r="A787" s="26">
        <f t="shared" si="180"/>
        <v>733</v>
      </c>
      <c r="B787" s="27" t="s">
        <v>2205</v>
      </c>
      <c r="C787" s="282" t="s">
        <v>2210</v>
      </c>
      <c r="D787" s="283"/>
      <c r="E787" s="45" t="s">
        <v>2181</v>
      </c>
      <c r="F787" s="24" t="s">
        <v>43</v>
      </c>
      <c r="G787" s="36" t="s">
        <v>2182</v>
      </c>
      <c r="H787" s="36" t="s">
        <v>181</v>
      </c>
      <c r="I787" s="36" t="s">
        <v>1337</v>
      </c>
      <c r="J787" s="53">
        <v>46260</v>
      </c>
      <c r="K787" s="3" t="str">
        <f t="shared" ca="1" si="181"/>
        <v xml:space="preserve">0 Tahun 0 bulan </v>
      </c>
      <c r="L787" s="36" t="s">
        <v>346</v>
      </c>
      <c r="M787" s="47" t="s">
        <v>338</v>
      </c>
      <c r="N787" s="3" t="str">
        <f t="shared" ca="1" si="176"/>
        <v xml:space="preserve">2 Tahun 11 bulan </v>
      </c>
      <c r="O787" s="36"/>
      <c r="P787" s="4" t="s">
        <v>35</v>
      </c>
      <c r="Q787" s="4" t="str">
        <f t="shared" si="183"/>
        <v>Laki-Laki</v>
      </c>
      <c r="R787" s="4">
        <f t="shared" si="187"/>
        <v>1</v>
      </c>
      <c r="S787" s="4" t="str">
        <f t="shared" si="189"/>
        <v>1</v>
      </c>
      <c r="T787" s="4">
        <f t="shared" si="188"/>
        <v>0</v>
      </c>
      <c r="U787" s="29"/>
      <c r="V787" s="30" t="s">
        <v>50</v>
      </c>
      <c r="W787" s="30"/>
      <c r="X787" s="30"/>
      <c r="Y787" s="30"/>
      <c r="Z787" s="30"/>
      <c r="AA787" s="30"/>
      <c r="AB787" s="29"/>
      <c r="AC787" s="29"/>
      <c r="AD787" s="37">
        <f t="shared" si="185"/>
        <v>27935</v>
      </c>
      <c r="AE787" s="3" t="str">
        <f t="shared" ca="1" si="182"/>
        <v>50 Tahun 2 bulan 8 Hari</v>
      </c>
      <c r="AF787" s="38">
        <f t="shared" si="186"/>
        <v>49857</v>
      </c>
    </row>
    <row r="788" spans="1:32" s="7" customFormat="1" ht="28.5" customHeight="1" x14ac:dyDescent="0.35">
      <c r="A788" s="26">
        <f t="shared" si="180"/>
        <v>734</v>
      </c>
      <c r="B788" s="27" t="s">
        <v>2205</v>
      </c>
      <c r="C788" s="26"/>
      <c r="D788" s="111" t="s">
        <v>2213</v>
      </c>
      <c r="E788" s="45" t="s">
        <v>108</v>
      </c>
      <c r="F788" s="24"/>
      <c r="G788" s="36"/>
      <c r="H788" s="4"/>
      <c r="I788" s="36"/>
      <c r="J788" s="82"/>
      <c r="K788" s="3" t="str">
        <f t="shared" ca="1" si="181"/>
        <v/>
      </c>
      <c r="L788" s="36" t="s">
        <v>1749</v>
      </c>
      <c r="M788" s="82"/>
      <c r="N788" s="3" t="str">
        <f t="shared" ca="1" si="176"/>
        <v/>
      </c>
      <c r="O788" s="36"/>
      <c r="P788" s="4"/>
      <c r="Q788" s="4" t="str">
        <f t="shared" si="183"/>
        <v/>
      </c>
      <c r="R788" s="4">
        <f t="shared" si="187"/>
        <v>1</v>
      </c>
      <c r="S788" s="4" t="str">
        <f>IF(E788="LOWONG","0","1")</f>
        <v>0</v>
      </c>
      <c r="T788" s="4">
        <f t="shared" si="188"/>
        <v>1</v>
      </c>
      <c r="U788" s="29"/>
      <c r="V788" s="30"/>
      <c r="W788" s="30"/>
      <c r="X788" s="30"/>
      <c r="Y788" s="30"/>
      <c r="Z788" s="30"/>
      <c r="AA788" s="30"/>
      <c r="AB788" s="29"/>
      <c r="AC788" s="29"/>
      <c r="AD788" s="37" t="str">
        <f t="shared" si="185"/>
        <v/>
      </c>
      <c r="AE788" s="3" t="str">
        <f t="shared" ca="1" si="182"/>
        <v/>
      </c>
      <c r="AF788" s="38" t="str">
        <f t="shared" si="186"/>
        <v/>
      </c>
    </row>
    <row r="789" spans="1:32" s="7" customFormat="1" ht="28.5" customHeight="1" x14ac:dyDescent="0.35">
      <c r="A789" s="26">
        <f t="shared" si="180"/>
        <v>735</v>
      </c>
      <c r="B789" s="27" t="s">
        <v>2205</v>
      </c>
      <c r="C789" s="26"/>
      <c r="D789" s="111" t="s">
        <v>2215</v>
      </c>
      <c r="E789" s="45" t="s">
        <v>108</v>
      </c>
      <c r="F789" s="45"/>
      <c r="G789" s="36"/>
      <c r="H789" s="4"/>
      <c r="I789" s="36"/>
      <c r="J789" s="118"/>
      <c r="K789" s="3" t="str">
        <f t="shared" ca="1" si="181"/>
        <v/>
      </c>
      <c r="L789" s="36" t="s">
        <v>1749</v>
      </c>
      <c r="M789" s="118"/>
      <c r="N789" s="3" t="str">
        <f t="shared" ca="1" si="176"/>
        <v/>
      </c>
      <c r="O789" s="36"/>
      <c r="P789" s="4"/>
      <c r="Q789" s="4" t="str">
        <f t="shared" si="183"/>
        <v/>
      </c>
      <c r="R789" s="4">
        <f t="shared" si="187"/>
        <v>1</v>
      </c>
      <c r="S789" s="4" t="str">
        <f>IF(E789="LOWONG","0","1")</f>
        <v>0</v>
      </c>
      <c r="T789" s="4">
        <f t="shared" si="188"/>
        <v>1</v>
      </c>
      <c r="U789" s="29"/>
      <c r="V789" s="30"/>
      <c r="W789" s="30"/>
      <c r="X789" s="30"/>
      <c r="Y789" s="30"/>
      <c r="Z789" s="30"/>
      <c r="AA789" s="30"/>
      <c r="AB789" s="29"/>
      <c r="AC789" s="29"/>
      <c r="AD789" s="37" t="str">
        <f t="shared" si="185"/>
        <v/>
      </c>
      <c r="AE789" s="3" t="str">
        <f t="shared" ca="1" si="182"/>
        <v/>
      </c>
      <c r="AF789" s="38" t="str">
        <f t="shared" si="186"/>
        <v/>
      </c>
    </row>
    <row r="790" spans="1:32" s="7" customFormat="1" ht="28.5" customHeight="1" x14ac:dyDescent="0.35">
      <c r="A790" s="26">
        <f t="shared" si="180"/>
        <v>736</v>
      </c>
      <c r="B790" s="27" t="s">
        <v>2205</v>
      </c>
      <c r="C790" s="211" t="s">
        <v>2216</v>
      </c>
      <c r="D790" s="6"/>
      <c r="E790" s="24" t="s">
        <v>2217</v>
      </c>
      <c r="F790" s="24" t="s">
        <v>43</v>
      </c>
      <c r="G790" s="3" t="s">
        <v>2218</v>
      </c>
      <c r="H790" s="4" t="s">
        <v>1158</v>
      </c>
      <c r="I790" s="36" t="s">
        <v>362</v>
      </c>
      <c r="J790" s="82" t="s">
        <v>1766</v>
      </c>
      <c r="K790" s="3" t="str">
        <f t="shared" ca="1" si="181"/>
        <v xml:space="preserve">9 Tahun 0 bulan </v>
      </c>
      <c r="L790" s="36" t="s">
        <v>200</v>
      </c>
      <c r="M790" s="82" t="s">
        <v>1766</v>
      </c>
      <c r="N790" s="3" t="str">
        <f t="shared" ca="1" si="176"/>
        <v xml:space="preserve">9 Tahun 0 bulan </v>
      </c>
      <c r="O790" s="4"/>
      <c r="P790" s="4" t="s">
        <v>35</v>
      </c>
      <c r="Q790" s="4" t="str">
        <f t="shared" si="183"/>
        <v>Laki-Laki</v>
      </c>
      <c r="R790" s="4">
        <f t="shared" si="187"/>
        <v>1</v>
      </c>
      <c r="S790" s="4" t="str">
        <f t="shared" si="189"/>
        <v>1</v>
      </c>
      <c r="T790" s="4">
        <f t="shared" si="188"/>
        <v>0</v>
      </c>
      <c r="U790" s="29"/>
      <c r="V790" s="30" t="s">
        <v>50</v>
      </c>
      <c r="W790" s="30"/>
      <c r="X790" s="30"/>
      <c r="Y790" s="30"/>
      <c r="Z790" s="30"/>
      <c r="AA790" s="30"/>
      <c r="AB790" s="29"/>
      <c r="AC790" s="29"/>
      <c r="AD790" s="37">
        <f t="shared" si="185"/>
        <v>30179</v>
      </c>
      <c r="AE790" s="3" t="str">
        <f t="shared" ca="1" si="182"/>
        <v>44 Tahun 0 bulan 16 Hari</v>
      </c>
      <c r="AF790" s="38">
        <f t="shared" si="186"/>
        <v>52110</v>
      </c>
    </row>
    <row r="791" spans="1:32" s="7" customFormat="1" ht="28.5" customHeight="1" x14ac:dyDescent="0.35">
      <c r="A791" s="26">
        <f t="shared" si="180"/>
        <v>737</v>
      </c>
      <c r="B791" s="27" t="s">
        <v>2205</v>
      </c>
      <c r="C791" s="26"/>
      <c r="D791" s="60" t="s">
        <v>2219</v>
      </c>
      <c r="E791" s="45" t="s">
        <v>2220</v>
      </c>
      <c r="F791" s="24" t="s">
        <v>43</v>
      </c>
      <c r="G791" s="44" t="s">
        <v>2221</v>
      </c>
      <c r="H791" s="25" t="s">
        <v>1263</v>
      </c>
      <c r="I791" s="36" t="s">
        <v>86</v>
      </c>
      <c r="J791" s="65" t="s">
        <v>338</v>
      </c>
      <c r="K791" s="3" t="str">
        <f t="shared" ca="1" si="181"/>
        <v xml:space="preserve">2 Tahun 11 bulan </v>
      </c>
      <c r="L791" s="36" t="s">
        <v>200</v>
      </c>
      <c r="M791" s="65" t="s">
        <v>338</v>
      </c>
      <c r="N791" s="3" t="str">
        <f t="shared" ca="1" si="176"/>
        <v xml:space="preserve">2 Tahun 11 bulan </v>
      </c>
      <c r="O791" s="36"/>
      <c r="P791" s="4" t="s">
        <v>506</v>
      </c>
      <c r="Q791" s="4" t="str">
        <f t="shared" si="183"/>
        <v>Laki-Laki</v>
      </c>
      <c r="R791" s="4">
        <f t="shared" si="187"/>
        <v>1</v>
      </c>
      <c r="S791" s="4" t="str">
        <f t="shared" si="189"/>
        <v>1</v>
      </c>
      <c r="T791" s="4">
        <f t="shared" si="188"/>
        <v>0</v>
      </c>
      <c r="U791" s="29"/>
      <c r="V791" s="30" t="s">
        <v>50</v>
      </c>
      <c r="W791" s="30"/>
      <c r="X791" s="30"/>
      <c r="Y791" s="30"/>
      <c r="Z791" s="30"/>
      <c r="AA791" s="30"/>
      <c r="AB791" s="29"/>
      <c r="AC791" s="29"/>
      <c r="AD791" s="37">
        <f t="shared" si="185"/>
        <v>27838</v>
      </c>
      <c r="AE791" s="3" t="str">
        <f t="shared" ca="1" si="182"/>
        <v>50 Tahun 5 bulan 13 Hari</v>
      </c>
      <c r="AF791" s="38">
        <f t="shared" si="186"/>
        <v>49766</v>
      </c>
    </row>
    <row r="792" spans="1:32" s="7" customFormat="1" ht="28.5" customHeight="1" x14ac:dyDescent="0.35">
      <c r="A792" s="26">
        <f t="shared" si="180"/>
        <v>738</v>
      </c>
      <c r="B792" s="27" t="s">
        <v>2205</v>
      </c>
      <c r="C792" s="26"/>
      <c r="D792" s="60" t="s">
        <v>2222</v>
      </c>
      <c r="E792" s="45" t="s">
        <v>2223</v>
      </c>
      <c r="F792" s="24" t="s">
        <v>43</v>
      </c>
      <c r="G792" s="44" t="s">
        <v>2224</v>
      </c>
      <c r="H792" s="4" t="s">
        <v>1263</v>
      </c>
      <c r="I792" s="36" t="s">
        <v>362</v>
      </c>
      <c r="J792" s="82" t="s">
        <v>1748</v>
      </c>
      <c r="K792" s="3" t="str">
        <f t="shared" ca="1" si="181"/>
        <v xml:space="preserve">9 Tahun 7 bulan </v>
      </c>
      <c r="L792" s="36" t="s">
        <v>200</v>
      </c>
      <c r="M792" s="82" t="s">
        <v>1748</v>
      </c>
      <c r="N792" s="3" t="str">
        <f t="shared" ca="1" si="176"/>
        <v xml:space="preserve">9 Tahun 7 bulan </v>
      </c>
      <c r="O792" s="4"/>
      <c r="P792" s="4" t="s">
        <v>35</v>
      </c>
      <c r="Q792" s="4" t="str">
        <f t="shared" si="183"/>
        <v>Laki-Laki</v>
      </c>
      <c r="R792" s="4">
        <f t="shared" si="187"/>
        <v>1</v>
      </c>
      <c r="S792" s="4" t="str">
        <f t="shared" si="189"/>
        <v>1</v>
      </c>
      <c r="T792" s="4">
        <f t="shared" si="188"/>
        <v>0</v>
      </c>
      <c r="U792" s="29"/>
      <c r="V792" s="30" t="s">
        <v>50</v>
      </c>
      <c r="W792" s="30"/>
      <c r="X792" s="30"/>
      <c r="Y792" s="30"/>
      <c r="Z792" s="30"/>
      <c r="AA792" s="30"/>
      <c r="AB792" s="29"/>
      <c r="AC792" s="29"/>
      <c r="AD792" s="37">
        <f t="shared" si="185"/>
        <v>27110</v>
      </c>
      <c r="AE792" s="3" t="str">
        <f t="shared" ca="1" si="182"/>
        <v>52 Tahun 5 bulan 10 Hari</v>
      </c>
      <c r="AF792" s="38">
        <f t="shared" si="186"/>
        <v>49035</v>
      </c>
    </row>
    <row r="793" spans="1:32" s="7" customFormat="1" ht="28.5" customHeight="1" x14ac:dyDescent="0.35">
      <c r="A793" s="26">
        <f t="shared" si="180"/>
        <v>739</v>
      </c>
      <c r="B793" s="27" t="s">
        <v>2205</v>
      </c>
      <c r="C793" s="26"/>
      <c r="D793" s="60" t="s">
        <v>2225</v>
      </c>
      <c r="E793" s="45" t="s">
        <v>2226</v>
      </c>
      <c r="F793" s="24" t="s">
        <v>43</v>
      </c>
      <c r="G793" s="44" t="s">
        <v>2227</v>
      </c>
      <c r="H793" s="4" t="s">
        <v>85</v>
      </c>
      <c r="I793" s="48" t="s">
        <v>251</v>
      </c>
      <c r="J793" s="82" t="s">
        <v>386</v>
      </c>
      <c r="K793" s="3" t="str">
        <f t="shared" ca="1" si="181"/>
        <v xml:space="preserve">5 Tahun 5 bulan </v>
      </c>
      <c r="L793" s="36" t="s">
        <v>200</v>
      </c>
      <c r="M793" s="82" t="s">
        <v>386</v>
      </c>
      <c r="N793" s="3" t="str">
        <f t="shared" ca="1" si="176"/>
        <v xml:space="preserve">5 Tahun 5 bulan </v>
      </c>
      <c r="O793" s="4"/>
      <c r="P793" s="4" t="s">
        <v>35</v>
      </c>
      <c r="Q793" s="4" t="str">
        <f t="shared" si="183"/>
        <v/>
      </c>
      <c r="R793" s="4">
        <f t="shared" si="187"/>
        <v>1</v>
      </c>
      <c r="S793" s="4" t="str">
        <f t="shared" si="189"/>
        <v>1</v>
      </c>
      <c r="T793" s="4">
        <f t="shared" si="188"/>
        <v>0</v>
      </c>
      <c r="U793" s="29"/>
      <c r="V793" s="30" t="s">
        <v>50</v>
      </c>
      <c r="W793" s="30"/>
      <c r="X793" s="30"/>
      <c r="Y793" s="30"/>
      <c r="Z793" s="30"/>
      <c r="AA793" s="30"/>
      <c r="AB793" s="29"/>
      <c r="AC793" s="29"/>
      <c r="AD793" s="37">
        <f t="shared" si="185"/>
        <v>28644</v>
      </c>
      <c r="AE793" s="3" t="str">
        <f t="shared" ca="1" si="182"/>
        <v>48 Tahun 2 bulan 29 Hari</v>
      </c>
      <c r="AF793" s="38">
        <f t="shared" si="186"/>
        <v>50587</v>
      </c>
    </row>
    <row r="794" spans="1:32" s="7" customFormat="1" ht="28.5" customHeight="1" x14ac:dyDescent="0.35">
      <c r="A794" s="26">
        <f t="shared" si="180"/>
        <v>740</v>
      </c>
      <c r="B794" s="27" t="s">
        <v>2205</v>
      </c>
      <c r="C794" s="26"/>
      <c r="D794" s="60" t="s">
        <v>2228</v>
      </c>
      <c r="E794" s="39" t="s">
        <v>2229</v>
      </c>
      <c r="F794" s="24" t="s">
        <v>43</v>
      </c>
      <c r="G794" s="40" t="s">
        <v>2230</v>
      </c>
      <c r="H794" s="4" t="s">
        <v>85</v>
      </c>
      <c r="I794" s="25" t="s">
        <v>86</v>
      </c>
      <c r="J794" s="82" t="s">
        <v>386</v>
      </c>
      <c r="K794" s="3" t="str">
        <f t="shared" ca="1" si="181"/>
        <v xml:space="preserve">5 Tahun 5 bulan </v>
      </c>
      <c r="L794" s="36" t="s">
        <v>200</v>
      </c>
      <c r="M794" s="82" t="s">
        <v>386</v>
      </c>
      <c r="N794" s="3" t="str">
        <f t="shared" ca="1" si="176"/>
        <v xml:space="preserve">5 Tahun 5 bulan </v>
      </c>
      <c r="O794" s="36"/>
      <c r="P794" s="4" t="s">
        <v>35</v>
      </c>
      <c r="Q794" s="4" t="str">
        <f t="shared" si="183"/>
        <v>Laki-Laki</v>
      </c>
      <c r="R794" s="4">
        <f t="shared" si="187"/>
        <v>1</v>
      </c>
      <c r="S794" s="4" t="str">
        <f t="shared" si="189"/>
        <v>1</v>
      </c>
      <c r="T794" s="4">
        <f t="shared" si="188"/>
        <v>0</v>
      </c>
      <c r="U794" s="29"/>
      <c r="V794" s="30" t="s">
        <v>50</v>
      </c>
      <c r="W794" s="30"/>
      <c r="X794" s="30"/>
      <c r="Y794" s="30"/>
      <c r="Z794" s="30"/>
      <c r="AA794" s="30"/>
      <c r="AB794" s="29"/>
      <c r="AC794" s="29"/>
      <c r="AD794" s="37">
        <f t="shared" si="185"/>
        <v>29068</v>
      </c>
      <c r="AE794" s="3" t="str">
        <f t="shared" ca="1" si="182"/>
        <v>47 Tahun 1 bulan 0 Hari</v>
      </c>
      <c r="AF794" s="38">
        <f t="shared" si="186"/>
        <v>51014</v>
      </c>
    </row>
    <row r="795" spans="1:32" s="7" customFormat="1" ht="24.75" customHeight="1" x14ac:dyDescent="0.35">
      <c r="A795" s="26"/>
      <c r="B795" s="27" t="s">
        <v>2231</v>
      </c>
      <c r="C795" s="280" t="s">
        <v>2232</v>
      </c>
      <c r="D795" s="281"/>
      <c r="E795" s="24"/>
      <c r="F795" s="24"/>
      <c r="G795" s="4"/>
      <c r="H795" s="4"/>
      <c r="I795" s="33"/>
      <c r="J795" s="5"/>
      <c r="K795" s="3" t="str">
        <f t="shared" ca="1" si="181"/>
        <v/>
      </c>
      <c r="L795" s="30"/>
      <c r="M795" s="5"/>
      <c r="N795" s="3" t="str">
        <f t="shared" ca="1" si="176"/>
        <v/>
      </c>
      <c r="O795" s="4"/>
      <c r="P795" s="4"/>
      <c r="Q795" s="4"/>
      <c r="R795" s="4"/>
      <c r="S795" s="4"/>
      <c r="T795" s="4"/>
      <c r="U795" s="29"/>
      <c r="V795" s="30"/>
      <c r="W795" s="30"/>
      <c r="X795" s="30"/>
      <c r="Y795" s="30"/>
      <c r="Z795" s="29"/>
      <c r="AA795" s="29"/>
      <c r="AB795" s="29"/>
      <c r="AC795" s="29"/>
      <c r="AD795" s="37" t="str">
        <f t="shared" si="185"/>
        <v/>
      </c>
      <c r="AE795" s="3" t="str">
        <f t="shared" ca="1" si="182"/>
        <v/>
      </c>
      <c r="AF795" s="38" t="str">
        <f t="shared" si="186"/>
        <v/>
      </c>
    </row>
    <row r="796" spans="1:32" s="7" customFormat="1" ht="32.15" customHeight="1" x14ac:dyDescent="0.35">
      <c r="A796" s="26">
        <f>A794+1</f>
        <v>741</v>
      </c>
      <c r="B796" s="27" t="s">
        <v>2231</v>
      </c>
      <c r="C796" s="282" t="s">
        <v>2233</v>
      </c>
      <c r="D796" s="283"/>
      <c r="E796" s="39" t="s">
        <v>1614</v>
      </c>
      <c r="F796" s="24" t="s">
        <v>43</v>
      </c>
      <c r="G796" s="3" t="s">
        <v>1615</v>
      </c>
      <c r="H796" s="4" t="s">
        <v>385</v>
      </c>
      <c r="I796" s="25" t="s">
        <v>46</v>
      </c>
      <c r="J796" s="53">
        <v>46260</v>
      </c>
      <c r="K796" s="3" t="str">
        <f t="shared" ca="1" si="181"/>
        <v xml:space="preserve">0 Tahun 0 bulan </v>
      </c>
      <c r="L796" s="36" t="s">
        <v>79</v>
      </c>
      <c r="M796" s="47" t="s">
        <v>275</v>
      </c>
      <c r="N796" s="3" t="str">
        <f t="shared" ca="1" si="176"/>
        <v xml:space="preserve">5 Tahun 10 bulan </v>
      </c>
      <c r="O796" s="35"/>
      <c r="P796" s="4" t="s">
        <v>35</v>
      </c>
      <c r="Q796" s="4" t="str">
        <f t="shared" si="183"/>
        <v>Laki-Laki</v>
      </c>
      <c r="R796" s="4">
        <f>R794</f>
        <v>1</v>
      </c>
      <c r="S796" s="4" t="str">
        <f t="shared" ref="S796:S804" si="190">IF(E796="LOWONG","0","1")</f>
        <v>1</v>
      </c>
      <c r="T796" s="4">
        <f t="shared" si="188"/>
        <v>0</v>
      </c>
      <c r="U796" s="29"/>
      <c r="V796" s="30" t="s">
        <v>50</v>
      </c>
      <c r="W796" s="30"/>
      <c r="X796" s="30"/>
      <c r="Y796" s="30"/>
      <c r="Z796" s="30"/>
      <c r="AA796" s="30"/>
      <c r="AB796" s="29"/>
      <c r="AC796" s="29"/>
      <c r="AD796" s="37">
        <f t="shared" si="185"/>
        <v>28921</v>
      </c>
      <c r="AE796" s="3" t="str">
        <f t="shared" ca="1" si="182"/>
        <v>47 Tahun 5 bulan 25 Hari</v>
      </c>
      <c r="AF796" s="38">
        <f t="shared" si="186"/>
        <v>50861</v>
      </c>
    </row>
    <row r="797" spans="1:32" s="7" customFormat="1" ht="32.15" customHeight="1" x14ac:dyDescent="0.35">
      <c r="A797" s="26">
        <f t="shared" si="180"/>
        <v>742</v>
      </c>
      <c r="B797" s="27" t="s">
        <v>2231</v>
      </c>
      <c r="C797" s="282" t="s">
        <v>2234</v>
      </c>
      <c r="D797" s="283"/>
      <c r="E797" s="24" t="s">
        <v>2235</v>
      </c>
      <c r="F797" s="24" t="s">
        <v>43</v>
      </c>
      <c r="G797" s="44" t="s">
        <v>2236</v>
      </c>
      <c r="H797" s="36" t="s">
        <v>259</v>
      </c>
      <c r="I797" s="36" t="s">
        <v>86</v>
      </c>
      <c r="J797" s="47" t="s">
        <v>127</v>
      </c>
      <c r="K797" s="3" t="str">
        <f t="shared" ca="1" si="181"/>
        <v xml:space="preserve">5 Tahun 6 bulan </v>
      </c>
      <c r="L797" s="36" t="s">
        <v>346</v>
      </c>
      <c r="M797" s="47" t="s">
        <v>127</v>
      </c>
      <c r="N797" s="3" t="str">
        <f t="shared" ca="1" si="176"/>
        <v xml:space="preserve">5 Tahun 6 bulan </v>
      </c>
      <c r="O797" s="4"/>
      <c r="P797" s="4" t="s">
        <v>35</v>
      </c>
      <c r="Q797" s="4" t="str">
        <f t="shared" si="183"/>
        <v>Laki-Laki</v>
      </c>
      <c r="R797" s="4">
        <f t="shared" si="187"/>
        <v>1</v>
      </c>
      <c r="S797" s="4" t="str">
        <f t="shared" si="190"/>
        <v>1</v>
      </c>
      <c r="T797" s="4">
        <f t="shared" si="188"/>
        <v>0</v>
      </c>
      <c r="U797" s="29"/>
      <c r="V797" s="30" t="s">
        <v>50</v>
      </c>
      <c r="W797" s="30"/>
      <c r="X797" s="30"/>
      <c r="Y797" s="30"/>
      <c r="Z797" s="30"/>
      <c r="AA797" s="30"/>
      <c r="AB797" s="29"/>
      <c r="AC797" s="29"/>
      <c r="AD797" s="37">
        <f t="shared" si="185"/>
        <v>27254</v>
      </c>
      <c r="AE797" s="3" t="str">
        <f t="shared" ca="1" si="182"/>
        <v>52 Tahun 0 bulan 19 Hari</v>
      </c>
      <c r="AF797" s="38">
        <f t="shared" si="186"/>
        <v>49188</v>
      </c>
    </row>
    <row r="798" spans="1:32" s="7" customFormat="1" ht="30" customHeight="1" x14ac:dyDescent="0.35">
      <c r="A798" s="26">
        <f t="shared" si="180"/>
        <v>743</v>
      </c>
      <c r="B798" s="27" t="s">
        <v>2231</v>
      </c>
      <c r="C798" s="26"/>
      <c r="D798" s="111" t="s">
        <v>2237</v>
      </c>
      <c r="E798" s="24" t="s">
        <v>2238</v>
      </c>
      <c r="F798" s="24" t="s">
        <v>43</v>
      </c>
      <c r="G798" s="3" t="s">
        <v>2239</v>
      </c>
      <c r="H798" s="56" t="s">
        <v>574</v>
      </c>
      <c r="I798" s="36" t="s">
        <v>2240</v>
      </c>
      <c r="J798" s="82" t="s">
        <v>1748</v>
      </c>
      <c r="K798" s="3" t="str">
        <f t="shared" ca="1" si="181"/>
        <v xml:space="preserve">9 Tahun 7 bulan </v>
      </c>
      <c r="L798" s="36" t="s">
        <v>1749</v>
      </c>
      <c r="M798" s="82" t="s">
        <v>1748</v>
      </c>
      <c r="N798" s="3" t="str">
        <f t="shared" ca="1" si="176"/>
        <v xml:space="preserve">9 Tahun 7 bulan </v>
      </c>
      <c r="O798" s="36"/>
      <c r="P798" s="4" t="s">
        <v>35</v>
      </c>
      <c r="Q798" s="4" t="str">
        <f t="shared" si="183"/>
        <v>Laki-Laki</v>
      </c>
      <c r="R798" s="4">
        <f t="shared" si="187"/>
        <v>1</v>
      </c>
      <c r="S798" s="4" t="str">
        <f t="shared" si="190"/>
        <v>1</v>
      </c>
      <c r="T798" s="4">
        <f t="shared" si="188"/>
        <v>0</v>
      </c>
      <c r="U798" s="29"/>
      <c r="V798" s="30" t="s">
        <v>50</v>
      </c>
      <c r="W798" s="30"/>
      <c r="X798" s="30"/>
      <c r="Y798" s="30"/>
      <c r="Z798" s="30"/>
      <c r="AA798" s="30"/>
      <c r="AB798" s="29"/>
      <c r="AC798" s="29"/>
      <c r="AD798" s="37">
        <f t="shared" si="185"/>
        <v>25637</v>
      </c>
      <c r="AE798" s="3" t="str">
        <f t="shared" ca="1" si="182"/>
        <v>56 Tahun 5 bulan 22 Hari</v>
      </c>
      <c r="AF798" s="38">
        <f t="shared" si="186"/>
        <v>47574</v>
      </c>
    </row>
    <row r="799" spans="1:32" s="7" customFormat="1" ht="30" customHeight="1" x14ac:dyDescent="0.35">
      <c r="A799" s="26">
        <f t="shared" si="180"/>
        <v>744</v>
      </c>
      <c r="B799" s="27" t="s">
        <v>2231</v>
      </c>
      <c r="C799" s="26"/>
      <c r="D799" s="111" t="s">
        <v>2241</v>
      </c>
      <c r="E799" s="45" t="s">
        <v>2242</v>
      </c>
      <c r="F799" s="24" t="s">
        <v>43</v>
      </c>
      <c r="G799" s="44" t="s">
        <v>2243</v>
      </c>
      <c r="H799" s="56" t="s">
        <v>687</v>
      </c>
      <c r="I799" s="48" t="s">
        <v>118</v>
      </c>
      <c r="J799" s="82" t="s">
        <v>1754</v>
      </c>
      <c r="K799" s="3" t="str">
        <f t="shared" ca="1" si="181"/>
        <v xml:space="preserve">4 Tahun 10 bulan </v>
      </c>
      <c r="L799" s="36" t="s">
        <v>1749</v>
      </c>
      <c r="M799" s="82" t="s">
        <v>1754</v>
      </c>
      <c r="N799" s="3" t="str">
        <f t="shared" ca="1" si="176"/>
        <v xml:space="preserve">4 Tahun 10 bulan </v>
      </c>
      <c r="O799" s="36"/>
      <c r="P799" s="4" t="s">
        <v>35</v>
      </c>
      <c r="Q799" s="4" t="str">
        <f t="shared" si="183"/>
        <v>Laki-Laki</v>
      </c>
      <c r="R799" s="4">
        <f t="shared" si="187"/>
        <v>1</v>
      </c>
      <c r="S799" s="4" t="str">
        <f t="shared" si="190"/>
        <v>1</v>
      </c>
      <c r="T799" s="4">
        <f t="shared" si="188"/>
        <v>0</v>
      </c>
      <c r="U799" s="29"/>
      <c r="V799" s="30" t="s">
        <v>50</v>
      </c>
      <c r="W799" s="30"/>
      <c r="X799" s="30"/>
      <c r="Y799" s="30"/>
      <c r="Z799" s="30"/>
      <c r="AA799" s="30"/>
      <c r="AB799" s="29"/>
      <c r="AC799" s="29"/>
      <c r="AD799" s="37">
        <f t="shared" si="185"/>
        <v>30163</v>
      </c>
      <c r="AE799" s="3" t="str">
        <f t="shared" ca="1" si="182"/>
        <v>44 Tahun 1 bulan 1 Hari</v>
      </c>
      <c r="AF799" s="38">
        <f t="shared" si="186"/>
        <v>52079</v>
      </c>
    </row>
    <row r="800" spans="1:32" s="7" customFormat="1" ht="30" customHeight="1" x14ac:dyDescent="0.35">
      <c r="A800" s="26">
        <f t="shared" si="180"/>
        <v>745</v>
      </c>
      <c r="B800" s="27" t="s">
        <v>2231</v>
      </c>
      <c r="C800" s="26"/>
      <c r="D800" s="245" t="s">
        <v>2244</v>
      </c>
      <c r="E800" s="45" t="s">
        <v>108</v>
      </c>
      <c r="F800" s="24"/>
      <c r="G800" s="44"/>
      <c r="H800" s="4"/>
      <c r="I800" s="4"/>
      <c r="J800" s="82"/>
      <c r="K800" s="3" t="str">
        <f t="shared" ca="1" si="181"/>
        <v/>
      </c>
      <c r="L800" s="36" t="s">
        <v>200</v>
      </c>
      <c r="M800" s="82"/>
      <c r="N800" s="3" t="str">
        <f t="shared" ca="1" si="176"/>
        <v/>
      </c>
      <c r="O800" s="4"/>
      <c r="P800" s="4" t="s">
        <v>35</v>
      </c>
      <c r="Q800" s="4" t="str">
        <f t="shared" si="183"/>
        <v/>
      </c>
      <c r="R800" s="4">
        <f t="shared" si="187"/>
        <v>1</v>
      </c>
      <c r="S800" s="4" t="str">
        <f t="shared" si="190"/>
        <v>0</v>
      </c>
      <c r="T800" s="4">
        <f t="shared" si="188"/>
        <v>1</v>
      </c>
      <c r="U800" s="29"/>
      <c r="V800" s="30" t="s">
        <v>50</v>
      </c>
      <c r="W800" s="30"/>
      <c r="X800" s="30"/>
      <c r="Y800" s="30"/>
      <c r="Z800" s="30"/>
      <c r="AA800" s="30"/>
      <c r="AB800" s="29"/>
      <c r="AC800" s="29"/>
      <c r="AD800" s="37" t="str">
        <f t="shared" si="185"/>
        <v/>
      </c>
      <c r="AE800" s="3" t="str">
        <f t="shared" ca="1" si="182"/>
        <v/>
      </c>
      <c r="AF800" s="38" t="str">
        <f t="shared" si="186"/>
        <v/>
      </c>
    </row>
    <row r="801" spans="1:32" s="7" customFormat="1" ht="30" customHeight="1" x14ac:dyDescent="0.35">
      <c r="A801" s="26">
        <f t="shared" si="180"/>
        <v>746</v>
      </c>
      <c r="B801" s="27" t="s">
        <v>2231</v>
      </c>
      <c r="C801" s="26"/>
      <c r="D801" s="60" t="s">
        <v>2245</v>
      </c>
      <c r="E801" s="45" t="s">
        <v>2246</v>
      </c>
      <c r="F801" s="24" t="s">
        <v>43</v>
      </c>
      <c r="G801" s="44" t="s">
        <v>2247</v>
      </c>
      <c r="H801" s="4" t="s">
        <v>472</v>
      </c>
      <c r="I801" s="48" t="s">
        <v>86</v>
      </c>
      <c r="J801" s="82" t="s">
        <v>1748</v>
      </c>
      <c r="K801" s="3" t="str">
        <f t="shared" ca="1" si="181"/>
        <v xml:space="preserve">9 Tahun 7 bulan </v>
      </c>
      <c r="L801" s="36" t="s">
        <v>200</v>
      </c>
      <c r="M801" s="82" t="s">
        <v>1748</v>
      </c>
      <c r="N801" s="3" t="str">
        <f t="shared" ca="1" si="176"/>
        <v xml:space="preserve">9 Tahun 7 bulan </v>
      </c>
      <c r="O801" s="36"/>
      <c r="P801" s="4" t="s">
        <v>35</v>
      </c>
      <c r="Q801" s="4" t="str">
        <f t="shared" si="183"/>
        <v>Perempuan</v>
      </c>
      <c r="R801" s="4">
        <f t="shared" si="187"/>
        <v>1</v>
      </c>
      <c r="S801" s="4" t="str">
        <f t="shared" si="190"/>
        <v>1</v>
      </c>
      <c r="T801" s="4">
        <f t="shared" si="188"/>
        <v>0</v>
      </c>
      <c r="U801" s="29"/>
      <c r="V801" s="30"/>
      <c r="W801" s="30"/>
      <c r="X801" s="30"/>
      <c r="Y801" s="30"/>
      <c r="Z801" s="30"/>
      <c r="AA801" s="30"/>
      <c r="AB801" s="29"/>
      <c r="AC801" s="29"/>
      <c r="AD801" s="37">
        <f t="shared" si="185"/>
        <v>26700</v>
      </c>
      <c r="AE801" s="3" t="str">
        <f t="shared" ca="1" si="182"/>
        <v>53 Tahun 6 bulan 27 Hari</v>
      </c>
      <c r="AF801" s="38">
        <f t="shared" si="186"/>
        <v>48639</v>
      </c>
    </row>
    <row r="802" spans="1:32" s="7" customFormat="1" ht="30" customHeight="1" x14ac:dyDescent="0.35">
      <c r="A802" s="26">
        <f t="shared" si="180"/>
        <v>747</v>
      </c>
      <c r="B802" s="27" t="s">
        <v>2231</v>
      </c>
      <c r="C802" s="26"/>
      <c r="D802" s="60" t="s">
        <v>2248</v>
      </c>
      <c r="E802" s="45" t="s">
        <v>2249</v>
      </c>
      <c r="F802" s="24" t="s">
        <v>43</v>
      </c>
      <c r="G802" s="44"/>
      <c r="H802" s="4"/>
      <c r="I802" s="4"/>
      <c r="J802" s="112" t="s">
        <v>898</v>
      </c>
      <c r="K802" s="3" t="str">
        <f t="shared" ca="1" si="181"/>
        <v xml:space="preserve">0 Tahun 8 bulan </v>
      </c>
      <c r="L802" s="36" t="s">
        <v>200</v>
      </c>
      <c r="M802" s="118"/>
      <c r="N802" s="3" t="str">
        <f t="shared" ca="1" si="176"/>
        <v/>
      </c>
      <c r="O802" s="4"/>
      <c r="P802" s="4"/>
      <c r="Q802" s="4" t="str">
        <f t="shared" si="183"/>
        <v/>
      </c>
      <c r="R802" s="4">
        <f t="shared" si="187"/>
        <v>1</v>
      </c>
      <c r="S802" s="4" t="str">
        <f t="shared" si="190"/>
        <v>1</v>
      </c>
      <c r="T802" s="4">
        <f t="shared" si="188"/>
        <v>0</v>
      </c>
      <c r="U802" s="29"/>
      <c r="V802" s="30" t="s">
        <v>50</v>
      </c>
      <c r="W802" s="30"/>
      <c r="X802" s="30"/>
      <c r="Y802" s="30"/>
      <c r="Z802" s="30"/>
      <c r="AA802" s="30"/>
      <c r="AB802" s="29"/>
      <c r="AC802" s="29"/>
      <c r="AD802" s="37" t="str">
        <f t="shared" si="185"/>
        <v/>
      </c>
      <c r="AE802" s="3" t="str">
        <f t="shared" ca="1" si="182"/>
        <v/>
      </c>
      <c r="AF802" s="38" t="str">
        <f t="shared" si="186"/>
        <v/>
      </c>
    </row>
    <row r="803" spans="1:32" s="7" customFormat="1" ht="30" customHeight="1" x14ac:dyDescent="0.35">
      <c r="A803" s="26">
        <f t="shared" si="180"/>
        <v>748</v>
      </c>
      <c r="B803" s="27" t="s">
        <v>2231</v>
      </c>
      <c r="C803" s="26"/>
      <c r="D803" s="60" t="s">
        <v>2250</v>
      </c>
      <c r="E803" s="45" t="s">
        <v>2943</v>
      </c>
      <c r="F803" s="45" t="s">
        <v>43</v>
      </c>
      <c r="G803" s="36" t="s">
        <v>2944</v>
      </c>
      <c r="H803" s="4" t="s">
        <v>1092</v>
      </c>
      <c r="I803" s="36"/>
      <c r="J803" s="112">
        <v>45993</v>
      </c>
      <c r="K803" s="3" t="str">
        <f t="shared" ca="1" si="181"/>
        <v xml:space="preserve">0 Tahun 8 bulan </v>
      </c>
      <c r="L803" s="36" t="s">
        <v>200</v>
      </c>
      <c r="M803" s="118"/>
      <c r="N803" s="3" t="str">
        <f t="shared" ca="1" si="176"/>
        <v/>
      </c>
      <c r="O803" s="36"/>
      <c r="P803" s="4"/>
      <c r="Q803" s="4" t="str">
        <f t="shared" si="183"/>
        <v>Laki-Laki</v>
      </c>
      <c r="R803" s="4">
        <f t="shared" si="187"/>
        <v>1</v>
      </c>
      <c r="S803" s="4" t="str">
        <f t="shared" si="190"/>
        <v>1</v>
      </c>
      <c r="T803" s="4">
        <f t="shared" si="188"/>
        <v>0</v>
      </c>
      <c r="U803" s="29"/>
      <c r="V803" s="30" t="s">
        <v>50</v>
      </c>
      <c r="W803" s="30"/>
      <c r="X803" s="30"/>
      <c r="Y803" s="30"/>
      <c r="Z803" s="30"/>
      <c r="AA803" s="30"/>
      <c r="AB803" s="29"/>
      <c r="AC803" s="29"/>
      <c r="AD803" s="37">
        <f t="shared" si="185"/>
        <v>26832</v>
      </c>
      <c r="AE803" s="3" t="str">
        <f t="shared" ca="1" si="182"/>
        <v>53 Tahun 2 bulan 15 Hari</v>
      </c>
      <c r="AF803" s="38">
        <f t="shared" si="186"/>
        <v>48761</v>
      </c>
    </row>
    <row r="804" spans="1:32" s="7" customFormat="1" ht="30" customHeight="1" x14ac:dyDescent="0.35">
      <c r="A804" s="26">
        <f t="shared" si="180"/>
        <v>749</v>
      </c>
      <c r="B804" s="27" t="s">
        <v>2231</v>
      </c>
      <c r="C804" s="26"/>
      <c r="D804" s="60" t="s">
        <v>2251</v>
      </c>
      <c r="E804" s="71" t="s">
        <v>2914</v>
      </c>
      <c r="F804" s="71" t="s">
        <v>43</v>
      </c>
      <c r="G804" s="70" t="s">
        <v>2915</v>
      </c>
      <c r="H804" s="56" t="s">
        <v>2662</v>
      </c>
      <c r="I804" s="56" t="s">
        <v>2916</v>
      </c>
      <c r="J804" s="115">
        <v>46087</v>
      </c>
      <c r="K804" s="3" t="str">
        <f t="shared" ca="1" si="181"/>
        <v xml:space="preserve">0 Tahun 5 bulan </v>
      </c>
      <c r="L804" s="36" t="s">
        <v>200</v>
      </c>
      <c r="M804" s="115">
        <v>46087</v>
      </c>
      <c r="N804" s="3" t="str">
        <f t="shared" ca="1" si="176"/>
        <v xml:space="preserve">0 Tahun 5 bulan </v>
      </c>
      <c r="O804" s="36"/>
      <c r="P804" s="4"/>
      <c r="Q804" s="4" t="str">
        <f t="shared" si="183"/>
        <v>Laki-Laki</v>
      </c>
      <c r="R804" s="4">
        <f t="shared" si="187"/>
        <v>1</v>
      </c>
      <c r="S804" s="4" t="str">
        <f t="shared" si="190"/>
        <v>1</v>
      </c>
      <c r="T804" s="4">
        <f t="shared" si="188"/>
        <v>0</v>
      </c>
      <c r="U804" s="29"/>
      <c r="V804" s="30" t="s">
        <v>50</v>
      </c>
      <c r="W804" s="30"/>
      <c r="X804" s="30"/>
      <c r="Y804" s="30"/>
      <c r="Z804" s="30"/>
      <c r="AA804" s="30"/>
      <c r="AB804" s="29"/>
      <c r="AC804" s="29"/>
      <c r="AD804" s="37">
        <f t="shared" si="185"/>
        <v>28833</v>
      </c>
      <c r="AE804" s="3" t="str">
        <f t="shared" ca="1" si="182"/>
        <v>47 Tahun 8 bulan 23 Hari</v>
      </c>
      <c r="AF804" s="38">
        <f t="shared" si="186"/>
        <v>50771</v>
      </c>
    </row>
    <row r="805" spans="1:32" s="7" customFormat="1" ht="26.25" customHeight="1" x14ac:dyDescent="0.35">
      <c r="A805" s="26"/>
      <c r="B805" s="27" t="s">
        <v>2252</v>
      </c>
      <c r="C805" s="280" t="s">
        <v>3048</v>
      </c>
      <c r="D805" s="281"/>
      <c r="E805" s="24"/>
      <c r="F805" s="24"/>
      <c r="G805" s="4"/>
      <c r="H805" s="4"/>
      <c r="I805" s="33"/>
      <c r="J805" s="5"/>
      <c r="K805" s="3" t="str">
        <f t="shared" ca="1" si="181"/>
        <v/>
      </c>
      <c r="L805" s="30"/>
      <c r="M805" s="5"/>
      <c r="N805" s="3" t="str">
        <f t="shared" ca="1" si="176"/>
        <v/>
      </c>
      <c r="O805" s="4"/>
      <c r="P805" s="4"/>
      <c r="Q805" s="4"/>
      <c r="R805" s="4"/>
      <c r="S805" s="4"/>
      <c r="T805" s="4"/>
      <c r="U805" s="29"/>
      <c r="V805" s="30"/>
      <c r="W805" s="30"/>
      <c r="X805" s="30"/>
      <c r="Y805" s="30"/>
      <c r="Z805" s="29"/>
      <c r="AA805" s="29"/>
      <c r="AB805" s="29"/>
      <c r="AC805" s="29"/>
      <c r="AD805" s="37" t="str">
        <f t="shared" si="185"/>
        <v/>
      </c>
      <c r="AE805" s="3" t="str">
        <f t="shared" ca="1" si="182"/>
        <v/>
      </c>
      <c r="AF805" s="38" t="str">
        <f t="shared" si="186"/>
        <v/>
      </c>
    </row>
    <row r="806" spans="1:32" s="7" customFormat="1" ht="30" customHeight="1" x14ac:dyDescent="0.35">
      <c r="A806" s="26">
        <f>A804+1</f>
        <v>750</v>
      </c>
      <c r="B806" s="27" t="s">
        <v>2252</v>
      </c>
      <c r="C806" s="282" t="s">
        <v>3049</v>
      </c>
      <c r="D806" s="283"/>
      <c r="E806" s="24" t="s">
        <v>2102</v>
      </c>
      <c r="F806" s="24" t="s">
        <v>43</v>
      </c>
      <c r="G806" s="3" t="s">
        <v>2814</v>
      </c>
      <c r="H806" s="4" t="s">
        <v>2855</v>
      </c>
      <c r="I806" s="4" t="s">
        <v>2821</v>
      </c>
      <c r="J806" s="5">
        <v>46260</v>
      </c>
      <c r="K806" s="3" t="str">
        <f t="shared" ca="1" si="181"/>
        <v xml:space="preserve">0 Tahun 0 bulan </v>
      </c>
      <c r="L806" s="36" t="s">
        <v>79</v>
      </c>
      <c r="M806" s="5"/>
      <c r="N806" s="3" t="str">
        <f t="shared" ca="1" si="176"/>
        <v/>
      </c>
      <c r="O806" s="36"/>
      <c r="P806" s="4" t="s">
        <v>35</v>
      </c>
      <c r="Q806" s="4" t="str">
        <f t="shared" si="183"/>
        <v>Laki-Laki</v>
      </c>
      <c r="R806" s="4">
        <v>1</v>
      </c>
      <c r="S806" s="4" t="str">
        <f t="shared" ref="S806:S814" si="191">IF(E806="LOWONG","0","1")</f>
        <v>1</v>
      </c>
      <c r="T806" s="4">
        <f t="shared" si="188"/>
        <v>0</v>
      </c>
      <c r="U806" s="29"/>
      <c r="V806" s="30" t="s">
        <v>50</v>
      </c>
      <c r="W806" s="30"/>
      <c r="X806" s="30"/>
      <c r="Y806" s="30"/>
      <c r="Z806" s="30"/>
      <c r="AA806" s="30"/>
      <c r="AB806" s="29"/>
      <c r="AC806" s="29"/>
      <c r="AD806" s="37">
        <f t="shared" si="185"/>
        <v>26857</v>
      </c>
      <c r="AE806" s="3" t="str">
        <f t="shared" ca="1" si="182"/>
        <v>53 Tahun 1 bulan 20 Hari</v>
      </c>
      <c r="AF806" s="38">
        <f t="shared" si="186"/>
        <v>48792</v>
      </c>
    </row>
    <row r="807" spans="1:32" s="7" customFormat="1" ht="30" customHeight="1" x14ac:dyDescent="0.35">
      <c r="A807" s="26">
        <f t="shared" si="180"/>
        <v>751</v>
      </c>
      <c r="B807" s="27" t="s">
        <v>2252</v>
      </c>
      <c r="C807" s="282" t="s">
        <v>2255</v>
      </c>
      <c r="D807" s="283"/>
      <c r="E807" s="24" t="s">
        <v>1743</v>
      </c>
      <c r="F807" s="24" t="s">
        <v>43</v>
      </c>
      <c r="G807" s="3" t="s">
        <v>1744</v>
      </c>
      <c r="H807" s="4" t="s">
        <v>841</v>
      </c>
      <c r="I807" s="4" t="s">
        <v>86</v>
      </c>
      <c r="J807" s="5">
        <v>46260</v>
      </c>
      <c r="K807" s="3" t="str">
        <f t="shared" ca="1" si="181"/>
        <v xml:space="preserve">0 Tahun 0 bulan </v>
      </c>
      <c r="L807" s="30" t="s">
        <v>346</v>
      </c>
      <c r="M807" s="5" t="s">
        <v>940</v>
      </c>
      <c r="N807" s="3" t="str">
        <f t="shared" ca="1" si="176"/>
        <v xml:space="preserve">4 Tahun 2 bulan </v>
      </c>
      <c r="O807" s="4"/>
      <c r="P807" s="4" t="s">
        <v>35</v>
      </c>
      <c r="Q807" s="4" t="str">
        <f t="shared" si="183"/>
        <v>Laki-Laki</v>
      </c>
      <c r="R807" s="4">
        <v>1</v>
      </c>
      <c r="S807" s="4" t="str">
        <f t="shared" si="191"/>
        <v>1</v>
      </c>
      <c r="T807" s="4">
        <f t="shared" si="188"/>
        <v>0</v>
      </c>
      <c r="U807" s="29"/>
      <c r="V807" s="30" t="s">
        <v>50</v>
      </c>
      <c r="W807" s="30"/>
      <c r="X807" s="30"/>
      <c r="Y807" s="30"/>
      <c r="Z807" s="30"/>
      <c r="AA807" s="30"/>
      <c r="AB807" s="29"/>
      <c r="AC807" s="29"/>
      <c r="AD807" s="37">
        <f t="shared" si="185"/>
        <v>30182</v>
      </c>
      <c r="AE807" s="3" t="str">
        <f t="shared" ca="1" si="182"/>
        <v>44 Tahun 0 bulan 13 Hari</v>
      </c>
      <c r="AF807" s="38">
        <f t="shared" si="186"/>
        <v>52110</v>
      </c>
    </row>
    <row r="808" spans="1:32" s="7" customFormat="1" ht="30" customHeight="1" x14ac:dyDescent="0.35">
      <c r="A808" s="26">
        <f t="shared" si="180"/>
        <v>752</v>
      </c>
      <c r="B808" s="27" t="s">
        <v>2252</v>
      </c>
      <c r="C808" s="26"/>
      <c r="D808" s="111" t="s">
        <v>2258</v>
      </c>
      <c r="E808" s="24" t="s">
        <v>2259</v>
      </c>
      <c r="F808" s="24" t="s">
        <v>43</v>
      </c>
      <c r="G808" s="44" t="s">
        <v>2260</v>
      </c>
      <c r="H808" s="36" t="s">
        <v>159</v>
      </c>
      <c r="I808" s="36" t="s">
        <v>86</v>
      </c>
      <c r="J808" s="82" t="s">
        <v>292</v>
      </c>
      <c r="K808" s="3" t="str">
        <f t="shared" ca="1" si="181"/>
        <v xml:space="preserve">7 Tahun 7 bulan </v>
      </c>
      <c r="L808" s="36" t="s">
        <v>1749</v>
      </c>
      <c r="M808" s="82" t="s">
        <v>292</v>
      </c>
      <c r="N808" s="3" t="str">
        <f t="shared" ca="1" si="176"/>
        <v xml:space="preserve">7 Tahun 7 bulan </v>
      </c>
      <c r="O808" s="36"/>
      <c r="P808" s="4" t="s">
        <v>35</v>
      </c>
      <c r="Q808" s="4" t="str">
        <f t="shared" si="183"/>
        <v>Laki-Laki</v>
      </c>
      <c r="R808" s="4">
        <f t="shared" si="187"/>
        <v>1</v>
      </c>
      <c r="S808" s="4" t="str">
        <f t="shared" si="191"/>
        <v>1</v>
      </c>
      <c r="T808" s="4">
        <f t="shared" si="188"/>
        <v>0</v>
      </c>
      <c r="U808" s="29"/>
      <c r="V808" s="30" t="s">
        <v>50</v>
      </c>
      <c r="W808" s="30"/>
      <c r="X808" s="30"/>
      <c r="Y808" s="30"/>
      <c r="Z808" s="30"/>
      <c r="AA808" s="30"/>
      <c r="AB808" s="29"/>
      <c r="AC808" s="29"/>
      <c r="AD808" s="37">
        <f t="shared" si="185"/>
        <v>28092</v>
      </c>
      <c r="AE808" s="3" t="str">
        <f t="shared" ca="1" si="182"/>
        <v>49 Tahun 9 bulan 4 Hari</v>
      </c>
      <c r="AF808" s="38">
        <f t="shared" si="186"/>
        <v>50010</v>
      </c>
    </row>
    <row r="809" spans="1:32" s="7" customFormat="1" ht="30" customHeight="1" x14ac:dyDescent="0.35">
      <c r="A809" s="26">
        <f t="shared" si="180"/>
        <v>753</v>
      </c>
      <c r="B809" s="27" t="s">
        <v>2252</v>
      </c>
      <c r="C809" s="26"/>
      <c r="D809" s="111" t="s">
        <v>2261</v>
      </c>
      <c r="E809" s="45" t="s">
        <v>2262</v>
      </c>
      <c r="F809" s="24" t="s">
        <v>43</v>
      </c>
      <c r="G809" s="36" t="s">
        <v>2263</v>
      </c>
      <c r="H809" s="4" t="s">
        <v>85</v>
      </c>
      <c r="I809" s="36" t="s">
        <v>67</v>
      </c>
      <c r="J809" s="44" t="s">
        <v>501</v>
      </c>
      <c r="K809" s="3" t="str">
        <f t="shared" ca="1" si="181"/>
        <v xml:space="preserve">5 Tahun 2 bulan </v>
      </c>
      <c r="L809" s="36" t="s">
        <v>1749</v>
      </c>
      <c r="M809" s="44" t="s">
        <v>501</v>
      </c>
      <c r="N809" s="3" t="str">
        <f t="shared" ca="1" si="176"/>
        <v xml:space="preserve">5 Tahun 2 bulan </v>
      </c>
      <c r="O809" s="36"/>
      <c r="P809" s="36" t="s">
        <v>35</v>
      </c>
      <c r="Q809" s="4" t="str">
        <f t="shared" si="183"/>
        <v>Laki-Laki</v>
      </c>
      <c r="R809" s="4">
        <f t="shared" si="187"/>
        <v>1</v>
      </c>
      <c r="S809" s="4" t="str">
        <f t="shared" si="191"/>
        <v>1</v>
      </c>
      <c r="T809" s="4">
        <f t="shared" si="188"/>
        <v>0</v>
      </c>
      <c r="U809" s="29"/>
      <c r="V809" s="30" t="s">
        <v>50</v>
      </c>
      <c r="W809" s="30"/>
      <c r="X809" s="30"/>
      <c r="Y809" s="30"/>
      <c r="Z809" s="30"/>
      <c r="AA809" s="30"/>
      <c r="AB809" s="29"/>
      <c r="AC809" s="29"/>
      <c r="AD809" s="37">
        <f t="shared" si="185"/>
        <v>30109</v>
      </c>
      <c r="AE809" s="3" t="str">
        <f t="shared" ca="1" si="182"/>
        <v>44 Tahun 2 bulan 25 Hari</v>
      </c>
      <c r="AF809" s="38">
        <f t="shared" si="186"/>
        <v>52048</v>
      </c>
    </row>
    <row r="810" spans="1:32" s="7" customFormat="1" ht="30" customHeight="1" x14ac:dyDescent="0.35">
      <c r="A810" s="26">
        <f t="shared" si="180"/>
        <v>754</v>
      </c>
      <c r="B810" s="27" t="s">
        <v>2252</v>
      </c>
      <c r="C810" s="26"/>
      <c r="D810" s="60" t="s">
        <v>2264</v>
      </c>
      <c r="E810" s="45" t="s">
        <v>2265</v>
      </c>
      <c r="F810" s="24" t="s">
        <v>43</v>
      </c>
      <c r="G810" s="36" t="s">
        <v>2266</v>
      </c>
      <c r="H810" s="4" t="s">
        <v>1853</v>
      </c>
      <c r="I810" s="36" t="s">
        <v>1386</v>
      </c>
      <c r="J810" s="44" t="s">
        <v>363</v>
      </c>
      <c r="K810" s="3" t="str">
        <f t="shared" ca="1" si="181"/>
        <v xml:space="preserve">4 Tahun 6 bulan </v>
      </c>
      <c r="L810" s="36" t="s">
        <v>200</v>
      </c>
      <c r="M810" s="44" t="s">
        <v>363</v>
      </c>
      <c r="N810" s="3" t="str">
        <f t="shared" ca="1" si="176"/>
        <v xml:space="preserve">4 Tahun 6 bulan </v>
      </c>
      <c r="O810" s="36"/>
      <c r="P810" s="36" t="s">
        <v>35</v>
      </c>
      <c r="Q810" s="4" t="str">
        <f t="shared" si="183"/>
        <v>Laki-Laki</v>
      </c>
      <c r="R810" s="4">
        <f t="shared" si="187"/>
        <v>1</v>
      </c>
      <c r="S810" s="4" t="str">
        <f t="shared" si="191"/>
        <v>1</v>
      </c>
      <c r="T810" s="4">
        <f t="shared" si="188"/>
        <v>0</v>
      </c>
      <c r="U810" s="29"/>
      <c r="V810" s="30" t="s">
        <v>50</v>
      </c>
      <c r="W810" s="30"/>
      <c r="X810" s="30"/>
      <c r="Y810" s="30"/>
      <c r="Z810" s="30"/>
      <c r="AA810" s="30"/>
      <c r="AB810" s="29"/>
      <c r="AC810" s="29"/>
      <c r="AD810" s="37">
        <f t="shared" si="185"/>
        <v>26593</v>
      </c>
      <c r="AE810" s="3" t="str">
        <f t="shared" ca="1" si="182"/>
        <v>53 Tahun 10 bulan 11 Hari</v>
      </c>
      <c r="AF810" s="38">
        <f t="shared" si="186"/>
        <v>48519</v>
      </c>
    </row>
    <row r="811" spans="1:32" s="7" customFormat="1" ht="30" customHeight="1" x14ac:dyDescent="0.35">
      <c r="A811" s="26">
        <f t="shared" si="180"/>
        <v>755</v>
      </c>
      <c r="B811" s="27" t="s">
        <v>2252</v>
      </c>
      <c r="C811" s="26"/>
      <c r="D811" s="60" t="s">
        <v>2267</v>
      </c>
      <c r="E811" s="24" t="s">
        <v>2268</v>
      </c>
      <c r="F811" s="24" t="s">
        <v>43</v>
      </c>
      <c r="G811" s="36" t="s">
        <v>2269</v>
      </c>
      <c r="H811" s="4" t="s">
        <v>135</v>
      </c>
      <c r="I811" s="36" t="s">
        <v>86</v>
      </c>
      <c r="J811" s="44" t="s">
        <v>338</v>
      </c>
      <c r="K811" s="3" t="str">
        <f t="shared" ca="1" si="181"/>
        <v xml:space="preserve">2 Tahun 11 bulan </v>
      </c>
      <c r="L811" s="36" t="s">
        <v>200</v>
      </c>
      <c r="M811" s="44" t="s">
        <v>338</v>
      </c>
      <c r="N811" s="3" t="str">
        <f t="shared" ca="1" si="176"/>
        <v xml:space="preserve">2 Tahun 11 bulan </v>
      </c>
      <c r="O811" s="36"/>
      <c r="P811" s="36" t="s">
        <v>35</v>
      </c>
      <c r="Q811" s="4" t="str">
        <f t="shared" si="183"/>
        <v>Laki-Laki</v>
      </c>
      <c r="R811" s="4">
        <f t="shared" si="187"/>
        <v>1</v>
      </c>
      <c r="S811" s="4" t="str">
        <f t="shared" si="191"/>
        <v>1</v>
      </c>
      <c r="T811" s="4">
        <f t="shared" si="188"/>
        <v>0</v>
      </c>
      <c r="U811" s="29"/>
      <c r="V811" s="30" t="s">
        <v>50</v>
      </c>
      <c r="W811" s="30"/>
      <c r="X811" s="30"/>
      <c r="Y811" s="30"/>
      <c r="Z811" s="30"/>
      <c r="AA811" s="30"/>
      <c r="AB811" s="29"/>
      <c r="AC811" s="29"/>
      <c r="AD811" s="37">
        <f t="shared" si="185"/>
        <v>31193</v>
      </c>
      <c r="AE811" s="3" t="str">
        <f t="shared" ca="1" si="182"/>
        <v>41 Tahun 3 bulan 6 Hari</v>
      </c>
      <c r="AF811" s="38">
        <f t="shared" si="186"/>
        <v>53114</v>
      </c>
    </row>
    <row r="812" spans="1:32" s="7" customFormat="1" ht="30" customHeight="1" x14ac:dyDescent="0.35">
      <c r="A812" s="26">
        <f t="shared" si="180"/>
        <v>756</v>
      </c>
      <c r="B812" s="27" t="s">
        <v>2252</v>
      </c>
      <c r="C812" s="26"/>
      <c r="D812" s="60" t="s">
        <v>2270</v>
      </c>
      <c r="E812" s="24" t="s">
        <v>3067</v>
      </c>
      <c r="F812" s="24" t="s">
        <v>43</v>
      </c>
      <c r="G812" s="44" t="s">
        <v>3068</v>
      </c>
      <c r="H812" s="4" t="s">
        <v>396</v>
      </c>
      <c r="I812" s="48" t="s">
        <v>3069</v>
      </c>
      <c r="J812" s="82">
        <v>46260</v>
      </c>
      <c r="K812" s="3" t="str">
        <f t="shared" ca="1" si="181"/>
        <v xml:space="preserve">0 Tahun 0 bulan </v>
      </c>
      <c r="L812" s="36" t="s">
        <v>200</v>
      </c>
      <c r="M812" s="118"/>
      <c r="N812" s="3" t="str">
        <f t="shared" ca="1" si="176"/>
        <v/>
      </c>
      <c r="O812" s="36"/>
      <c r="P812" s="4"/>
      <c r="Q812" s="4" t="str">
        <f t="shared" si="183"/>
        <v>Laki-Laki</v>
      </c>
      <c r="R812" s="4">
        <f t="shared" si="187"/>
        <v>1</v>
      </c>
      <c r="S812" s="4" t="str">
        <f t="shared" si="191"/>
        <v>1</v>
      </c>
      <c r="T812" s="4">
        <f t="shared" si="188"/>
        <v>0</v>
      </c>
      <c r="U812" s="29"/>
      <c r="V812" s="30"/>
      <c r="W812" s="30"/>
      <c r="X812" s="30"/>
      <c r="Y812" s="30"/>
      <c r="Z812" s="30"/>
      <c r="AA812" s="30"/>
      <c r="AB812" s="29"/>
      <c r="AC812" s="29"/>
      <c r="AD812" s="37">
        <f t="shared" si="185"/>
        <v>26936</v>
      </c>
      <c r="AE812" s="3" t="str">
        <f t="shared" ca="1" si="182"/>
        <v>52 Tahun 11 bulan 3 Hari</v>
      </c>
      <c r="AF812" s="38">
        <f t="shared" si="186"/>
        <v>48853</v>
      </c>
    </row>
    <row r="813" spans="1:32" s="7" customFormat="1" ht="30" customHeight="1" x14ac:dyDescent="0.35">
      <c r="A813" s="26">
        <f t="shared" si="180"/>
        <v>757</v>
      </c>
      <c r="B813" s="27" t="s">
        <v>2252</v>
      </c>
      <c r="C813" s="26"/>
      <c r="D813" s="60" t="s">
        <v>2271</v>
      </c>
      <c r="E813" s="39" t="s">
        <v>2272</v>
      </c>
      <c r="F813" s="24" t="s">
        <v>43</v>
      </c>
      <c r="G813" s="25" t="s">
        <v>2273</v>
      </c>
      <c r="H813" s="4" t="s">
        <v>1296</v>
      </c>
      <c r="I813" s="36" t="s">
        <v>86</v>
      </c>
      <c r="J813" s="82" t="s">
        <v>565</v>
      </c>
      <c r="K813" s="3" t="str">
        <f t="shared" ca="1" si="181"/>
        <v xml:space="preserve">5 Tahun 9 bulan </v>
      </c>
      <c r="L813" s="36" t="s">
        <v>200</v>
      </c>
      <c r="M813" s="82" t="s">
        <v>565</v>
      </c>
      <c r="N813" s="3" t="str">
        <f t="shared" ca="1" si="176"/>
        <v xml:space="preserve">5 Tahun 9 bulan </v>
      </c>
      <c r="O813" s="36"/>
      <c r="P813" s="4" t="s">
        <v>35</v>
      </c>
      <c r="Q813" s="4" t="str">
        <f t="shared" si="183"/>
        <v>Laki-Laki</v>
      </c>
      <c r="R813" s="4">
        <f t="shared" si="187"/>
        <v>1</v>
      </c>
      <c r="S813" s="4" t="str">
        <f t="shared" si="191"/>
        <v>1</v>
      </c>
      <c r="T813" s="4">
        <f t="shared" si="188"/>
        <v>0</v>
      </c>
      <c r="U813" s="29"/>
      <c r="V813" s="30" t="s">
        <v>50</v>
      </c>
      <c r="W813" s="30"/>
      <c r="X813" s="30"/>
      <c r="Y813" s="30"/>
      <c r="Z813" s="30"/>
      <c r="AA813" s="30"/>
      <c r="AB813" s="29"/>
      <c r="AC813" s="29"/>
      <c r="AD813" s="37">
        <f t="shared" si="185"/>
        <v>27124</v>
      </c>
      <c r="AE813" s="3" t="str">
        <f t="shared" ca="1" si="182"/>
        <v>52 Tahun 4 bulan 27 Hari</v>
      </c>
      <c r="AF813" s="38">
        <f t="shared" si="186"/>
        <v>49065</v>
      </c>
    </row>
    <row r="814" spans="1:32" s="7" customFormat="1" ht="30" customHeight="1" x14ac:dyDescent="0.35">
      <c r="A814" s="26">
        <f t="shared" si="180"/>
        <v>758</v>
      </c>
      <c r="B814" s="27" t="s">
        <v>2252</v>
      </c>
      <c r="C814" s="26"/>
      <c r="D814" s="60" t="s">
        <v>2274</v>
      </c>
      <c r="E814" s="51" t="s">
        <v>2309</v>
      </c>
      <c r="F814" s="24" t="s">
        <v>43</v>
      </c>
      <c r="G814" s="25" t="s">
        <v>2310</v>
      </c>
      <c r="H814" s="4" t="s">
        <v>3015</v>
      </c>
      <c r="I814" s="36" t="s">
        <v>350</v>
      </c>
      <c r="J814" s="82">
        <v>46198</v>
      </c>
      <c r="K814" s="3" t="str">
        <f t="shared" ca="1" si="181"/>
        <v xml:space="preserve">0 Tahun 2 bulan </v>
      </c>
      <c r="L814" s="36" t="s">
        <v>200</v>
      </c>
      <c r="M814" s="82">
        <v>44111</v>
      </c>
      <c r="N814" s="3" t="str">
        <f t="shared" ca="1" si="176"/>
        <v xml:space="preserve">5 Tahun 10 bulan </v>
      </c>
      <c r="O814" s="36"/>
      <c r="P814" s="4"/>
      <c r="Q814" s="4" t="str">
        <f t="shared" si="183"/>
        <v>Perempuan</v>
      </c>
      <c r="R814" s="4">
        <f t="shared" si="187"/>
        <v>1</v>
      </c>
      <c r="S814" s="4" t="str">
        <f t="shared" si="191"/>
        <v>1</v>
      </c>
      <c r="T814" s="4">
        <f t="shared" si="188"/>
        <v>0</v>
      </c>
      <c r="U814" s="29"/>
      <c r="V814" s="30" t="s">
        <v>50</v>
      </c>
      <c r="W814" s="30"/>
      <c r="X814" s="30"/>
      <c r="Y814" s="30"/>
      <c r="Z814" s="30"/>
      <c r="AA814" s="30"/>
      <c r="AB814" s="29"/>
      <c r="AC814" s="29"/>
      <c r="AD814" s="37">
        <f t="shared" si="185"/>
        <v>30441</v>
      </c>
      <c r="AE814" s="3" t="str">
        <f t="shared" ca="1" si="182"/>
        <v>43 Tahun 3 bulan 27 Hari</v>
      </c>
      <c r="AF814" s="38">
        <f t="shared" si="186"/>
        <v>52383</v>
      </c>
    </row>
    <row r="815" spans="1:32" s="7" customFormat="1" ht="32.15" customHeight="1" x14ac:dyDescent="0.35">
      <c r="A815" s="26"/>
      <c r="B815" s="27" t="s">
        <v>2275</v>
      </c>
      <c r="C815" s="280" t="s">
        <v>2276</v>
      </c>
      <c r="D815" s="281"/>
      <c r="E815" s="24"/>
      <c r="F815" s="24"/>
      <c r="G815" s="4"/>
      <c r="H815" s="4"/>
      <c r="I815" s="33"/>
      <c r="J815" s="5"/>
      <c r="K815" s="3" t="str">
        <f t="shared" ca="1" si="181"/>
        <v/>
      </c>
      <c r="L815" s="30"/>
      <c r="M815" s="5"/>
      <c r="N815" s="3" t="str">
        <f t="shared" ref="N815:N878" ca="1" si="192">IF(M815="","",CONCATENATE(DATEDIF(M815,NOW(),"Y")," Tahun ",DATEDIF(M815,NOW(),"YM")," bulan "))</f>
        <v/>
      </c>
      <c r="O815" s="4"/>
      <c r="P815" s="4"/>
      <c r="Q815" s="4"/>
      <c r="R815" s="4"/>
      <c r="S815" s="4"/>
      <c r="T815" s="4"/>
      <c r="U815" s="29"/>
      <c r="V815" s="30"/>
      <c r="W815" s="30"/>
      <c r="X815" s="30"/>
      <c r="Y815" s="30"/>
      <c r="Z815" s="29"/>
      <c r="AA815" s="29"/>
      <c r="AB815" s="29"/>
      <c r="AC815" s="29"/>
      <c r="AD815" s="37" t="str">
        <f t="shared" si="185"/>
        <v/>
      </c>
      <c r="AE815" s="3" t="str">
        <f t="shared" ca="1" si="182"/>
        <v/>
      </c>
      <c r="AF815" s="38" t="str">
        <f t="shared" si="186"/>
        <v/>
      </c>
    </row>
    <row r="816" spans="1:32" s="7" customFormat="1" ht="32.15" customHeight="1" x14ac:dyDescent="0.35">
      <c r="A816" s="26">
        <f>A814+1</f>
        <v>759</v>
      </c>
      <c r="B816" s="27" t="s">
        <v>2275</v>
      </c>
      <c r="C816" s="282" t="s">
        <v>2277</v>
      </c>
      <c r="D816" s="283"/>
      <c r="E816" s="45" t="s">
        <v>2278</v>
      </c>
      <c r="F816" s="24" t="s">
        <v>43</v>
      </c>
      <c r="G816" s="44" t="s">
        <v>2279</v>
      </c>
      <c r="H816" s="36" t="s">
        <v>259</v>
      </c>
      <c r="I816" s="48" t="s">
        <v>86</v>
      </c>
      <c r="J816" s="82" t="s">
        <v>940</v>
      </c>
      <c r="K816" s="3" t="str">
        <f t="shared" ca="1" si="181"/>
        <v xml:space="preserve">4 Tahun 2 bulan </v>
      </c>
      <c r="L816" s="4" t="s">
        <v>200</v>
      </c>
      <c r="M816" s="82" t="s">
        <v>940</v>
      </c>
      <c r="N816" s="3" t="str">
        <f t="shared" ca="1" si="192"/>
        <v xml:space="preserve">4 Tahun 2 bulan </v>
      </c>
      <c r="O816" s="4"/>
      <c r="P816" s="4" t="s">
        <v>35</v>
      </c>
      <c r="Q816" s="4" t="str">
        <f t="shared" si="183"/>
        <v>Laki-Laki</v>
      </c>
      <c r="R816" s="4">
        <f>R814</f>
        <v>1</v>
      </c>
      <c r="S816" s="4" t="str">
        <f>IF(E816="LOWONG","0","1")</f>
        <v>1</v>
      </c>
      <c r="T816" s="4">
        <f t="shared" si="188"/>
        <v>0</v>
      </c>
      <c r="U816" s="29"/>
      <c r="V816" s="30" t="s">
        <v>50</v>
      </c>
      <c r="W816" s="30"/>
      <c r="X816" s="30"/>
      <c r="Y816" s="30"/>
      <c r="Z816" s="30"/>
      <c r="AA816" s="30"/>
      <c r="AB816" s="29"/>
      <c r="AC816" s="29"/>
      <c r="AD816" s="37">
        <f t="shared" si="185"/>
        <v>30461</v>
      </c>
      <c r="AE816" s="3" t="str">
        <f t="shared" ca="1" si="182"/>
        <v>43 Tahun 3 bulan 7 Hari</v>
      </c>
      <c r="AF816" s="38">
        <f t="shared" si="186"/>
        <v>52383</v>
      </c>
    </row>
    <row r="817" spans="1:32" s="7" customFormat="1" ht="32.15" customHeight="1" x14ac:dyDescent="0.35">
      <c r="A817" s="26">
        <f t="shared" si="180"/>
        <v>760</v>
      </c>
      <c r="B817" s="27" t="s">
        <v>2275</v>
      </c>
      <c r="C817" s="282" t="s">
        <v>2280</v>
      </c>
      <c r="D817" s="283"/>
      <c r="E817" s="45" t="s">
        <v>2281</v>
      </c>
      <c r="F817" s="24" t="s">
        <v>43</v>
      </c>
      <c r="G817" s="44" t="s">
        <v>2282</v>
      </c>
      <c r="H817" s="4" t="s">
        <v>2283</v>
      </c>
      <c r="I817" s="48" t="s">
        <v>362</v>
      </c>
      <c r="J817" s="47" t="s">
        <v>338</v>
      </c>
      <c r="K817" s="3" t="str">
        <f t="shared" ca="1" si="181"/>
        <v xml:space="preserve">2 Tahun 11 bulan </v>
      </c>
      <c r="L817" s="4" t="s">
        <v>1749</v>
      </c>
      <c r="M817" s="47" t="s">
        <v>338</v>
      </c>
      <c r="N817" s="3" t="str">
        <f t="shared" ca="1" si="192"/>
        <v xml:space="preserve">2 Tahun 11 bulan </v>
      </c>
      <c r="O817" s="4"/>
      <c r="P817" s="4" t="s">
        <v>35</v>
      </c>
      <c r="Q817" s="4" t="str">
        <f t="shared" si="183"/>
        <v>Perempuan</v>
      </c>
      <c r="R817" s="4">
        <f t="shared" si="187"/>
        <v>1</v>
      </c>
      <c r="S817" s="4" t="str">
        <f>IF(E817="LOWONG","0","1")</f>
        <v>1</v>
      </c>
      <c r="T817" s="4">
        <f t="shared" si="188"/>
        <v>0</v>
      </c>
      <c r="U817" s="29"/>
      <c r="V817" s="30"/>
      <c r="W817" s="30"/>
      <c r="X817" s="30"/>
      <c r="Y817" s="30"/>
      <c r="Z817" s="30"/>
      <c r="AA817" s="30"/>
      <c r="AB817" s="29"/>
      <c r="AC817" s="29"/>
      <c r="AD817" s="37">
        <f t="shared" si="185"/>
        <v>30186</v>
      </c>
      <c r="AE817" s="3" t="str">
        <f t="shared" ca="1" si="182"/>
        <v>44 Tahun 0 bulan 9 Hari</v>
      </c>
      <c r="AF817" s="38">
        <f t="shared" si="186"/>
        <v>52110</v>
      </c>
    </row>
    <row r="818" spans="1:32" s="7" customFormat="1" ht="32.15" customHeight="1" x14ac:dyDescent="0.35">
      <c r="A818" s="26">
        <f t="shared" si="180"/>
        <v>761</v>
      </c>
      <c r="B818" s="27" t="s">
        <v>2275</v>
      </c>
      <c r="C818" s="26"/>
      <c r="D818" s="111" t="s">
        <v>2284</v>
      </c>
      <c r="E818" s="51" t="s">
        <v>108</v>
      </c>
      <c r="F818" s="51"/>
      <c r="G818" s="59"/>
      <c r="H818" s="4"/>
      <c r="I818" s="33"/>
      <c r="J818" s="91"/>
      <c r="K818" s="3" t="str">
        <f t="shared" ca="1" si="181"/>
        <v/>
      </c>
      <c r="L818" s="4" t="s">
        <v>1749</v>
      </c>
      <c r="M818" s="91"/>
      <c r="N818" s="3" t="str">
        <f t="shared" ca="1" si="192"/>
        <v/>
      </c>
      <c r="O818" s="4"/>
      <c r="P818" s="4"/>
      <c r="Q818" s="4" t="str">
        <f t="shared" si="183"/>
        <v/>
      </c>
      <c r="R818" s="4">
        <f t="shared" si="187"/>
        <v>1</v>
      </c>
      <c r="S818" s="4" t="str">
        <f>IF(E818="LOWONG","0","1")</f>
        <v>0</v>
      </c>
      <c r="T818" s="4">
        <f t="shared" si="188"/>
        <v>1</v>
      </c>
      <c r="U818" s="29"/>
      <c r="V818" s="30"/>
      <c r="W818" s="30"/>
      <c r="X818" s="30"/>
      <c r="Y818" s="30"/>
      <c r="Z818" s="30"/>
      <c r="AA818" s="30"/>
      <c r="AB818" s="29"/>
      <c r="AC818" s="29"/>
      <c r="AD818" s="37" t="str">
        <f t="shared" si="185"/>
        <v/>
      </c>
      <c r="AE818" s="3" t="str">
        <f t="shared" ca="1" si="182"/>
        <v/>
      </c>
      <c r="AF818" s="38" t="str">
        <f t="shared" si="186"/>
        <v/>
      </c>
    </row>
    <row r="819" spans="1:32" s="7" customFormat="1" ht="32.15" customHeight="1" x14ac:dyDescent="0.35">
      <c r="A819" s="26">
        <f t="shared" si="180"/>
        <v>762</v>
      </c>
      <c r="B819" s="27" t="s">
        <v>2275</v>
      </c>
      <c r="C819" s="26"/>
      <c r="D819" s="111" t="s">
        <v>2285</v>
      </c>
      <c r="E819" s="45" t="s">
        <v>2286</v>
      </c>
      <c r="F819" s="24" t="s">
        <v>43</v>
      </c>
      <c r="G819" s="36" t="s">
        <v>2287</v>
      </c>
      <c r="H819" s="36" t="s">
        <v>213</v>
      </c>
      <c r="I819" s="48" t="s">
        <v>495</v>
      </c>
      <c r="J819" s="82" t="s">
        <v>1748</v>
      </c>
      <c r="K819" s="3" t="str">
        <f t="shared" ca="1" si="181"/>
        <v xml:space="preserve">9 Tahun 7 bulan </v>
      </c>
      <c r="L819" s="4" t="s">
        <v>1749</v>
      </c>
      <c r="M819" s="82" t="s">
        <v>1748</v>
      </c>
      <c r="N819" s="3" t="str">
        <f t="shared" ca="1" si="192"/>
        <v xml:space="preserve">9 Tahun 7 bulan </v>
      </c>
      <c r="O819" s="36"/>
      <c r="P819" s="4" t="s">
        <v>35</v>
      </c>
      <c r="Q819" s="4" t="str">
        <f t="shared" si="183"/>
        <v>Laki-Laki</v>
      </c>
      <c r="R819" s="4">
        <f t="shared" si="187"/>
        <v>1</v>
      </c>
      <c r="S819" s="4" t="str">
        <f>IF(E819="LOWONG","0","1")</f>
        <v>1</v>
      </c>
      <c r="T819" s="4">
        <f t="shared" si="188"/>
        <v>0</v>
      </c>
      <c r="U819" s="29"/>
      <c r="V819" s="30" t="s">
        <v>50</v>
      </c>
      <c r="W819" s="30"/>
      <c r="X819" s="30"/>
      <c r="Y819" s="30"/>
      <c r="Z819" s="30"/>
      <c r="AA819" s="30"/>
      <c r="AB819" s="29"/>
      <c r="AC819" s="29"/>
      <c r="AD819" s="37">
        <f t="shared" si="185"/>
        <v>31940</v>
      </c>
      <c r="AE819" s="3" t="str">
        <f t="shared" ca="1" si="182"/>
        <v>39 Tahun 2 bulan 20 Hari</v>
      </c>
      <c r="AF819" s="38">
        <f t="shared" si="186"/>
        <v>53874</v>
      </c>
    </row>
    <row r="820" spans="1:32" s="7" customFormat="1" ht="32.15" customHeight="1" x14ac:dyDescent="0.35">
      <c r="A820" s="26">
        <f t="shared" si="180"/>
        <v>763</v>
      </c>
      <c r="B820" s="27" t="s">
        <v>2275</v>
      </c>
      <c r="C820" s="26"/>
      <c r="D820" s="111" t="s">
        <v>2288</v>
      </c>
      <c r="E820" s="24" t="s">
        <v>3100</v>
      </c>
      <c r="F820" s="24" t="s">
        <v>43</v>
      </c>
      <c r="G820" s="3" t="s">
        <v>3101</v>
      </c>
      <c r="H820" s="36" t="s">
        <v>3102</v>
      </c>
      <c r="I820" s="33"/>
      <c r="J820" s="212">
        <v>46260</v>
      </c>
      <c r="K820" s="3" t="str">
        <f t="shared" ca="1" si="181"/>
        <v xml:space="preserve">0 Tahun 0 bulan </v>
      </c>
      <c r="L820" s="4" t="s">
        <v>1749</v>
      </c>
      <c r="M820" s="53">
        <v>46260</v>
      </c>
      <c r="N820" s="3" t="str">
        <f t="shared" ca="1" si="192"/>
        <v xml:space="preserve">0 Tahun 0 bulan </v>
      </c>
      <c r="O820" s="4"/>
      <c r="P820" s="4" t="s">
        <v>35</v>
      </c>
      <c r="Q820" s="4" t="str">
        <f t="shared" si="183"/>
        <v>Laki-Laki</v>
      </c>
      <c r="R820" s="4">
        <f t="shared" si="187"/>
        <v>1</v>
      </c>
      <c r="S820" s="4" t="str">
        <f>IF(E820="LOWONG","0","1")</f>
        <v>1</v>
      </c>
      <c r="T820" s="4">
        <f t="shared" si="188"/>
        <v>0</v>
      </c>
      <c r="U820" s="29"/>
      <c r="V820" s="30"/>
      <c r="W820" s="30"/>
      <c r="X820" s="30"/>
      <c r="Y820" s="30"/>
      <c r="Z820" s="30"/>
      <c r="AA820" s="30"/>
      <c r="AB820" s="29"/>
      <c r="AC820" s="29"/>
      <c r="AD820" s="37">
        <f t="shared" si="185"/>
        <v>28433</v>
      </c>
      <c r="AE820" s="3" t="str">
        <f t="shared" ca="1" si="182"/>
        <v>48 Tahun 9 bulan 28 Hari</v>
      </c>
      <c r="AF820" s="38">
        <f t="shared" si="186"/>
        <v>50375</v>
      </c>
    </row>
    <row r="821" spans="1:32" s="7" customFormat="1" ht="32.15" customHeight="1" x14ac:dyDescent="0.35">
      <c r="A821" s="26"/>
      <c r="B821" s="27" t="s">
        <v>2291</v>
      </c>
      <c r="C821" s="280" t="s">
        <v>2292</v>
      </c>
      <c r="D821" s="281"/>
      <c r="E821" s="24"/>
      <c r="F821" s="24"/>
      <c r="G821" s="4"/>
      <c r="H821" s="4"/>
      <c r="I821" s="33"/>
      <c r="J821" s="5"/>
      <c r="K821" s="3" t="str">
        <f t="shared" ca="1" si="181"/>
        <v/>
      </c>
      <c r="L821" s="30"/>
      <c r="M821" s="5"/>
      <c r="N821" s="3" t="str">
        <f t="shared" ca="1" si="192"/>
        <v/>
      </c>
      <c r="O821" s="4"/>
      <c r="P821" s="4"/>
      <c r="Q821" s="4"/>
      <c r="R821" s="4"/>
      <c r="S821" s="4"/>
      <c r="T821" s="4"/>
      <c r="U821" s="29"/>
      <c r="V821" s="30"/>
      <c r="W821" s="30"/>
      <c r="X821" s="30"/>
      <c r="Y821" s="30"/>
      <c r="Z821" s="29"/>
      <c r="AA821" s="29"/>
      <c r="AB821" s="29"/>
      <c r="AC821" s="29"/>
      <c r="AD821" s="37" t="str">
        <f t="shared" si="185"/>
        <v/>
      </c>
      <c r="AE821" s="3" t="str">
        <f t="shared" ca="1" si="182"/>
        <v/>
      </c>
      <c r="AF821" s="38" t="str">
        <f t="shared" si="186"/>
        <v/>
      </c>
    </row>
    <row r="822" spans="1:32" s="7" customFormat="1" ht="32.15" customHeight="1" x14ac:dyDescent="0.35">
      <c r="A822" s="26">
        <f>A820+1</f>
        <v>764</v>
      </c>
      <c r="B822" s="27" t="s">
        <v>2291</v>
      </c>
      <c r="C822" s="282" t="s">
        <v>2293</v>
      </c>
      <c r="D822" s="283"/>
      <c r="E822" s="39" t="s">
        <v>2294</v>
      </c>
      <c r="F822" s="24" t="s">
        <v>43</v>
      </c>
      <c r="G822" s="25"/>
      <c r="H822" s="36"/>
      <c r="I822" s="25"/>
      <c r="J822" s="81">
        <v>45993</v>
      </c>
      <c r="K822" s="3" t="str">
        <f t="shared" ca="1" si="181"/>
        <v xml:space="preserve">0 Tahun 8 bulan </v>
      </c>
      <c r="L822" s="4" t="s">
        <v>200</v>
      </c>
      <c r="M822" s="81"/>
      <c r="N822" s="3" t="str">
        <f t="shared" ca="1" si="192"/>
        <v/>
      </c>
      <c r="O822" s="4"/>
      <c r="P822" s="4" t="s">
        <v>35</v>
      </c>
      <c r="Q822" s="4" t="str">
        <f t="shared" si="183"/>
        <v/>
      </c>
      <c r="R822" s="4">
        <f>R820</f>
        <v>1</v>
      </c>
      <c r="S822" s="4" t="str">
        <f>IF(E822="LOWONG","0","1")</f>
        <v>1</v>
      </c>
      <c r="T822" s="4">
        <f t="shared" si="188"/>
        <v>0</v>
      </c>
      <c r="U822" s="29"/>
      <c r="V822" s="30" t="s">
        <v>50</v>
      </c>
      <c r="W822" s="30"/>
      <c r="X822" s="30"/>
      <c r="Y822" s="30"/>
      <c r="Z822" s="30"/>
      <c r="AA822" s="30"/>
      <c r="AB822" s="29"/>
      <c r="AC822" s="29"/>
      <c r="AD822" s="37" t="str">
        <f t="shared" si="185"/>
        <v/>
      </c>
      <c r="AE822" s="3" t="str">
        <f t="shared" ca="1" si="182"/>
        <v/>
      </c>
      <c r="AF822" s="38" t="str">
        <f t="shared" si="186"/>
        <v/>
      </c>
    </row>
    <row r="823" spans="1:32" s="7" customFormat="1" ht="32.15" customHeight="1" x14ac:dyDescent="0.35">
      <c r="A823" s="26">
        <f t="shared" si="180"/>
        <v>765</v>
      </c>
      <c r="B823" s="27" t="s">
        <v>2291</v>
      </c>
      <c r="C823" s="282" t="s">
        <v>2295</v>
      </c>
      <c r="D823" s="283"/>
      <c r="E823" s="45" t="s">
        <v>108</v>
      </c>
      <c r="F823" s="24"/>
      <c r="G823" s="44"/>
      <c r="H823" s="36"/>
      <c r="I823" s="36"/>
      <c r="J823" s="47"/>
      <c r="K823" s="3" t="str">
        <f t="shared" ca="1" si="181"/>
        <v/>
      </c>
      <c r="L823" s="4" t="s">
        <v>1749</v>
      </c>
      <c r="M823" s="47"/>
      <c r="N823" s="3" t="str">
        <f t="shared" ca="1" si="192"/>
        <v/>
      </c>
      <c r="O823" s="36"/>
      <c r="P823" s="4"/>
      <c r="Q823" s="4" t="str">
        <f t="shared" si="183"/>
        <v/>
      </c>
      <c r="R823" s="4">
        <f t="shared" si="187"/>
        <v>1</v>
      </c>
      <c r="S823" s="4" t="str">
        <f>IF(E823="LOWONG","0","1")</f>
        <v>0</v>
      </c>
      <c r="T823" s="4">
        <f t="shared" si="188"/>
        <v>1</v>
      </c>
      <c r="U823" s="29"/>
      <c r="V823" s="30"/>
      <c r="W823" s="30"/>
      <c r="X823" s="30"/>
      <c r="Y823" s="30"/>
      <c r="Z823" s="30"/>
      <c r="AA823" s="30"/>
      <c r="AB823" s="29"/>
      <c r="AC823" s="29"/>
      <c r="AD823" s="37" t="str">
        <f t="shared" si="185"/>
        <v/>
      </c>
      <c r="AE823" s="3" t="str">
        <f t="shared" ca="1" si="182"/>
        <v/>
      </c>
      <c r="AF823" s="38" t="str">
        <f t="shared" si="186"/>
        <v/>
      </c>
    </row>
    <row r="824" spans="1:32" s="7" customFormat="1" ht="32.15" customHeight="1" x14ac:dyDescent="0.35">
      <c r="A824" s="26">
        <f t="shared" si="180"/>
        <v>766</v>
      </c>
      <c r="B824" s="27" t="s">
        <v>2291</v>
      </c>
      <c r="C824" s="26"/>
      <c r="D824" s="111" t="s">
        <v>2296</v>
      </c>
      <c r="E824" s="45" t="s">
        <v>2083</v>
      </c>
      <c r="F824" s="24" t="s">
        <v>43</v>
      </c>
      <c r="G824" s="44" t="s">
        <v>2297</v>
      </c>
      <c r="H824" s="36" t="s">
        <v>1723</v>
      </c>
      <c r="I824" s="36" t="s">
        <v>86</v>
      </c>
      <c r="J824" s="47" t="s">
        <v>199</v>
      </c>
      <c r="K824" s="3" t="str">
        <f t="shared" ca="1" si="181"/>
        <v xml:space="preserve">3 Tahun 11 bulan </v>
      </c>
      <c r="L824" s="4" t="s">
        <v>1749</v>
      </c>
      <c r="M824" s="47" t="s">
        <v>199</v>
      </c>
      <c r="N824" s="3" t="str">
        <f t="shared" ca="1" si="192"/>
        <v xml:space="preserve">3 Tahun 11 bulan </v>
      </c>
      <c r="O824" s="36"/>
      <c r="P824" s="4" t="s">
        <v>35</v>
      </c>
      <c r="Q824" s="4" t="str">
        <f t="shared" si="183"/>
        <v>Perempuan</v>
      </c>
      <c r="R824" s="4">
        <f t="shared" si="187"/>
        <v>1</v>
      </c>
      <c r="S824" s="4" t="str">
        <f>IF(E824="LOWONG","0","1")</f>
        <v>1</v>
      </c>
      <c r="T824" s="4">
        <f t="shared" si="188"/>
        <v>0</v>
      </c>
      <c r="U824" s="29"/>
      <c r="V824" s="30"/>
      <c r="W824" s="30"/>
      <c r="X824" s="30"/>
      <c r="Y824" s="30"/>
      <c r="Z824" s="30"/>
      <c r="AA824" s="30"/>
      <c r="AB824" s="29"/>
      <c r="AC824" s="29"/>
      <c r="AD824" s="37">
        <f t="shared" si="185"/>
        <v>30577</v>
      </c>
      <c r="AE824" s="3" t="str">
        <f t="shared" ca="1" si="182"/>
        <v>42 Tahun 11 bulan 14 Hari</v>
      </c>
      <c r="AF824" s="38">
        <f t="shared" si="186"/>
        <v>52505</v>
      </c>
    </row>
    <row r="825" spans="1:32" s="7" customFormat="1" ht="32.15" customHeight="1" x14ac:dyDescent="0.35">
      <c r="A825" s="26">
        <f t="shared" si="180"/>
        <v>767</v>
      </c>
      <c r="B825" s="27" t="s">
        <v>2291</v>
      </c>
      <c r="C825" s="26"/>
      <c r="D825" s="111" t="s">
        <v>2298</v>
      </c>
      <c r="E825" s="45" t="s">
        <v>2299</v>
      </c>
      <c r="F825" s="24" t="s">
        <v>43</v>
      </c>
      <c r="G825" s="44" t="s">
        <v>2300</v>
      </c>
      <c r="H825" s="36" t="s">
        <v>2301</v>
      </c>
      <c r="I825" s="36" t="s">
        <v>86</v>
      </c>
      <c r="J825" s="47" t="s">
        <v>501</v>
      </c>
      <c r="K825" s="3" t="str">
        <f t="shared" ca="1" si="181"/>
        <v xml:space="preserve">5 Tahun 2 bulan </v>
      </c>
      <c r="L825" s="4" t="s">
        <v>1749</v>
      </c>
      <c r="M825" s="47" t="s">
        <v>501</v>
      </c>
      <c r="N825" s="3" t="str">
        <f t="shared" ca="1" si="192"/>
        <v xml:space="preserve">5 Tahun 2 bulan </v>
      </c>
      <c r="O825" s="36"/>
      <c r="P825" s="4" t="s">
        <v>35</v>
      </c>
      <c r="Q825" s="4" t="str">
        <f t="shared" si="183"/>
        <v>Perempuan</v>
      </c>
      <c r="R825" s="4">
        <f t="shared" si="187"/>
        <v>1</v>
      </c>
      <c r="S825" s="4" t="str">
        <f>IF(E825="LOWONG","0","1")</f>
        <v>1</v>
      </c>
      <c r="T825" s="4">
        <f t="shared" si="188"/>
        <v>0</v>
      </c>
      <c r="U825" s="29"/>
      <c r="V825" s="30"/>
      <c r="W825" s="30"/>
      <c r="X825" s="30"/>
      <c r="Y825" s="30"/>
      <c r="Z825" s="30"/>
      <c r="AA825" s="30"/>
      <c r="AB825" s="29"/>
      <c r="AC825" s="29"/>
      <c r="AD825" s="37">
        <f t="shared" si="185"/>
        <v>29317</v>
      </c>
      <c r="AE825" s="3" t="str">
        <f t="shared" ca="1" si="182"/>
        <v>46 Tahun 4 bulan 26 Hari</v>
      </c>
      <c r="AF825" s="38">
        <f t="shared" si="186"/>
        <v>51257</v>
      </c>
    </row>
    <row r="826" spans="1:32" s="7" customFormat="1" ht="32.15" customHeight="1" x14ac:dyDescent="0.35">
      <c r="A826" s="26">
        <f t="shared" si="180"/>
        <v>768</v>
      </c>
      <c r="B826" s="27" t="s">
        <v>2291</v>
      </c>
      <c r="C826" s="26"/>
      <c r="D826" s="111" t="s">
        <v>2302</v>
      </c>
      <c r="E826" s="39" t="s">
        <v>2303</v>
      </c>
      <c r="F826" s="24" t="s">
        <v>43</v>
      </c>
      <c r="G826" s="25" t="s">
        <v>2304</v>
      </c>
      <c r="H826" s="36" t="s">
        <v>2305</v>
      </c>
      <c r="I826" s="36" t="s">
        <v>86</v>
      </c>
      <c r="J826" s="47" t="s">
        <v>751</v>
      </c>
      <c r="K826" s="3" t="str">
        <f t="shared" ca="1" si="181"/>
        <v xml:space="preserve">5 Tahun 0 bulan </v>
      </c>
      <c r="L826" s="4" t="s">
        <v>1749</v>
      </c>
      <c r="M826" s="47" t="s">
        <v>751</v>
      </c>
      <c r="N826" s="3" t="str">
        <f t="shared" ca="1" si="192"/>
        <v xml:space="preserve">5 Tahun 0 bulan </v>
      </c>
      <c r="O826" s="36"/>
      <c r="P826" s="4" t="s">
        <v>35</v>
      </c>
      <c r="Q826" s="4" t="str">
        <f t="shared" si="183"/>
        <v>Laki-Laki</v>
      </c>
      <c r="R826" s="4">
        <f t="shared" si="187"/>
        <v>1</v>
      </c>
      <c r="S826" s="4" t="str">
        <f>IF(E826="LOWONG","0","1")</f>
        <v>1</v>
      </c>
      <c r="T826" s="4">
        <f t="shared" si="188"/>
        <v>0</v>
      </c>
      <c r="U826" s="29"/>
      <c r="V826" s="30" t="s">
        <v>50</v>
      </c>
      <c r="W826" s="30"/>
      <c r="X826" s="30"/>
      <c r="Y826" s="30"/>
      <c r="Z826" s="30"/>
      <c r="AA826" s="30"/>
      <c r="AB826" s="29"/>
      <c r="AC826" s="29"/>
      <c r="AD826" s="37">
        <f t="shared" si="185"/>
        <v>29953</v>
      </c>
      <c r="AE826" s="3" t="str">
        <f t="shared" ca="1" si="182"/>
        <v>44 Tahun 7 bulan 30 Hari</v>
      </c>
      <c r="AF826" s="38">
        <f t="shared" si="186"/>
        <v>51898</v>
      </c>
    </row>
    <row r="827" spans="1:32" s="7" customFormat="1" ht="32.15" customHeight="1" x14ac:dyDescent="0.35">
      <c r="A827" s="26"/>
      <c r="B827" s="27" t="s">
        <v>2306</v>
      </c>
      <c r="C827" s="280" t="s">
        <v>2307</v>
      </c>
      <c r="D827" s="281"/>
      <c r="E827" s="24"/>
      <c r="F827" s="24"/>
      <c r="G827" s="4"/>
      <c r="H827" s="4"/>
      <c r="I827" s="33"/>
      <c r="J827" s="5"/>
      <c r="K827" s="3" t="str">
        <f t="shared" ca="1" si="181"/>
        <v/>
      </c>
      <c r="L827" s="30"/>
      <c r="M827" s="5"/>
      <c r="N827" s="3" t="str">
        <f t="shared" ca="1" si="192"/>
        <v/>
      </c>
      <c r="O827" s="4"/>
      <c r="P827" s="4"/>
      <c r="Q827" s="4"/>
      <c r="R827" s="4"/>
      <c r="S827" s="4"/>
      <c r="T827" s="4"/>
      <c r="U827" s="29"/>
      <c r="V827" s="30"/>
      <c r="W827" s="30"/>
      <c r="X827" s="30"/>
      <c r="Y827" s="30"/>
      <c r="Z827" s="29"/>
      <c r="AA827" s="29"/>
      <c r="AB827" s="29"/>
      <c r="AC827" s="29"/>
      <c r="AD827" s="37" t="str">
        <f t="shared" si="185"/>
        <v/>
      </c>
      <c r="AE827" s="3" t="str">
        <f t="shared" ca="1" si="182"/>
        <v/>
      </c>
      <c r="AF827" s="38" t="str">
        <f t="shared" si="186"/>
        <v/>
      </c>
    </row>
    <row r="828" spans="1:32" s="7" customFormat="1" ht="32.15" customHeight="1" x14ac:dyDescent="0.35">
      <c r="A828" s="26">
        <f>A826+1</f>
        <v>769</v>
      </c>
      <c r="B828" s="27" t="s">
        <v>2306</v>
      </c>
      <c r="C828" s="282" t="s">
        <v>2308</v>
      </c>
      <c r="D828" s="283"/>
      <c r="E828" s="45" t="s">
        <v>3016</v>
      </c>
      <c r="F828" s="24" t="s">
        <v>43</v>
      </c>
      <c r="G828" s="44" t="s">
        <v>3017</v>
      </c>
      <c r="H828" s="4" t="s">
        <v>3018</v>
      </c>
      <c r="I828" s="48" t="s">
        <v>46</v>
      </c>
      <c r="J828" s="53">
        <v>46198</v>
      </c>
      <c r="K828" s="3" t="str">
        <f t="shared" ca="1" si="181"/>
        <v xml:space="preserve">0 Tahun 2 bulan </v>
      </c>
      <c r="L828" s="4" t="s">
        <v>200</v>
      </c>
      <c r="M828" s="53">
        <v>46198</v>
      </c>
      <c r="N828" s="3" t="str">
        <f t="shared" ca="1" si="192"/>
        <v xml:space="preserve">0 Tahun 2 bulan </v>
      </c>
      <c r="O828" s="4"/>
      <c r="P828" s="4" t="s">
        <v>35</v>
      </c>
      <c r="Q828" s="4" t="str">
        <f t="shared" si="183"/>
        <v>Perempuan</v>
      </c>
      <c r="R828" s="4">
        <f>R826</f>
        <v>1</v>
      </c>
      <c r="S828" s="4" t="str">
        <f>IF(E828="LOWONG","0","1")</f>
        <v>1</v>
      </c>
      <c r="T828" s="4">
        <f t="shared" si="188"/>
        <v>0</v>
      </c>
      <c r="U828" s="29"/>
      <c r="V828" s="30"/>
      <c r="W828" s="30"/>
      <c r="X828" s="30"/>
      <c r="Y828" s="30"/>
      <c r="Z828" s="30"/>
      <c r="AA828" s="30"/>
      <c r="AB828" s="29"/>
      <c r="AC828" s="29"/>
      <c r="AD828" s="37">
        <f t="shared" si="185"/>
        <v>28601</v>
      </c>
      <c r="AE828" s="3" t="str">
        <f t="shared" ca="1" si="182"/>
        <v>48 Tahun 4 bulan 11 Hari</v>
      </c>
      <c r="AF828" s="38">
        <f t="shared" si="186"/>
        <v>50526</v>
      </c>
    </row>
    <row r="829" spans="1:32" s="7" customFormat="1" ht="32.15" customHeight="1" x14ac:dyDescent="0.35">
      <c r="A829" s="26">
        <f t="shared" si="180"/>
        <v>770</v>
      </c>
      <c r="B829" s="27" t="s">
        <v>2306</v>
      </c>
      <c r="C829" s="282" t="s">
        <v>2311</v>
      </c>
      <c r="D829" s="283"/>
      <c r="E829" s="45" t="s">
        <v>2953</v>
      </c>
      <c r="F829" s="45" t="s">
        <v>71</v>
      </c>
      <c r="G829" s="44" t="s">
        <v>2318</v>
      </c>
      <c r="H829" s="36" t="s">
        <v>1214</v>
      </c>
      <c r="I829" s="36" t="s">
        <v>184</v>
      </c>
      <c r="J829" s="82" t="s">
        <v>2954</v>
      </c>
      <c r="K829" s="3" t="str">
        <f t="shared" ca="1" si="181"/>
        <v xml:space="preserve">0 Tahun 4 bulan </v>
      </c>
      <c r="L829" s="36" t="s">
        <v>1749</v>
      </c>
      <c r="M829" s="82" t="s">
        <v>2954</v>
      </c>
      <c r="N829" s="3" t="str">
        <f t="shared" ca="1" si="192"/>
        <v xml:space="preserve">0 Tahun 4 bulan </v>
      </c>
      <c r="O829" s="36"/>
      <c r="P829" s="4" t="s">
        <v>35</v>
      </c>
      <c r="Q829" s="4" t="str">
        <f t="shared" si="183"/>
        <v>Laki-Laki</v>
      </c>
      <c r="R829" s="4">
        <f t="shared" si="187"/>
        <v>1</v>
      </c>
      <c r="S829" s="4" t="str">
        <f>IF(E829="LOWONG","0","1")</f>
        <v>1</v>
      </c>
      <c r="T829" s="4">
        <f t="shared" si="188"/>
        <v>0</v>
      </c>
      <c r="U829" s="29"/>
      <c r="V829" s="30"/>
      <c r="W829" s="30"/>
      <c r="X829" s="30"/>
      <c r="Y829" s="30"/>
      <c r="Z829" s="30"/>
      <c r="AA829" s="30"/>
      <c r="AB829" s="29"/>
      <c r="AC829" s="29"/>
      <c r="AD829" s="37">
        <f t="shared" si="185"/>
        <v>29887</v>
      </c>
      <c r="AE829" s="3" t="str">
        <f t="shared" ca="1" si="182"/>
        <v>44 Tahun 10 bulan 4 Hari</v>
      </c>
      <c r="AF829" s="38">
        <f t="shared" si="186"/>
        <v>51806</v>
      </c>
    </row>
    <row r="830" spans="1:32" s="7" customFormat="1" ht="32.15" customHeight="1" x14ac:dyDescent="0.35">
      <c r="A830" s="26">
        <f t="shared" si="180"/>
        <v>771</v>
      </c>
      <c r="B830" s="27" t="s">
        <v>2306</v>
      </c>
      <c r="C830" s="26"/>
      <c r="D830" s="111" t="s">
        <v>2312</v>
      </c>
      <c r="E830" s="45" t="s">
        <v>2313</v>
      </c>
      <c r="F830" s="24" t="s">
        <v>43</v>
      </c>
      <c r="G830" s="44" t="s">
        <v>2314</v>
      </c>
      <c r="H830" s="36" t="s">
        <v>2315</v>
      </c>
      <c r="I830" s="36" t="s">
        <v>86</v>
      </c>
      <c r="J830" s="82" t="s">
        <v>711</v>
      </c>
      <c r="K830" s="3" t="str">
        <f t="shared" ca="1" si="181"/>
        <v xml:space="preserve">4 Tahun 11 bulan </v>
      </c>
      <c r="L830" s="4" t="s">
        <v>1749</v>
      </c>
      <c r="M830" s="82" t="s">
        <v>711</v>
      </c>
      <c r="N830" s="3" t="str">
        <f t="shared" ca="1" si="192"/>
        <v xml:space="preserve">4 Tahun 11 bulan </v>
      </c>
      <c r="O830" s="36"/>
      <c r="P830" s="4" t="s">
        <v>35</v>
      </c>
      <c r="Q830" s="4" t="str">
        <f t="shared" si="183"/>
        <v>Perempuan</v>
      </c>
      <c r="R830" s="4">
        <f t="shared" si="187"/>
        <v>1</v>
      </c>
      <c r="S830" s="4" t="str">
        <f>IF(E830="LOWONG","0","1")</f>
        <v>1</v>
      </c>
      <c r="T830" s="4">
        <f t="shared" si="188"/>
        <v>0</v>
      </c>
      <c r="U830" s="29"/>
      <c r="V830" s="30"/>
      <c r="W830" s="30"/>
      <c r="X830" s="30"/>
      <c r="Y830" s="30"/>
      <c r="Z830" s="30"/>
      <c r="AA830" s="30"/>
      <c r="AB830" s="29"/>
      <c r="AC830" s="29"/>
      <c r="AD830" s="37">
        <f t="shared" si="185"/>
        <v>26635</v>
      </c>
      <c r="AE830" s="3" t="str">
        <f t="shared" ca="1" si="182"/>
        <v>53 Tahun 8 bulan 30 Hari</v>
      </c>
      <c r="AF830" s="38">
        <f t="shared" si="186"/>
        <v>48580</v>
      </c>
    </row>
    <row r="831" spans="1:32" s="7" customFormat="1" ht="32.15" customHeight="1" x14ac:dyDescent="0.35">
      <c r="A831" s="26">
        <f t="shared" si="180"/>
        <v>772</v>
      </c>
      <c r="B831" s="27" t="s">
        <v>2306</v>
      </c>
      <c r="C831" s="26"/>
      <c r="D831" s="111" t="s">
        <v>2316</v>
      </c>
      <c r="E831" s="24" t="s">
        <v>2317</v>
      </c>
      <c r="F831" s="24" t="s">
        <v>43</v>
      </c>
      <c r="G831" s="44" t="s">
        <v>2318</v>
      </c>
      <c r="H831" s="4" t="s">
        <v>2283</v>
      </c>
      <c r="I831" s="36" t="s">
        <v>184</v>
      </c>
      <c r="J831" s="82" t="s">
        <v>338</v>
      </c>
      <c r="K831" s="3" t="str">
        <f t="shared" ca="1" si="181"/>
        <v xml:space="preserve">2 Tahun 11 bulan </v>
      </c>
      <c r="L831" s="4" t="s">
        <v>1749</v>
      </c>
      <c r="M831" s="82" t="s">
        <v>338</v>
      </c>
      <c r="N831" s="3" t="str">
        <f t="shared" ca="1" si="192"/>
        <v xml:space="preserve">2 Tahun 11 bulan </v>
      </c>
      <c r="O831" s="60"/>
      <c r="P831" s="4" t="s">
        <v>35</v>
      </c>
      <c r="Q831" s="4" t="str">
        <f t="shared" si="183"/>
        <v>Laki-Laki</v>
      </c>
      <c r="R831" s="4">
        <f t="shared" si="187"/>
        <v>1</v>
      </c>
      <c r="S831" s="4" t="str">
        <f>IF(E831="LOWONG","0","1")</f>
        <v>1</v>
      </c>
      <c r="T831" s="4">
        <f t="shared" si="188"/>
        <v>0</v>
      </c>
      <c r="U831" s="29"/>
      <c r="V831" s="30" t="s">
        <v>50</v>
      </c>
      <c r="W831" s="30"/>
      <c r="X831" s="30"/>
      <c r="Y831" s="30"/>
      <c r="Z831" s="30"/>
      <c r="AA831" s="30"/>
      <c r="AB831" s="29"/>
      <c r="AC831" s="29"/>
      <c r="AD831" s="37">
        <f t="shared" si="185"/>
        <v>29887</v>
      </c>
      <c r="AE831" s="3" t="str">
        <f t="shared" ca="1" si="182"/>
        <v>44 Tahun 10 bulan 4 Hari</v>
      </c>
      <c r="AF831" s="38">
        <f t="shared" si="186"/>
        <v>51806</v>
      </c>
    </row>
    <row r="832" spans="1:32" s="7" customFormat="1" ht="32.15" customHeight="1" x14ac:dyDescent="0.35">
      <c r="A832" s="26">
        <f t="shared" si="180"/>
        <v>773</v>
      </c>
      <c r="B832" s="27" t="s">
        <v>2306</v>
      </c>
      <c r="C832" s="26"/>
      <c r="D832" s="111" t="s">
        <v>2319</v>
      </c>
      <c r="E832" s="45" t="s">
        <v>2320</v>
      </c>
      <c r="F832" s="24" t="s">
        <v>43</v>
      </c>
      <c r="G832" s="44" t="s">
        <v>2321</v>
      </c>
      <c r="H832" s="36" t="s">
        <v>574</v>
      </c>
      <c r="I832" s="36" t="s">
        <v>86</v>
      </c>
      <c r="J832" s="82" t="s">
        <v>1748</v>
      </c>
      <c r="K832" s="3" t="str">
        <f t="shared" ca="1" si="181"/>
        <v xml:space="preserve">9 Tahun 7 bulan </v>
      </c>
      <c r="L832" s="4" t="s">
        <v>1749</v>
      </c>
      <c r="M832" s="82" t="s">
        <v>1748</v>
      </c>
      <c r="N832" s="3" t="str">
        <f t="shared" ca="1" si="192"/>
        <v xml:space="preserve">9 Tahun 7 bulan </v>
      </c>
      <c r="O832" s="36"/>
      <c r="P832" s="4" t="s">
        <v>35</v>
      </c>
      <c r="Q832" s="4" t="str">
        <f t="shared" si="183"/>
        <v>Laki-Laki</v>
      </c>
      <c r="R832" s="4">
        <f t="shared" si="187"/>
        <v>1</v>
      </c>
      <c r="S832" s="4" t="str">
        <f>IF(E832="LOWONG","0","1")</f>
        <v>1</v>
      </c>
      <c r="T832" s="4">
        <f t="shared" si="188"/>
        <v>0</v>
      </c>
      <c r="U832" s="29"/>
      <c r="V832" s="30" t="s">
        <v>50</v>
      </c>
      <c r="W832" s="30"/>
      <c r="X832" s="30"/>
      <c r="Y832" s="30"/>
      <c r="Z832" s="30"/>
      <c r="AA832" s="30"/>
      <c r="AB832" s="29"/>
      <c r="AC832" s="29"/>
      <c r="AD832" s="37">
        <f t="shared" si="185"/>
        <v>27677</v>
      </c>
      <c r="AE832" s="3" t="str">
        <f t="shared" ca="1" si="182"/>
        <v>50 Tahun 10 bulan 22 Hari</v>
      </c>
      <c r="AF832" s="38">
        <f t="shared" si="186"/>
        <v>49614</v>
      </c>
    </row>
    <row r="833" spans="1:32" s="7" customFormat="1" ht="32.15" customHeight="1" x14ac:dyDescent="0.35">
      <c r="A833" s="26"/>
      <c r="B833" s="32" t="s">
        <v>2322</v>
      </c>
      <c r="C833" s="269" t="s">
        <v>2323</v>
      </c>
      <c r="D833" s="270"/>
      <c r="E833" s="24"/>
      <c r="F833" s="24"/>
      <c r="G833" s="4"/>
      <c r="H833" s="4"/>
      <c r="I833" s="33"/>
      <c r="J833" s="5"/>
      <c r="K833" s="3" t="str">
        <f t="shared" ca="1" si="181"/>
        <v/>
      </c>
      <c r="L833" s="30"/>
      <c r="M833" s="5"/>
      <c r="N833" s="3" t="str">
        <f t="shared" ca="1" si="192"/>
        <v/>
      </c>
      <c r="O833" s="4"/>
      <c r="P833" s="4"/>
      <c r="Q833" s="4"/>
      <c r="R833" s="4"/>
      <c r="S833" s="4"/>
      <c r="T833" s="4"/>
      <c r="U833" s="29"/>
      <c r="V833" s="30"/>
      <c r="W833" s="30"/>
      <c r="X833" s="30"/>
      <c r="Y833" s="30"/>
      <c r="Z833" s="29"/>
      <c r="AA833" s="29"/>
      <c r="AB833" s="29"/>
      <c r="AC833" s="29"/>
      <c r="AD833" s="37" t="str">
        <f t="shared" si="185"/>
        <v/>
      </c>
      <c r="AE833" s="3" t="str">
        <f t="shared" ca="1" si="182"/>
        <v/>
      </c>
      <c r="AF833" s="38" t="str">
        <f t="shared" si="186"/>
        <v/>
      </c>
    </row>
    <row r="834" spans="1:32" s="7" customFormat="1" ht="37.5" customHeight="1" x14ac:dyDescent="0.35">
      <c r="A834" s="26">
        <f>A832+1</f>
        <v>774</v>
      </c>
      <c r="B834" s="32" t="s">
        <v>2322</v>
      </c>
      <c r="C834" s="258" t="s">
        <v>2324</v>
      </c>
      <c r="D834" s="259"/>
      <c r="E834" s="24" t="s">
        <v>108</v>
      </c>
      <c r="F834" s="24"/>
      <c r="G834" s="4"/>
      <c r="H834" s="4"/>
      <c r="I834" s="41"/>
      <c r="J834" s="91"/>
      <c r="K834" s="3" t="str">
        <f t="shared" ca="1" si="181"/>
        <v/>
      </c>
      <c r="L834" s="56" t="s">
        <v>1749</v>
      </c>
      <c r="M834" s="91"/>
      <c r="N834" s="3" t="str">
        <f t="shared" ca="1" si="192"/>
        <v/>
      </c>
      <c r="O834" s="4"/>
      <c r="P834" s="4"/>
      <c r="Q834" s="4" t="str">
        <f t="shared" si="183"/>
        <v/>
      </c>
      <c r="R834" s="4">
        <f>R832</f>
        <v>1</v>
      </c>
      <c r="S834" s="4" t="str">
        <f t="shared" ref="S834:S853" si="193">IF(E834="LOWONG","0","1")</f>
        <v>0</v>
      </c>
      <c r="T834" s="4">
        <f t="shared" si="188"/>
        <v>1</v>
      </c>
      <c r="U834" s="29"/>
      <c r="V834" s="30"/>
      <c r="W834" s="30"/>
      <c r="X834" s="30"/>
      <c r="Y834" s="30"/>
      <c r="Z834" s="30"/>
      <c r="AA834" s="30"/>
      <c r="AB834" s="29"/>
      <c r="AC834" s="29"/>
      <c r="AD834" s="37" t="str">
        <f t="shared" si="185"/>
        <v/>
      </c>
      <c r="AE834" s="3" t="str">
        <f t="shared" ca="1" si="182"/>
        <v/>
      </c>
      <c r="AF834" s="38" t="str">
        <f t="shared" si="186"/>
        <v/>
      </c>
    </row>
    <row r="835" spans="1:32" s="7" customFormat="1" ht="32.15" customHeight="1" x14ac:dyDescent="0.35">
      <c r="A835" s="26">
        <f t="shared" ref="A835:A898" si="194">A834+1</f>
        <v>775</v>
      </c>
      <c r="B835" s="32" t="s">
        <v>2322</v>
      </c>
      <c r="C835" s="258" t="s">
        <v>2325</v>
      </c>
      <c r="D835" s="259"/>
      <c r="E835" s="24" t="s">
        <v>108</v>
      </c>
      <c r="F835" s="24"/>
      <c r="G835" s="86"/>
      <c r="H835" s="8"/>
      <c r="I835" s="25"/>
      <c r="J835" s="124"/>
      <c r="K835" s="3" t="str">
        <f t="shared" ca="1" si="181"/>
        <v/>
      </c>
      <c r="L835" s="56" t="s">
        <v>1749</v>
      </c>
      <c r="M835" s="124"/>
      <c r="N835" s="3" t="str">
        <f t="shared" ca="1" si="192"/>
        <v/>
      </c>
      <c r="O835" s="56"/>
      <c r="P835" s="4"/>
      <c r="Q835" s="4" t="str">
        <f t="shared" si="183"/>
        <v/>
      </c>
      <c r="R835" s="4">
        <f t="shared" si="187"/>
        <v>1</v>
      </c>
      <c r="S835" s="4" t="str">
        <f t="shared" si="193"/>
        <v>0</v>
      </c>
      <c r="T835" s="4">
        <f t="shared" si="188"/>
        <v>1</v>
      </c>
      <c r="U835" s="29"/>
      <c r="V835" s="30"/>
      <c r="W835" s="30"/>
      <c r="X835" s="30"/>
      <c r="Y835" s="30"/>
      <c r="Z835" s="30"/>
      <c r="AA835" s="30"/>
      <c r="AB835" s="29"/>
      <c r="AC835" s="29"/>
      <c r="AD835" s="37" t="str">
        <f t="shared" si="185"/>
        <v/>
      </c>
      <c r="AE835" s="3" t="str">
        <f t="shared" ca="1" si="182"/>
        <v/>
      </c>
      <c r="AF835" s="38" t="str">
        <f t="shared" si="186"/>
        <v/>
      </c>
    </row>
    <row r="836" spans="1:32" s="7" customFormat="1" ht="32.15" customHeight="1" x14ac:dyDescent="0.35">
      <c r="A836" s="26">
        <f t="shared" si="194"/>
        <v>776</v>
      </c>
      <c r="B836" s="32" t="s">
        <v>2322</v>
      </c>
      <c r="C836" s="258" t="s">
        <v>2326</v>
      </c>
      <c r="D836" s="259"/>
      <c r="E836" s="24" t="s">
        <v>108</v>
      </c>
      <c r="F836" s="24"/>
      <c r="G836" s="86"/>
      <c r="H836" s="98"/>
      <c r="I836" s="25"/>
      <c r="J836" s="49"/>
      <c r="K836" s="3" t="str">
        <f t="shared" ca="1" si="181"/>
        <v/>
      </c>
      <c r="L836" s="56" t="s">
        <v>1749</v>
      </c>
      <c r="M836" s="49"/>
      <c r="N836" s="3" t="str">
        <f t="shared" ca="1" si="192"/>
        <v/>
      </c>
      <c r="O836" s="56"/>
      <c r="P836" s="4"/>
      <c r="Q836" s="4" t="str">
        <f t="shared" si="183"/>
        <v/>
      </c>
      <c r="R836" s="4">
        <f t="shared" si="187"/>
        <v>1</v>
      </c>
      <c r="S836" s="4" t="str">
        <f t="shared" si="193"/>
        <v>0</v>
      </c>
      <c r="T836" s="4">
        <f t="shared" si="188"/>
        <v>1</v>
      </c>
      <c r="U836" s="29"/>
      <c r="V836" s="30" t="s">
        <v>50</v>
      </c>
      <c r="W836" s="30"/>
      <c r="X836" s="30"/>
      <c r="Y836" s="30"/>
      <c r="Z836" s="30"/>
      <c r="AA836" s="30"/>
      <c r="AB836" s="29"/>
      <c r="AC836" s="29"/>
      <c r="AD836" s="37" t="str">
        <f t="shared" si="185"/>
        <v/>
      </c>
      <c r="AE836" s="3" t="str">
        <f t="shared" ca="1" si="182"/>
        <v/>
      </c>
      <c r="AF836" s="38" t="str">
        <f t="shared" si="186"/>
        <v/>
      </c>
    </row>
    <row r="837" spans="1:32" s="7" customFormat="1" ht="36.75" customHeight="1" x14ac:dyDescent="0.35">
      <c r="A837" s="26">
        <f t="shared" si="194"/>
        <v>777</v>
      </c>
      <c r="B837" s="32" t="s">
        <v>2322</v>
      </c>
      <c r="C837" s="258" t="s">
        <v>2327</v>
      </c>
      <c r="D837" s="259"/>
      <c r="E837" s="24" t="s">
        <v>108</v>
      </c>
      <c r="F837" s="24"/>
      <c r="G837" s="86"/>
      <c r="H837" s="98"/>
      <c r="I837" s="36"/>
      <c r="J837" s="125"/>
      <c r="K837" s="3" t="str">
        <f t="shared" ca="1" si="181"/>
        <v/>
      </c>
      <c r="L837" s="56" t="s">
        <v>1749</v>
      </c>
      <c r="M837" s="125"/>
      <c r="N837" s="3" t="str">
        <f t="shared" ca="1" si="192"/>
        <v/>
      </c>
      <c r="O837" s="56"/>
      <c r="P837" s="4"/>
      <c r="Q837" s="4" t="str">
        <f t="shared" si="183"/>
        <v/>
      </c>
      <c r="R837" s="4">
        <f t="shared" si="187"/>
        <v>1</v>
      </c>
      <c r="S837" s="4" t="str">
        <f t="shared" si="193"/>
        <v>0</v>
      </c>
      <c r="T837" s="4">
        <f t="shared" si="188"/>
        <v>1</v>
      </c>
      <c r="U837" s="29"/>
      <c r="V837" s="30"/>
      <c r="W837" s="30"/>
      <c r="X837" s="30"/>
      <c r="Y837" s="30"/>
      <c r="Z837" s="30"/>
      <c r="AA837" s="30"/>
      <c r="AB837" s="29"/>
      <c r="AC837" s="29"/>
      <c r="AD837" s="37" t="str">
        <f t="shared" si="185"/>
        <v/>
      </c>
      <c r="AE837" s="3" t="str">
        <f t="shared" ca="1" si="182"/>
        <v/>
      </c>
      <c r="AF837" s="38" t="str">
        <f t="shared" si="186"/>
        <v/>
      </c>
    </row>
    <row r="838" spans="1:32" s="7" customFormat="1" ht="32.15" customHeight="1" x14ac:dyDescent="0.35">
      <c r="A838" s="26">
        <f t="shared" si="194"/>
        <v>778</v>
      </c>
      <c r="B838" s="32" t="s">
        <v>2322</v>
      </c>
      <c r="C838" s="258" t="s">
        <v>2328</v>
      </c>
      <c r="D838" s="259"/>
      <c r="E838" s="42" t="s">
        <v>108</v>
      </c>
      <c r="F838" s="24"/>
      <c r="G838" s="43"/>
      <c r="H838" s="4"/>
      <c r="I838" s="33"/>
      <c r="J838" s="47"/>
      <c r="K838" s="3" t="str">
        <f t="shared" ca="1" si="181"/>
        <v/>
      </c>
      <c r="L838" s="56" t="s">
        <v>1749</v>
      </c>
      <c r="M838" s="47"/>
      <c r="N838" s="3" t="str">
        <f t="shared" ca="1" si="192"/>
        <v/>
      </c>
      <c r="O838" s="56"/>
      <c r="P838" s="4"/>
      <c r="Q838" s="4" t="str">
        <f t="shared" si="183"/>
        <v/>
      </c>
      <c r="R838" s="4">
        <f t="shared" si="187"/>
        <v>1</v>
      </c>
      <c r="S838" s="4" t="str">
        <f t="shared" si="193"/>
        <v>0</v>
      </c>
      <c r="T838" s="4">
        <f t="shared" si="188"/>
        <v>1</v>
      </c>
      <c r="U838" s="29"/>
      <c r="V838" s="30" t="s">
        <v>50</v>
      </c>
      <c r="W838" s="30"/>
      <c r="X838" s="30"/>
      <c r="Y838" s="30"/>
      <c r="Z838" s="30"/>
      <c r="AA838" s="30"/>
      <c r="AB838" s="29"/>
      <c r="AC838" s="29"/>
      <c r="AD838" s="37" t="str">
        <f t="shared" si="185"/>
        <v/>
      </c>
      <c r="AE838" s="3" t="str">
        <f t="shared" ca="1" si="182"/>
        <v/>
      </c>
      <c r="AF838" s="38" t="str">
        <f t="shared" si="186"/>
        <v/>
      </c>
    </row>
    <row r="839" spans="1:32" s="7" customFormat="1" ht="32.15" customHeight="1" x14ac:dyDescent="0.35">
      <c r="A839" s="26">
        <f t="shared" si="194"/>
        <v>779</v>
      </c>
      <c r="B839" s="32" t="s">
        <v>2322</v>
      </c>
      <c r="C839" s="258" t="s">
        <v>2330</v>
      </c>
      <c r="D839" s="259"/>
      <c r="E839" s="24" t="s">
        <v>2331</v>
      </c>
      <c r="F839" s="24" t="s">
        <v>43</v>
      </c>
      <c r="G839" s="3" t="s">
        <v>2332</v>
      </c>
      <c r="H839" s="4" t="s">
        <v>135</v>
      </c>
      <c r="I839" s="41" t="s">
        <v>46</v>
      </c>
      <c r="J839" s="47" t="s">
        <v>338</v>
      </c>
      <c r="K839" s="3" t="str">
        <f t="shared" ref="K839:K902" ca="1" si="195">IF(J839="","",CONCATENATE(DATEDIF(J839,NOW(),"Y")," Tahun ",DATEDIF(J839,NOW(),"YM")," bulan "))</f>
        <v xml:space="preserve">2 Tahun 11 bulan </v>
      </c>
      <c r="L839" s="56" t="s">
        <v>1749</v>
      </c>
      <c r="M839" s="47" t="s">
        <v>338</v>
      </c>
      <c r="N839" s="3" t="str">
        <f t="shared" ca="1" si="192"/>
        <v xml:space="preserve">2 Tahun 11 bulan </v>
      </c>
      <c r="O839" s="56"/>
      <c r="P839" s="4" t="s">
        <v>35</v>
      </c>
      <c r="Q839" s="4" t="str">
        <f t="shared" si="183"/>
        <v>Laki-Laki</v>
      </c>
      <c r="R839" s="4">
        <f t="shared" si="187"/>
        <v>1</v>
      </c>
      <c r="S839" s="4" t="str">
        <f t="shared" si="193"/>
        <v>1</v>
      </c>
      <c r="T839" s="4">
        <f t="shared" si="188"/>
        <v>0</v>
      </c>
      <c r="U839" s="29"/>
      <c r="V839" s="30" t="s">
        <v>50</v>
      </c>
      <c r="W839" s="30"/>
      <c r="X839" s="30"/>
      <c r="Y839" s="30"/>
      <c r="Z839" s="30"/>
      <c r="AA839" s="30"/>
      <c r="AB839" s="29"/>
      <c r="AC839" s="29"/>
      <c r="AD839" s="37">
        <f t="shared" si="185"/>
        <v>25765</v>
      </c>
      <c r="AE839" s="3" t="str">
        <f t="shared" ref="AE839:AE902" ca="1" si="196">IF(TRIM(AD839)="", "", CONCATENATE(DATEDIF(AD839,NOW(),"Y")," Tahun ",DATEDIF(AD839,NOW(),"YM")," bulan ",DATEDIF(AD839,NOW(),"MD")," Hari"))</f>
        <v>56 Tahun 1 bulan 16 Hari</v>
      </c>
      <c r="AF839" s="38">
        <f t="shared" si="186"/>
        <v>47696</v>
      </c>
    </row>
    <row r="840" spans="1:32" s="7" customFormat="1" ht="32.15" customHeight="1" x14ac:dyDescent="0.35">
      <c r="A840" s="26">
        <f t="shared" si="194"/>
        <v>780</v>
      </c>
      <c r="B840" s="32" t="s">
        <v>2322</v>
      </c>
      <c r="C840" s="258" t="s">
        <v>3137</v>
      </c>
      <c r="D840" s="259"/>
      <c r="E840" s="42" t="s">
        <v>108</v>
      </c>
      <c r="F840" s="24"/>
      <c r="G840" s="3"/>
      <c r="H840" s="4"/>
      <c r="I840" s="41"/>
      <c r="J840" s="47"/>
      <c r="K840" s="3" t="str">
        <f t="shared" ca="1" si="195"/>
        <v/>
      </c>
      <c r="L840" s="56" t="s">
        <v>1749</v>
      </c>
      <c r="M840" s="47"/>
      <c r="N840" s="3" t="str">
        <f t="shared" ca="1" si="192"/>
        <v/>
      </c>
      <c r="O840" s="4"/>
      <c r="P840" s="4"/>
      <c r="Q840" s="4" t="str">
        <f t="shared" ref="Q840:Q903" si="197">CONCATENATE(IF(MID(G840,17,1)="1","Laki-Laki",IF(MID(G840,17,1)="2","Perempuan",)))</f>
        <v/>
      </c>
      <c r="R840" s="4">
        <f t="shared" si="187"/>
        <v>1</v>
      </c>
      <c r="S840" s="4" t="str">
        <f t="shared" si="193"/>
        <v>0</v>
      </c>
      <c r="T840" s="4">
        <f t="shared" si="188"/>
        <v>1</v>
      </c>
      <c r="U840" s="29"/>
      <c r="V840" s="30" t="s">
        <v>50</v>
      </c>
      <c r="W840" s="30"/>
      <c r="X840" s="30"/>
      <c r="Y840" s="30"/>
      <c r="Z840" s="30"/>
      <c r="AA840" s="30"/>
      <c r="AB840" s="29"/>
      <c r="AC840" s="29"/>
      <c r="AD840" s="37" t="str">
        <f t="shared" ref="AD840:AD903" si="198">IF(TRIM(G840)="", "", DATE(LEFT(G840,4),MID(G840,5,2),MID(G840,7,2)))</f>
        <v/>
      </c>
      <c r="AE840" s="3" t="str">
        <f t="shared" ca="1" si="196"/>
        <v/>
      </c>
      <c r="AF840" s="38" t="str">
        <f t="shared" ref="AF840:AF903" si="199">IF(TRIM(AD840)="","",DATE(YEAR(AD840)+60,MONTH(AD840)+1,1))</f>
        <v/>
      </c>
    </row>
    <row r="841" spans="1:32" s="7" customFormat="1" ht="32.15" customHeight="1" x14ac:dyDescent="0.35">
      <c r="A841" s="26">
        <f t="shared" si="194"/>
        <v>781</v>
      </c>
      <c r="B841" s="32" t="s">
        <v>2322</v>
      </c>
      <c r="C841" s="258" t="s">
        <v>2333</v>
      </c>
      <c r="D841" s="259"/>
      <c r="E841" s="24" t="s">
        <v>108</v>
      </c>
      <c r="F841" s="24"/>
      <c r="G841" s="86"/>
      <c r="H841" s="98"/>
      <c r="I841" s="25"/>
      <c r="J841" s="125"/>
      <c r="K841" s="3" t="str">
        <f t="shared" ca="1" si="195"/>
        <v/>
      </c>
      <c r="L841" s="56" t="s">
        <v>1749</v>
      </c>
      <c r="M841" s="125"/>
      <c r="N841" s="3" t="str">
        <f t="shared" ca="1" si="192"/>
        <v/>
      </c>
      <c r="O841" s="56"/>
      <c r="P841" s="4"/>
      <c r="Q841" s="4" t="str">
        <f t="shared" si="197"/>
        <v/>
      </c>
      <c r="R841" s="4">
        <f t="shared" ref="R841:R904" si="200">R840</f>
        <v>1</v>
      </c>
      <c r="S841" s="4" t="str">
        <f t="shared" si="193"/>
        <v>0</v>
      </c>
      <c r="T841" s="4">
        <f t="shared" si="188"/>
        <v>1</v>
      </c>
      <c r="U841" s="29"/>
      <c r="V841" s="30"/>
      <c r="W841" s="30"/>
      <c r="X841" s="30"/>
      <c r="Y841" s="30"/>
      <c r="Z841" s="30"/>
      <c r="AA841" s="30"/>
      <c r="AB841" s="29"/>
      <c r="AC841" s="29"/>
      <c r="AD841" s="37" t="str">
        <f t="shared" si="198"/>
        <v/>
      </c>
      <c r="AE841" s="3" t="str">
        <f t="shared" ca="1" si="196"/>
        <v/>
      </c>
      <c r="AF841" s="38" t="str">
        <f t="shared" si="199"/>
        <v/>
      </c>
    </row>
    <row r="842" spans="1:32" s="7" customFormat="1" ht="32.15" customHeight="1" x14ac:dyDescent="0.35">
      <c r="A842" s="26">
        <f t="shared" si="194"/>
        <v>782</v>
      </c>
      <c r="B842" s="32" t="s">
        <v>2322</v>
      </c>
      <c r="C842" s="258" t="s">
        <v>2334</v>
      </c>
      <c r="D842" s="259"/>
      <c r="E842" s="93" t="s">
        <v>108</v>
      </c>
      <c r="F842" s="93"/>
      <c r="G842" s="94"/>
      <c r="H842" s="4"/>
      <c r="I842" s="25"/>
      <c r="J842" s="125"/>
      <c r="K842" s="3" t="str">
        <f t="shared" ca="1" si="195"/>
        <v/>
      </c>
      <c r="L842" s="56" t="s">
        <v>1749</v>
      </c>
      <c r="M842" s="125"/>
      <c r="N842" s="3" t="str">
        <f t="shared" ca="1" si="192"/>
        <v/>
      </c>
      <c r="O842" s="56"/>
      <c r="P842" s="4"/>
      <c r="Q842" s="4" t="str">
        <f t="shared" si="197"/>
        <v/>
      </c>
      <c r="R842" s="4">
        <f t="shared" si="200"/>
        <v>1</v>
      </c>
      <c r="S842" s="4" t="str">
        <f t="shared" si="193"/>
        <v>0</v>
      </c>
      <c r="T842" s="4">
        <f t="shared" si="188"/>
        <v>1</v>
      </c>
      <c r="U842" s="29"/>
      <c r="V842" s="30" t="s">
        <v>50</v>
      </c>
      <c r="W842" s="30"/>
      <c r="X842" s="30"/>
      <c r="Y842" s="30"/>
      <c r="Z842" s="30"/>
      <c r="AA842" s="30"/>
      <c r="AB842" s="29"/>
      <c r="AC842" s="29"/>
      <c r="AD842" s="37" t="str">
        <f t="shared" si="198"/>
        <v/>
      </c>
      <c r="AE842" s="3" t="str">
        <f t="shared" ca="1" si="196"/>
        <v/>
      </c>
      <c r="AF842" s="38" t="str">
        <f t="shared" si="199"/>
        <v/>
      </c>
    </row>
    <row r="843" spans="1:32" s="7" customFormat="1" ht="32.15" customHeight="1" x14ac:dyDescent="0.35">
      <c r="A843" s="26">
        <f t="shared" si="194"/>
        <v>783</v>
      </c>
      <c r="B843" s="32" t="s">
        <v>2322</v>
      </c>
      <c r="C843" s="258" t="s">
        <v>2335</v>
      </c>
      <c r="D843" s="259"/>
      <c r="E843" s="85" t="s">
        <v>2336</v>
      </c>
      <c r="F843" s="24" t="s">
        <v>43</v>
      </c>
      <c r="G843" s="99" t="s">
        <v>2337</v>
      </c>
      <c r="H843" s="126" t="s">
        <v>554</v>
      </c>
      <c r="I843" s="25" t="s">
        <v>2338</v>
      </c>
      <c r="J843" s="110" t="s">
        <v>338</v>
      </c>
      <c r="K843" s="3" t="str">
        <f t="shared" ca="1" si="195"/>
        <v xml:space="preserve">2 Tahun 11 bulan </v>
      </c>
      <c r="L843" s="56" t="s">
        <v>1749</v>
      </c>
      <c r="M843" s="110" t="s">
        <v>338</v>
      </c>
      <c r="N843" s="3" t="str">
        <f t="shared" ca="1" si="192"/>
        <v xml:space="preserve">2 Tahun 11 bulan </v>
      </c>
      <c r="O843" s="56"/>
      <c r="P843" s="4" t="s">
        <v>968</v>
      </c>
      <c r="Q843" s="4" t="str">
        <f t="shared" si="197"/>
        <v>Perempuan</v>
      </c>
      <c r="R843" s="4">
        <f t="shared" si="200"/>
        <v>1</v>
      </c>
      <c r="S843" s="4" t="str">
        <f t="shared" si="193"/>
        <v>1</v>
      </c>
      <c r="T843" s="4">
        <f t="shared" si="188"/>
        <v>0</v>
      </c>
      <c r="U843" s="29"/>
      <c r="V843" s="30"/>
      <c r="W843" s="30"/>
      <c r="X843" s="30"/>
      <c r="Y843" s="30"/>
      <c r="Z843" s="30"/>
      <c r="AA843" s="30"/>
      <c r="AB843" s="29"/>
      <c r="AC843" s="29"/>
      <c r="AD843" s="37">
        <f t="shared" si="198"/>
        <v>28418</v>
      </c>
      <c r="AE843" s="3" t="str">
        <f t="shared" ca="1" si="196"/>
        <v>48 Tahun 10 bulan 12 Hari</v>
      </c>
      <c r="AF843" s="38">
        <f t="shared" si="199"/>
        <v>50345</v>
      </c>
    </row>
    <row r="844" spans="1:32" s="7" customFormat="1" ht="32.15" customHeight="1" x14ac:dyDescent="0.35">
      <c r="A844" s="26">
        <f t="shared" si="194"/>
        <v>784</v>
      </c>
      <c r="B844" s="32" t="s">
        <v>2322</v>
      </c>
      <c r="C844" s="258" t="s">
        <v>2339</v>
      </c>
      <c r="D844" s="259"/>
      <c r="E844" s="24" t="s">
        <v>108</v>
      </c>
      <c r="F844" s="24"/>
      <c r="G844" s="86"/>
      <c r="H844" s="98"/>
      <c r="I844" s="25"/>
      <c r="J844" s="125"/>
      <c r="K844" s="3" t="str">
        <f t="shared" ca="1" si="195"/>
        <v/>
      </c>
      <c r="L844" s="56" t="s">
        <v>1749</v>
      </c>
      <c r="M844" s="125"/>
      <c r="N844" s="3" t="str">
        <f t="shared" ca="1" si="192"/>
        <v/>
      </c>
      <c r="O844" s="56"/>
      <c r="P844" s="4"/>
      <c r="Q844" s="4" t="str">
        <f t="shared" si="197"/>
        <v/>
      </c>
      <c r="R844" s="4">
        <f t="shared" si="200"/>
        <v>1</v>
      </c>
      <c r="S844" s="4" t="str">
        <f t="shared" si="193"/>
        <v>0</v>
      </c>
      <c r="T844" s="4">
        <f t="shared" si="188"/>
        <v>1</v>
      </c>
      <c r="U844" s="29"/>
      <c r="V844" s="30"/>
      <c r="W844" s="30"/>
      <c r="X844" s="30"/>
      <c r="Y844" s="30"/>
      <c r="Z844" s="30"/>
      <c r="AA844" s="30"/>
      <c r="AB844" s="29"/>
      <c r="AC844" s="29"/>
      <c r="AD844" s="37" t="str">
        <f t="shared" si="198"/>
        <v/>
      </c>
      <c r="AE844" s="3" t="str">
        <f t="shared" ca="1" si="196"/>
        <v/>
      </c>
      <c r="AF844" s="38" t="str">
        <f t="shared" si="199"/>
        <v/>
      </c>
    </row>
    <row r="845" spans="1:32" s="7" customFormat="1" ht="32.15" customHeight="1" x14ac:dyDescent="0.35">
      <c r="A845" s="26">
        <f t="shared" si="194"/>
        <v>785</v>
      </c>
      <c r="B845" s="32" t="s">
        <v>2322</v>
      </c>
      <c r="C845" s="258" t="s">
        <v>2340</v>
      </c>
      <c r="D845" s="259"/>
      <c r="E845" s="97" t="s">
        <v>2341</v>
      </c>
      <c r="F845" s="24" t="s">
        <v>43</v>
      </c>
      <c r="G845" s="86" t="s">
        <v>2945</v>
      </c>
      <c r="H845" s="98" t="s">
        <v>1866</v>
      </c>
      <c r="I845" s="25"/>
      <c r="J845" s="127">
        <v>45993</v>
      </c>
      <c r="K845" s="3" t="str">
        <f t="shared" ca="1" si="195"/>
        <v xml:space="preserve">0 Tahun 8 bulan </v>
      </c>
      <c r="L845" s="56" t="s">
        <v>1749</v>
      </c>
      <c r="M845" s="125"/>
      <c r="N845" s="3" t="str">
        <f t="shared" ca="1" si="192"/>
        <v/>
      </c>
      <c r="O845" s="56"/>
      <c r="P845" s="4"/>
      <c r="Q845" s="4" t="str">
        <f t="shared" si="197"/>
        <v>Perempuan</v>
      </c>
      <c r="R845" s="4">
        <f t="shared" si="200"/>
        <v>1</v>
      </c>
      <c r="S845" s="4" t="str">
        <f t="shared" si="193"/>
        <v>1</v>
      </c>
      <c r="T845" s="4">
        <f t="shared" si="188"/>
        <v>0</v>
      </c>
      <c r="U845" s="29"/>
      <c r="V845" s="30"/>
      <c r="W845" s="30"/>
      <c r="X845" s="30"/>
      <c r="Y845" s="30"/>
      <c r="Z845" s="30"/>
      <c r="AA845" s="30"/>
      <c r="AB845" s="29"/>
      <c r="AC845" s="29"/>
      <c r="AD845" s="37">
        <f t="shared" si="198"/>
        <v>30257</v>
      </c>
      <c r="AE845" s="3" t="str">
        <f t="shared" ca="1" si="196"/>
        <v>43 Tahun 9 bulan 30 Hari</v>
      </c>
      <c r="AF845" s="38">
        <f t="shared" si="199"/>
        <v>52201</v>
      </c>
    </row>
    <row r="846" spans="1:32" s="7" customFormat="1" ht="32.15" customHeight="1" x14ac:dyDescent="0.35">
      <c r="A846" s="26">
        <f t="shared" si="194"/>
        <v>786</v>
      </c>
      <c r="B846" s="32" t="s">
        <v>2322</v>
      </c>
      <c r="C846" s="258" t="s">
        <v>2342</v>
      </c>
      <c r="D846" s="259"/>
      <c r="E846" s="93" t="s">
        <v>2343</v>
      </c>
      <c r="F846" s="24" t="s">
        <v>43</v>
      </c>
      <c r="G846" s="94" t="s">
        <v>2344</v>
      </c>
      <c r="H846" s="4" t="s">
        <v>159</v>
      </c>
      <c r="I846" s="25" t="s">
        <v>441</v>
      </c>
      <c r="J846" s="110" t="s">
        <v>338</v>
      </c>
      <c r="K846" s="3" t="str">
        <f t="shared" ca="1" si="195"/>
        <v xml:space="preserve">2 Tahun 11 bulan </v>
      </c>
      <c r="L846" s="56" t="s">
        <v>1749</v>
      </c>
      <c r="M846" s="110" t="s">
        <v>338</v>
      </c>
      <c r="N846" s="3" t="str">
        <f t="shared" ca="1" si="192"/>
        <v xml:space="preserve">2 Tahun 11 bulan </v>
      </c>
      <c r="O846" s="56"/>
      <c r="P846" s="4"/>
      <c r="Q846" s="4" t="str">
        <f t="shared" si="197"/>
        <v>Laki-Laki</v>
      </c>
      <c r="R846" s="4">
        <f t="shared" si="200"/>
        <v>1</v>
      </c>
      <c r="S846" s="4" t="str">
        <f t="shared" si="193"/>
        <v>1</v>
      </c>
      <c r="T846" s="4">
        <f t="shared" si="188"/>
        <v>0</v>
      </c>
      <c r="U846" s="29"/>
      <c r="V846" s="30"/>
      <c r="W846" s="30"/>
      <c r="X846" s="30"/>
      <c r="Y846" s="30"/>
      <c r="Z846" s="30"/>
      <c r="AA846" s="30"/>
      <c r="AB846" s="29"/>
      <c r="AC846" s="29"/>
      <c r="AD846" s="37">
        <f t="shared" si="198"/>
        <v>27039</v>
      </c>
      <c r="AE846" s="3" t="str">
        <f t="shared" ca="1" si="196"/>
        <v>52 Tahun 7 bulan 22 Hari</v>
      </c>
      <c r="AF846" s="38">
        <f t="shared" si="199"/>
        <v>48976</v>
      </c>
    </row>
    <row r="847" spans="1:32" s="7" customFormat="1" ht="35.25" customHeight="1" x14ac:dyDescent="0.35">
      <c r="A847" s="26">
        <f t="shared" si="194"/>
        <v>787</v>
      </c>
      <c r="B847" s="32" t="s">
        <v>2322</v>
      </c>
      <c r="C847" s="258" t="s">
        <v>2345</v>
      </c>
      <c r="D847" s="259"/>
      <c r="E847" s="97" t="s">
        <v>2346</v>
      </c>
      <c r="F847" s="24" t="s">
        <v>43</v>
      </c>
      <c r="G847" s="86"/>
      <c r="H847" s="98"/>
      <c r="I847" s="25"/>
      <c r="J847" s="112" t="s">
        <v>898</v>
      </c>
      <c r="K847" s="3" t="str">
        <f t="shared" ca="1" si="195"/>
        <v xml:space="preserve">0 Tahun 8 bulan </v>
      </c>
      <c r="L847" s="56" t="s">
        <v>1749</v>
      </c>
      <c r="M847" s="125"/>
      <c r="N847" s="3" t="str">
        <f t="shared" ca="1" si="192"/>
        <v/>
      </c>
      <c r="O847" s="56"/>
      <c r="P847" s="4"/>
      <c r="Q847" s="4" t="str">
        <f t="shared" si="197"/>
        <v/>
      </c>
      <c r="R847" s="4">
        <f t="shared" si="200"/>
        <v>1</v>
      </c>
      <c r="S847" s="4" t="str">
        <f t="shared" si="193"/>
        <v>1</v>
      </c>
      <c r="T847" s="4">
        <f t="shared" si="188"/>
        <v>0</v>
      </c>
      <c r="U847" s="29"/>
      <c r="V847" s="30" t="s">
        <v>50</v>
      </c>
      <c r="W847" s="30"/>
      <c r="X847" s="30"/>
      <c r="Y847" s="30"/>
      <c r="Z847" s="30"/>
      <c r="AA847" s="30"/>
      <c r="AB847" s="29"/>
      <c r="AC847" s="29"/>
      <c r="AD847" s="37" t="str">
        <f t="shared" si="198"/>
        <v/>
      </c>
      <c r="AE847" s="3" t="str">
        <f t="shared" ca="1" si="196"/>
        <v/>
      </c>
      <c r="AF847" s="38" t="str">
        <f t="shared" si="199"/>
        <v/>
      </c>
    </row>
    <row r="848" spans="1:32" s="7" customFormat="1" ht="32.15" customHeight="1" x14ac:dyDescent="0.35">
      <c r="A848" s="26">
        <f t="shared" si="194"/>
        <v>788</v>
      </c>
      <c r="B848" s="32" t="s">
        <v>2322</v>
      </c>
      <c r="C848" s="258" t="s">
        <v>2347</v>
      </c>
      <c r="D848" s="259"/>
      <c r="E848" s="24" t="s">
        <v>108</v>
      </c>
      <c r="F848" s="24"/>
      <c r="G848" s="86"/>
      <c r="H848" s="98"/>
      <c r="I848" s="25"/>
      <c r="J848" s="125"/>
      <c r="K848" s="3" t="str">
        <f t="shared" ca="1" si="195"/>
        <v/>
      </c>
      <c r="L848" s="56" t="s">
        <v>1749</v>
      </c>
      <c r="M848" s="125"/>
      <c r="N848" s="3" t="str">
        <f t="shared" ca="1" si="192"/>
        <v/>
      </c>
      <c r="O848" s="56"/>
      <c r="P848" s="4"/>
      <c r="Q848" s="4" t="str">
        <f t="shared" si="197"/>
        <v/>
      </c>
      <c r="R848" s="4">
        <f t="shared" si="200"/>
        <v>1</v>
      </c>
      <c r="S848" s="4" t="str">
        <f t="shared" si="193"/>
        <v>0</v>
      </c>
      <c r="T848" s="4">
        <f t="shared" si="188"/>
        <v>1</v>
      </c>
      <c r="U848" s="29"/>
      <c r="V848" s="30"/>
      <c r="W848" s="30"/>
      <c r="X848" s="30"/>
      <c r="Y848" s="30"/>
      <c r="Z848" s="30"/>
      <c r="AA848" s="30"/>
      <c r="AB848" s="29"/>
      <c r="AC848" s="29"/>
      <c r="AD848" s="37" t="str">
        <f t="shared" si="198"/>
        <v/>
      </c>
      <c r="AE848" s="3" t="str">
        <f t="shared" ca="1" si="196"/>
        <v/>
      </c>
      <c r="AF848" s="38" t="str">
        <f t="shared" si="199"/>
        <v/>
      </c>
    </row>
    <row r="849" spans="1:32" s="7" customFormat="1" ht="32.15" customHeight="1" x14ac:dyDescent="0.35">
      <c r="A849" s="26">
        <f t="shared" si="194"/>
        <v>789</v>
      </c>
      <c r="B849" s="32" t="s">
        <v>2322</v>
      </c>
      <c r="C849" s="258" t="s">
        <v>2348</v>
      </c>
      <c r="D849" s="259"/>
      <c r="E849" s="24" t="s">
        <v>108</v>
      </c>
      <c r="F849" s="24"/>
      <c r="G849" s="86"/>
      <c r="H849" s="126"/>
      <c r="I849" s="36"/>
      <c r="J849" s="124"/>
      <c r="K849" s="3" t="str">
        <f t="shared" ca="1" si="195"/>
        <v/>
      </c>
      <c r="L849" s="56" t="s">
        <v>1749</v>
      </c>
      <c r="M849" s="124"/>
      <c r="N849" s="3" t="str">
        <f t="shared" ca="1" si="192"/>
        <v/>
      </c>
      <c r="O849" s="56"/>
      <c r="P849" s="4"/>
      <c r="Q849" s="4" t="str">
        <f t="shared" si="197"/>
        <v/>
      </c>
      <c r="R849" s="4">
        <f t="shared" si="200"/>
        <v>1</v>
      </c>
      <c r="S849" s="4" t="str">
        <f t="shared" si="193"/>
        <v>0</v>
      </c>
      <c r="T849" s="4">
        <f t="shared" ref="T849:T916" si="201">R849-S849</f>
        <v>1</v>
      </c>
      <c r="U849" s="29"/>
      <c r="V849" s="30"/>
      <c r="W849" s="30"/>
      <c r="X849" s="30"/>
      <c r="Y849" s="30"/>
      <c r="Z849" s="30"/>
      <c r="AA849" s="30"/>
      <c r="AB849" s="29"/>
      <c r="AC849" s="29"/>
      <c r="AD849" s="37" t="str">
        <f t="shared" si="198"/>
        <v/>
      </c>
      <c r="AE849" s="3" t="str">
        <f t="shared" ca="1" si="196"/>
        <v/>
      </c>
      <c r="AF849" s="38" t="str">
        <f t="shared" si="199"/>
        <v/>
      </c>
    </row>
    <row r="850" spans="1:32" s="7" customFormat="1" ht="32.15" customHeight="1" x14ac:dyDescent="0.35">
      <c r="A850" s="26">
        <f t="shared" si="194"/>
        <v>790</v>
      </c>
      <c r="B850" s="32" t="s">
        <v>2322</v>
      </c>
      <c r="C850" s="258" t="s">
        <v>2349</v>
      </c>
      <c r="D850" s="259"/>
      <c r="E850" s="97" t="s">
        <v>2350</v>
      </c>
      <c r="F850" s="24" t="s">
        <v>43</v>
      </c>
      <c r="G850" s="86" t="s">
        <v>2351</v>
      </c>
      <c r="H850" s="98" t="s">
        <v>1715</v>
      </c>
      <c r="I850" s="25" t="s">
        <v>441</v>
      </c>
      <c r="J850" s="110" t="s">
        <v>338</v>
      </c>
      <c r="K850" s="3" t="str">
        <f t="shared" ca="1" si="195"/>
        <v xml:space="preserve">2 Tahun 11 bulan </v>
      </c>
      <c r="L850" s="56" t="s">
        <v>1749</v>
      </c>
      <c r="M850" s="110" t="s">
        <v>338</v>
      </c>
      <c r="N850" s="3" t="str">
        <f t="shared" ca="1" si="192"/>
        <v xml:space="preserve">2 Tahun 11 bulan </v>
      </c>
      <c r="O850" s="56"/>
      <c r="P850" s="4"/>
      <c r="Q850" s="4" t="str">
        <f t="shared" si="197"/>
        <v>Laki-Laki</v>
      </c>
      <c r="R850" s="4">
        <f t="shared" si="200"/>
        <v>1</v>
      </c>
      <c r="S850" s="4" t="str">
        <f t="shared" si="193"/>
        <v>1</v>
      </c>
      <c r="T850" s="4">
        <f t="shared" si="201"/>
        <v>0</v>
      </c>
      <c r="U850" s="29"/>
      <c r="V850" s="30"/>
      <c r="W850" s="30"/>
      <c r="X850" s="30"/>
      <c r="Y850" s="30"/>
      <c r="Z850" s="30"/>
      <c r="AA850" s="30"/>
      <c r="AB850" s="29"/>
      <c r="AC850" s="29"/>
      <c r="AD850" s="37">
        <f t="shared" si="198"/>
        <v>28241</v>
      </c>
      <c r="AE850" s="3" t="str">
        <f t="shared" ca="1" si="196"/>
        <v>49 Tahun 4 bulan 6 Hari</v>
      </c>
      <c r="AF850" s="38">
        <f t="shared" si="199"/>
        <v>50161</v>
      </c>
    </row>
    <row r="851" spans="1:32" s="7" customFormat="1" ht="32.15" customHeight="1" x14ac:dyDescent="0.35">
      <c r="A851" s="26">
        <f t="shared" si="194"/>
        <v>791</v>
      </c>
      <c r="B851" s="32" t="s">
        <v>2322</v>
      </c>
      <c r="C851" s="258" t="s">
        <v>2352</v>
      </c>
      <c r="D851" s="259"/>
      <c r="E851" s="24" t="s">
        <v>108</v>
      </c>
      <c r="F851" s="24"/>
      <c r="G851" s="86"/>
      <c r="H851" s="98"/>
      <c r="I851" s="25"/>
      <c r="J851" s="124"/>
      <c r="K851" s="3" t="str">
        <f t="shared" ca="1" si="195"/>
        <v/>
      </c>
      <c r="L851" s="56" t="s">
        <v>1749</v>
      </c>
      <c r="M851" s="124"/>
      <c r="N851" s="3" t="str">
        <f t="shared" ca="1" si="192"/>
        <v/>
      </c>
      <c r="O851" s="56"/>
      <c r="P851" s="4"/>
      <c r="Q851" s="4" t="str">
        <f t="shared" si="197"/>
        <v/>
      </c>
      <c r="R851" s="4">
        <f t="shared" si="200"/>
        <v>1</v>
      </c>
      <c r="S851" s="4" t="str">
        <f t="shared" si="193"/>
        <v>0</v>
      </c>
      <c r="T851" s="4">
        <f t="shared" si="201"/>
        <v>1</v>
      </c>
      <c r="U851" s="29"/>
      <c r="V851" s="30"/>
      <c r="W851" s="30"/>
      <c r="X851" s="30"/>
      <c r="Y851" s="30"/>
      <c r="Z851" s="30"/>
      <c r="AA851" s="30"/>
      <c r="AB851" s="29"/>
      <c r="AC851" s="29"/>
      <c r="AD851" s="37" t="str">
        <f t="shared" si="198"/>
        <v/>
      </c>
      <c r="AE851" s="3" t="str">
        <f t="shared" ca="1" si="196"/>
        <v/>
      </c>
      <c r="AF851" s="38" t="str">
        <f t="shared" si="199"/>
        <v/>
      </c>
    </row>
    <row r="852" spans="1:32" s="7" customFormat="1" ht="32.15" customHeight="1" x14ac:dyDescent="0.35">
      <c r="A852" s="26">
        <f t="shared" si="194"/>
        <v>792</v>
      </c>
      <c r="B852" s="32" t="s">
        <v>2322</v>
      </c>
      <c r="C852" s="258" t="s">
        <v>2353</v>
      </c>
      <c r="D852" s="259"/>
      <c r="E852" s="24" t="s">
        <v>108</v>
      </c>
      <c r="F852" s="24"/>
      <c r="G852" s="86"/>
      <c r="H852" s="98"/>
      <c r="I852" s="25"/>
      <c r="J852" s="124"/>
      <c r="K852" s="3" t="str">
        <f t="shared" ca="1" si="195"/>
        <v/>
      </c>
      <c r="L852" s="56" t="s">
        <v>1749</v>
      </c>
      <c r="M852" s="124"/>
      <c r="N852" s="3" t="str">
        <f t="shared" ca="1" si="192"/>
        <v/>
      </c>
      <c r="O852" s="56"/>
      <c r="P852" s="4"/>
      <c r="Q852" s="4" t="str">
        <f t="shared" si="197"/>
        <v/>
      </c>
      <c r="R852" s="4">
        <f t="shared" si="200"/>
        <v>1</v>
      </c>
      <c r="S852" s="4" t="str">
        <f t="shared" si="193"/>
        <v>0</v>
      </c>
      <c r="T852" s="4">
        <f t="shared" si="201"/>
        <v>1</v>
      </c>
      <c r="U852" s="29"/>
      <c r="V852" s="30"/>
      <c r="W852" s="30"/>
      <c r="X852" s="30"/>
      <c r="Y852" s="30"/>
      <c r="Z852" s="30"/>
      <c r="AA852" s="30"/>
      <c r="AB852" s="29"/>
      <c r="AC852" s="29"/>
      <c r="AD852" s="37" t="str">
        <f t="shared" si="198"/>
        <v/>
      </c>
      <c r="AE852" s="3" t="str">
        <f t="shared" ca="1" si="196"/>
        <v/>
      </c>
      <c r="AF852" s="38" t="str">
        <f t="shared" si="199"/>
        <v/>
      </c>
    </row>
    <row r="853" spans="1:32" s="7" customFormat="1" ht="33.75" customHeight="1" x14ac:dyDescent="0.35">
      <c r="A853" s="26">
        <f t="shared" si="194"/>
        <v>793</v>
      </c>
      <c r="B853" s="32" t="s">
        <v>2322</v>
      </c>
      <c r="C853" s="258" t="s">
        <v>2354</v>
      </c>
      <c r="D853" s="259"/>
      <c r="E853" s="24" t="s">
        <v>3005</v>
      </c>
      <c r="F853" s="24" t="s">
        <v>43</v>
      </c>
      <c r="G853" s="86" t="s">
        <v>1233</v>
      </c>
      <c r="H853" s="126" t="s">
        <v>458</v>
      </c>
      <c r="I853" s="25" t="s">
        <v>441</v>
      </c>
      <c r="J853" s="209">
        <v>46198</v>
      </c>
      <c r="K853" s="3" t="str">
        <f t="shared" ca="1" si="195"/>
        <v xml:space="preserve">0 Tahun 2 bulan </v>
      </c>
      <c r="L853" s="56" t="s">
        <v>1749</v>
      </c>
      <c r="M853" s="124"/>
      <c r="N853" s="3" t="str">
        <f t="shared" ca="1" si="192"/>
        <v/>
      </c>
      <c r="O853" s="56"/>
      <c r="P853" s="4"/>
      <c r="Q853" s="4" t="str">
        <f t="shared" si="197"/>
        <v>Laki-Laki</v>
      </c>
      <c r="R853" s="4">
        <f t="shared" si="200"/>
        <v>1</v>
      </c>
      <c r="S853" s="4" t="str">
        <f t="shared" si="193"/>
        <v>1</v>
      </c>
      <c r="T853" s="4">
        <f t="shared" si="201"/>
        <v>0</v>
      </c>
      <c r="U853" s="29"/>
      <c r="V853" s="30"/>
      <c r="W853" s="30"/>
      <c r="X853" s="30"/>
      <c r="Y853" s="30"/>
      <c r="Z853" s="30"/>
      <c r="AA853" s="30"/>
      <c r="AB853" s="29"/>
      <c r="AC853" s="29"/>
      <c r="AD853" s="37">
        <f t="shared" si="198"/>
        <v>29863</v>
      </c>
      <c r="AE853" s="3" t="str">
        <f t="shared" ca="1" si="196"/>
        <v>44 Tahun 10 bulan 28 Hari</v>
      </c>
      <c r="AF853" s="38">
        <f t="shared" si="199"/>
        <v>51806</v>
      </c>
    </row>
    <row r="854" spans="1:32" s="7" customFormat="1" ht="32.15" customHeight="1" x14ac:dyDescent="0.35">
      <c r="A854" s="26"/>
      <c r="B854" s="32" t="s">
        <v>2355</v>
      </c>
      <c r="C854" s="280" t="s">
        <v>2356</v>
      </c>
      <c r="D854" s="281"/>
      <c r="E854" s="24"/>
      <c r="F854" s="24"/>
      <c r="G854" s="4"/>
      <c r="H854" s="4"/>
      <c r="I854" s="33"/>
      <c r="J854" s="5"/>
      <c r="K854" s="3" t="str">
        <f t="shared" ca="1" si="195"/>
        <v/>
      </c>
      <c r="L854" s="30"/>
      <c r="M854" s="5"/>
      <c r="N854" s="3" t="str">
        <f t="shared" ca="1" si="192"/>
        <v/>
      </c>
      <c r="O854" s="4"/>
      <c r="P854" s="4"/>
      <c r="Q854" s="4"/>
      <c r="R854" s="4"/>
      <c r="S854" s="4"/>
      <c r="T854" s="4"/>
      <c r="U854" s="29"/>
      <c r="V854" s="30"/>
      <c r="W854" s="30"/>
      <c r="X854" s="30"/>
      <c r="Y854" s="30"/>
      <c r="Z854" s="29"/>
      <c r="AA854" s="29"/>
      <c r="AB854" s="29"/>
      <c r="AC854" s="29"/>
      <c r="AD854" s="37" t="str">
        <f t="shared" si="198"/>
        <v/>
      </c>
      <c r="AE854" s="3" t="str">
        <f t="shared" ca="1" si="196"/>
        <v/>
      </c>
      <c r="AF854" s="38" t="str">
        <f t="shared" si="199"/>
        <v/>
      </c>
    </row>
    <row r="855" spans="1:32" s="7" customFormat="1" ht="32.15" customHeight="1" x14ac:dyDescent="0.35">
      <c r="A855" s="26">
        <f>A853+1</f>
        <v>794</v>
      </c>
      <c r="B855" s="32" t="s">
        <v>2355</v>
      </c>
      <c r="C855" s="286" t="s">
        <v>2357</v>
      </c>
      <c r="D855" s="287"/>
      <c r="E855" s="128" t="s">
        <v>2358</v>
      </c>
      <c r="F855" s="24" t="s">
        <v>43</v>
      </c>
      <c r="G855" s="3" t="s">
        <v>2359</v>
      </c>
      <c r="H855" s="4" t="s">
        <v>2360</v>
      </c>
      <c r="I855" s="25" t="s">
        <v>86</v>
      </c>
      <c r="J855" s="72" t="s">
        <v>751</v>
      </c>
      <c r="K855" s="3" t="str">
        <f t="shared" ca="1" si="195"/>
        <v xml:space="preserve">5 Tahun 0 bulan </v>
      </c>
      <c r="L855" s="39" t="s">
        <v>200</v>
      </c>
      <c r="M855" s="72" t="s">
        <v>751</v>
      </c>
      <c r="N855" s="3" t="str">
        <f t="shared" ca="1" si="192"/>
        <v xml:space="preserve">5 Tahun 0 bulan </v>
      </c>
      <c r="O855" s="56"/>
      <c r="P855" s="4" t="s">
        <v>35</v>
      </c>
      <c r="Q855" s="4" t="str">
        <f t="shared" si="197"/>
        <v>Laki-Laki</v>
      </c>
      <c r="R855" s="4">
        <f>R853</f>
        <v>1</v>
      </c>
      <c r="S855" s="4" t="str">
        <f t="shared" ref="S855:S886" si="202">IF(E855="LOWONG","0","1")</f>
        <v>1</v>
      </c>
      <c r="T855" s="4">
        <f t="shared" si="201"/>
        <v>0</v>
      </c>
      <c r="U855" s="29"/>
      <c r="V855" s="30" t="s">
        <v>50</v>
      </c>
      <c r="W855" s="30"/>
      <c r="X855" s="30"/>
      <c r="Y855" s="30"/>
      <c r="Z855" s="30"/>
      <c r="AA855" s="30"/>
      <c r="AB855" s="29"/>
      <c r="AC855" s="29"/>
      <c r="AD855" s="37">
        <f t="shared" si="198"/>
        <v>28782</v>
      </c>
      <c r="AE855" s="3" t="str">
        <f t="shared" ca="1" si="196"/>
        <v>47 Tahun 10 bulan 13 Hari</v>
      </c>
      <c r="AF855" s="38">
        <f t="shared" si="199"/>
        <v>50710</v>
      </c>
    </row>
    <row r="856" spans="1:32" s="7" customFormat="1" ht="36" customHeight="1" x14ac:dyDescent="0.35">
      <c r="A856" s="26">
        <f t="shared" si="194"/>
        <v>795</v>
      </c>
      <c r="B856" s="32" t="s">
        <v>2355</v>
      </c>
      <c r="C856" s="26"/>
      <c r="D856" s="129" t="s">
        <v>2361</v>
      </c>
      <c r="E856" s="24" t="s">
        <v>108</v>
      </c>
      <c r="F856" s="24"/>
      <c r="G856" s="130"/>
      <c r="H856" s="114"/>
      <c r="I856" s="25"/>
      <c r="J856" s="124"/>
      <c r="K856" s="3" t="str">
        <f t="shared" ca="1" si="195"/>
        <v/>
      </c>
      <c r="L856" s="25" t="s">
        <v>1749</v>
      </c>
      <c r="M856" s="124"/>
      <c r="N856" s="3" t="str">
        <f t="shared" ca="1" si="192"/>
        <v/>
      </c>
      <c r="O856" s="56"/>
      <c r="P856" s="4"/>
      <c r="Q856" s="4" t="str">
        <f t="shared" si="197"/>
        <v/>
      </c>
      <c r="R856" s="4">
        <f t="shared" si="200"/>
        <v>1</v>
      </c>
      <c r="S856" s="4" t="str">
        <f t="shared" si="202"/>
        <v>0</v>
      </c>
      <c r="T856" s="4">
        <f t="shared" si="201"/>
        <v>1</v>
      </c>
      <c r="U856" s="29"/>
      <c r="V856" s="30"/>
      <c r="W856" s="30"/>
      <c r="X856" s="30"/>
      <c r="Y856" s="30"/>
      <c r="Z856" s="30"/>
      <c r="AA856" s="30"/>
      <c r="AB856" s="29"/>
      <c r="AC856" s="29"/>
      <c r="AD856" s="37" t="str">
        <f t="shared" si="198"/>
        <v/>
      </c>
      <c r="AE856" s="3" t="str">
        <f t="shared" ca="1" si="196"/>
        <v/>
      </c>
      <c r="AF856" s="38" t="str">
        <f t="shared" si="199"/>
        <v/>
      </c>
    </row>
    <row r="857" spans="1:32" s="7" customFormat="1" ht="32.15" customHeight="1" x14ac:dyDescent="0.35">
      <c r="A857" s="26">
        <f t="shared" si="194"/>
        <v>796</v>
      </c>
      <c r="B857" s="32" t="s">
        <v>2355</v>
      </c>
      <c r="C857" s="286" t="s">
        <v>2362</v>
      </c>
      <c r="D857" s="287"/>
      <c r="E857" s="93" t="s">
        <v>2363</v>
      </c>
      <c r="F857" s="24" t="s">
        <v>43</v>
      </c>
      <c r="G857" s="114" t="s">
        <v>2364</v>
      </c>
      <c r="H857" s="4" t="s">
        <v>788</v>
      </c>
      <c r="I857" s="4" t="s">
        <v>184</v>
      </c>
      <c r="J857" s="72" t="s">
        <v>98</v>
      </c>
      <c r="K857" s="3" t="str">
        <f t="shared" ca="1" si="195"/>
        <v xml:space="preserve">3 Tahun 0 bulan </v>
      </c>
      <c r="L857" s="39" t="s">
        <v>200</v>
      </c>
      <c r="M857" s="72" t="s">
        <v>98</v>
      </c>
      <c r="N857" s="3" t="str">
        <f t="shared" ca="1" si="192"/>
        <v xml:space="preserve">3 Tahun 0 bulan </v>
      </c>
      <c r="O857" s="4"/>
      <c r="P857" s="4" t="s">
        <v>35</v>
      </c>
      <c r="Q857" s="4" t="str">
        <f t="shared" si="197"/>
        <v>Laki-Laki</v>
      </c>
      <c r="R857" s="4">
        <f t="shared" si="200"/>
        <v>1</v>
      </c>
      <c r="S857" s="4" t="str">
        <f t="shared" si="202"/>
        <v>1</v>
      </c>
      <c r="T857" s="4">
        <f t="shared" si="201"/>
        <v>0</v>
      </c>
      <c r="U857" s="29"/>
      <c r="V857" s="30" t="s">
        <v>50</v>
      </c>
      <c r="W857" s="30"/>
      <c r="X857" s="30"/>
      <c r="Y857" s="30"/>
      <c r="Z857" s="30"/>
      <c r="AA857" s="30"/>
      <c r="AB857" s="29"/>
      <c r="AC857" s="29"/>
      <c r="AD857" s="37">
        <f t="shared" si="198"/>
        <v>30224</v>
      </c>
      <c r="AE857" s="3" t="str">
        <f t="shared" ca="1" si="196"/>
        <v>43 Tahun 11 bulan 2 Hari</v>
      </c>
      <c r="AF857" s="38">
        <f t="shared" si="199"/>
        <v>52140</v>
      </c>
    </row>
    <row r="858" spans="1:32" s="7" customFormat="1" ht="38.25" customHeight="1" x14ac:dyDescent="0.35">
      <c r="A858" s="26">
        <f t="shared" si="194"/>
        <v>797</v>
      </c>
      <c r="B858" s="32" t="s">
        <v>2355</v>
      </c>
      <c r="C858" s="26"/>
      <c r="D858" s="129" t="s">
        <v>2365</v>
      </c>
      <c r="E858" s="24" t="s">
        <v>530</v>
      </c>
      <c r="F858" s="24" t="s">
        <v>43</v>
      </c>
      <c r="G858" s="130" t="s">
        <v>531</v>
      </c>
      <c r="H858" s="114" t="s">
        <v>379</v>
      </c>
      <c r="I858" s="25" t="s">
        <v>446</v>
      </c>
      <c r="J858" s="131" t="s">
        <v>898</v>
      </c>
      <c r="K858" s="3" t="str">
        <f t="shared" ca="1" si="195"/>
        <v xml:space="preserve">0 Tahun 8 bulan </v>
      </c>
      <c r="L858" s="25" t="s">
        <v>1749</v>
      </c>
      <c r="M858" s="124"/>
      <c r="N858" s="3" t="str">
        <f t="shared" ca="1" si="192"/>
        <v/>
      </c>
      <c r="O858" s="56"/>
      <c r="P858" s="4"/>
      <c r="Q858" s="4" t="str">
        <f t="shared" si="197"/>
        <v>Laki-Laki</v>
      </c>
      <c r="R858" s="4">
        <f t="shared" si="200"/>
        <v>1</v>
      </c>
      <c r="S858" s="4" t="str">
        <f t="shared" si="202"/>
        <v>1</v>
      </c>
      <c r="T858" s="4">
        <f t="shared" si="201"/>
        <v>0</v>
      </c>
      <c r="U858" s="29"/>
      <c r="V858" s="30"/>
      <c r="W858" s="30"/>
      <c r="X858" s="30"/>
      <c r="Y858" s="30"/>
      <c r="Z858" s="30"/>
      <c r="AA858" s="30"/>
      <c r="AB858" s="29"/>
      <c r="AC858" s="29"/>
      <c r="AD858" s="37">
        <f t="shared" si="198"/>
        <v>28646</v>
      </c>
      <c r="AE858" s="3" t="str">
        <f t="shared" ca="1" si="196"/>
        <v>48 Tahun 2 bulan 27 Hari</v>
      </c>
      <c r="AF858" s="38">
        <f t="shared" si="199"/>
        <v>50587</v>
      </c>
    </row>
    <row r="859" spans="1:32" s="7" customFormat="1" ht="32.15" customHeight="1" x14ac:dyDescent="0.35">
      <c r="A859" s="26">
        <f t="shared" si="194"/>
        <v>798</v>
      </c>
      <c r="B859" s="32" t="s">
        <v>2355</v>
      </c>
      <c r="C859" s="286" t="s">
        <v>2366</v>
      </c>
      <c r="D859" s="287"/>
      <c r="E859" s="93" t="s">
        <v>2367</v>
      </c>
      <c r="F859" s="24" t="s">
        <v>43</v>
      </c>
      <c r="G859" s="114" t="s">
        <v>2368</v>
      </c>
      <c r="H859" s="4" t="s">
        <v>2360</v>
      </c>
      <c r="I859" s="25" t="s">
        <v>441</v>
      </c>
      <c r="J859" s="72" t="s">
        <v>501</v>
      </c>
      <c r="K859" s="3" t="str">
        <f t="shared" ca="1" si="195"/>
        <v xml:space="preserve">5 Tahun 2 bulan </v>
      </c>
      <c r="L859" s="39" t="s">
        <v>200</v>
      </c>
      <c r="M859" s="72" t="s">
        <v>501</v>
      </c>
      <c r="N859" s="3" t="str">
        <f t="shared" ca="1" si="192"/>
        <v xml:space="preserve">5 Tahun 2 bulan </v>
      </c>
      <c r="O859" s="56"/>
      <c r="P859" s="4" t="s">
        <v>35</v>
      </c>
      <c r="Q859" s="4" t="str">
        <f t="shared" si="197"/>
        <v/>
      </c>
      <c r="R859" s="4">
        <f t="shared" si="200"/>
        <v>1</v>
      </c>
      <c r="S859" s="4" t="str">
        <f t="shared" si="202"/>
        <v>1</v>
      </c>
      <c r="T859" s="4">
        <f t="shared" si="201"/>
        <v>0</v>
      </c>
      <c r="U859" s="29"/>
      <c r="V859" s="30"/>
      <c r="W859" s="30"/>
      <c r="X859" s="30"/>
      <c r="Y859" s="30"/>
      <c r="Z859" s="30"/>
      <c r="AA859" s="30"/>
      <c r="AB859" s="29"/>
      <c r="AC859" s="29"/>
      <c r="AD859" s="37">
        <f t="shared" si="198"/>
        <v>27179</v>
      </c>
      <c r="AE859" s="3" t="str">
        <f t="shared" ca="1" si="196"/>
        <v>52 Tahun 3 bulan 2 Hari</v>
      </c>
      <c r="AF859" s="38">
        <f t="shared" si="199"/>
        <v>49096</v>
      </c>
    </row>
    <row r="860" spans="1:32" s="7" customFormat="1" ht="20" x14ac:dyDescent="0.35">
      <c r="A860" s="26">
        <f t="shared" si="194"/>
        <v>799</v>
      </c>
      <c r="B860" s="32" t="s">
        <v>2355</v>
      </c>
      <c r="C860" s="26"/>
      <c r="D860" s="129" t="s">
        <v>2369</v>
      </c>
      <c r="E860" s="24" t="s">
        <v>108</v>
      </c>
      <c r="F860" s="24"/>
      <c r="G860" s="130"/>
      <c r="H860" s="114"/>
      <c r="I860" s="25"/>
      <c r="J860" s="124"/>
      <c r="K860" s="3" t="str">
        <f t="shared" ca="1" si="195"/>
        <v/>
      </c>
      <c r="L860" s="25" t="s">
        <v>1749</v>
      </c>
      <c r="M860" s="124"/>
      <c r="N860" s="3" t="str">
        <f t="shared" ca="1" si="192"/>
        <v/>
      </c>
      <c r="O860" s="56"/>
      <c r="P860" s="4"/>
      <c r="Q860" s="4" t="str">
        <f t="shared" si="197"/>
        <v/>
      </c>
      <c r="R860" s="4">
        <f t="shared" si="200"/>
        <v>1</v>
      </c>
      <c r="S860" s="4" t="str">
        <f t="shared" si="202"/>
        <v>0</v>
      </c>
      <c r="T860" s="4">
        <f t="shared" si="201"/>
        <v>1</v>
      </c>
      <c r="U860" s="29"/>
      <c r="V860" s="30"/>
      <c r="W860" s="30"/>
      <c r="X860" s="30"/>
      <c r="Y860" s="30"/>
      <c r="Z860" s="30"/>
      <c r="AA860" s="30"/>
      <c r="AB860" s="29"/>
      <c r="AC860" s="29"/>
      <c r="AD860" s="37" t="str">
        <f t="shared" si="198"/>
        <v/>
      </c>
      <c r="AE860" s="3" t="str">
        <f t="shared" ca="1" si="196"/>
        <v/>
      </c>
      <c r="AF860" s="38" t="str">
        <f t="shared" si="199"/>
        <v/>
      </c>
    </row>
    <row r="861" spans="1:32" s="7" customFormat="1" ht="32.15" customHeight="1" x14ac:dyDescent="0.35">
      <c r="A861" s="26">
        <f t="shared" si="194"/>
        <v>800</v>
      </c>
      <c r="B861" s="32" t="s">
        <v>2355</v>
      </c>
      <c r="C861" s="286" t="s">
        <v>2370</v>
      </c>
      <c r="D861" s="287"/>
      <c r="E861" s="93" t="s">
        <v>2371</v>
      </c>
      <c r="F861" s="24" t="s">
        <v>43</v>
      </c>
      <c r="G861" s="94" t="s">
        <v>2372</v>
      </c>
      <c r="H861" s="36" t="s">
        <v>554</v>
      </c>
      <c r="I861" s="25" t="s">
        <v>86</v>
      </c>
      <c r="J861" s="72" t="s">
        <v>338</v>
      </c>
      <c r="K861" s="3" t="str">
        <f t="shared" ca="1" si="195"/>
        <v xml:space="preserve">2 Tahun 11 bulan </v>
      </c>
      <c r="L861" s="39" t="s">
        <v>200</v>
      </c>
      <c r="M861" s="72" t="s">
        <v>338</v>
      </c>
      <c r="N861" s="3" t="str">
        <f t="shared" ca="1" si="192"/>
        <v xml:space="preserve">2 Tahun 11 bulan </v>
      </c>
      <c r="O861" s="56"/>
      <c r="P861" s="4" t="s">
        <v>35</v>
      </c>
      <c r="Q861" s="4" t="str">
        <f t="shared" si="197"/>
        <v>Laki-Laki</v>
      </c>
      <c r="R861" s="4">
        <f t="shared" si="200"/>
        <v>1</v>
      </c>
      <c r="S861" s="4" t="str">
        <f t="shared" si="202"/>
        <v>1</v>
      </c>
      <c r="T861" s="4">
        <f t="shared" si="201"/>
        <v>0</v>
      </c>
      <c r="U861" s="29"/>
      <c r="V861" s="30" t="s">
        <v>50</v>
      </c>
      <c r="W861" s="30"/>
      <c r="X861" s="30"/>
      <c r="Y861" s="30"/>
      <c r="Z861" s="30"/>
      <c r="AA861" s="30"/>
      <c r="AB861" s="29"/>
      <c r="AC861" s="29"/>
      <c r="AD861" s="37">
        <f t="shared" si="198"/>
        <v>26841</v>
      </c>
      <c r="AE861" s="3" t="str">
        <f t="shared" ca="1" si="196"/>
        <v>53 Tahun 2 bulan 6 Hari</v>
      </c>
      <c r="AF861" s="38">
        <f t="shared" si="199"/>
        <v>48761</v>
      </c>
    </row>
    <row r="862" spans="1:32" s="7" customFormat="1" ht="37.5" customHeight="1" x14ac:dyDescent="0.35">
      <c r="A862" s="26">
        <f t="shared" si="194"/>
        <v>801</v>
      </c>
      <c r="B862" s="32" t="s">
        <v>2355</v>
      </c>
      <c r="C862" s="26"/>
      <c r="D862" s="129" t="s">
        <v>2373</v>
      </c>
      <c r="E862" s="24" t="s">
        <v>108</v>
      </c>
      <c r="F862" s="24"/>
      <c r="G862" s="70"/>
      <c r="H862" s="56"/>
      <c r="I862" s="25"/>
      <c r="J862" s="131"/>
      <c r="K862" s="3" t="str">
        <f t="shared" ca="1" si="195"/>
        <v/>
      </c>
      <c r="L862" s="25" t="s">
        <v>1749</v>
      </c>
      <c r="M862" s="124"/>
      <c r="N862" s="3" t="str">
        <f t="shared" ca="1" si="192"/>
        <v/>
      </c>
      <c r="O862" s="56"/>
      <c r="P862" s="4"/>
      <c r="Q862" s="4" t="str">
        <f t="shared" si="197"/>
        <v/>
      </c>
      <c r="R862" s="4">
        <f t="shared" si="200"/>
        <v>1</v>
      </c>
      <c r="S862" s="4" t="str">
        <f t="shared" si="202"/>
        <v>0</v>
      </c>
      <c r="T862" s="4">
        <f t="shared" si="201"/>
        <v>1</v>
      </c>
      <c r="U862" s="29"/>
      <c r="V862" s="30"/>
      <c r="W862" s="30"/>
      <c r="X862" s="30"/>
      <c r="Y862" s="30"/>
      <c r="Z862" s="30"/>
      <c r="AA862" s="30"/>
      <c r="AB862" s="29"/>
      <c r="AC862" s="29"/>
      <c r="AD862" s="37" t="str">
        <f t="shared" si="198"/>
        <v/>
      </c>
      <c r="AE862" s="3" t="str">
        <f t="shared" ca="1" si="196"/>
        <v/>
      </c>
      <c r="AF862" s="38" t="str">
        <f t="shared" si="199"/>
        <v/>
      </c>
    </row>
    <row r="863" spans="1:32" s="7" customFormat="1" ht="32.15" customHeight="1" x14ac:dyDescent="0.35">
      <c r="A863" s="26">
        <f t="shared" si="194"/>
        <v>802</v>
      </c>
      <c r="B863" s="32" t="s">
        <v>2355</v>
      </c>
      <c r="C863" s="286" t="s">
        <v>2374</v>
      </c>
      <c r="D863" s="287"/>
      <c r="E863" s="93" t="s">
        <v>2375</v>
      </c>
      <c r="F863" s="24" t="s">
        <v>43</v>
      </c>
      <c r="G863" s="114" t="s">
        <v>2376</v>
      </c>
      <c r="H863" s="114" t="s">
        <v>598</v>
      </c>
      <c r="I863" s="25" t="s">
        <v>1814</v>
      </c>
      <c r="J863" s="72" t="s">
        <v>2377</v>
      </c>
      <c r="K863" s="3" t="str">
        <f t="shared" ca="1" si="195"/>
        <v xml:space="preserve">3 Tahun 7 bulan </v>
      </c>
      <c r="L863" s="39" t="s">
        <v>200</v>
      </c>
      <c r="M863" s="72" t="s">
        <v>2377</v>
      </c>
      <c r="N863" s="3" t="str">
        <f t="shared" ca="1" si="192"/>
        <v xml:space="preserve">3 Tahun 7 bulan </v>
      </c>
      <c r="O863" s="56"/>
      <c r="P863" s="4" t="s">
        <v>35</v>
      </c>
      <c r="Q863" s="4" t="str">
        <f t="shared" si="197"/>
        <v>Laki-Laki</v>
      </c>
      <c r="R863" s="4">
        <f t="shared" si="200"/>
        <v>1</v>
      </c>
      <c r="S863" s="4" t="str">
        <f t="shared" si="202"/>
        <v>1</v>
      </c>
      <c r="T863" s="4">
        <f t="shared" si="201"/>
        <v>0</v>
      </c>
      <c r="U863" s="29"/>
      <c r="V863" s="30" t="s">
        <v>50</v>
      </c>
      <c r="W863" s="30"/>
      <c r="X863" s="30"/>
      <c r="Y863" s="30"/>
      <c r="Z863" s="30"/>
      <c r="AA863" s="30"/>
      <c r="AB863" s="29"/>
      <c r="AC863" s="29"/>
      <c r="AD863" s="37">
        <f t="shared" si="198"/>
        <v>27321</v>
      </c>
      <c r="AE863" s="3" t="str">
        <f t="shared" ca="1" si="196"/>
        <v>51 Tahun 10 bulan 13 Hari</v>
      </c>
      <c r="AF863" s="38">
        <f t="shared" si="199"/>
        <v>49249</v>
      </c>
    </row>
    <row r="864" spans="1:32" s="7" customFormat="1" ht="35.25" customHeight="1" x14ac:dyDescent="0.35">
      <c r="A864" s="26">
        <f t="shared" si="194"/>
        <v>803</v>
      </c>
      <c r="B864" s="32" t="s">
        <v>2355</v>
      </c>
      <c r="C864" s="26"/>
      <c r="D864" s="129" t="s">
        <v>2378</v>
      </c>
      <c r="E864" s="24" t="s">
        <v>108</v>
      </c>
      <c r="F864" s="24"/>
      <c r="G864" s="130"/>
      <c r="H864" s="114"/>
      <c r="I864" s="25"/>
      <c r="J864" s="124"/>
      <c r="K864" s="3" t="str">
        <f t="shared" ca="1" si="195"/>
        <v/>
      </c>
      <c r="L864" s="25" t="s">
        <v>1749</v>
      </c>
      <c r="M864" s="124"/>
      <c r="N864" s="3" t="str">
        <f t="shared" ca="1" si="192"/>
        <v/>
      </c>
      <c r="O864" s="56"/>
      <c r="P864" s="4"/>
      <c r="Q864" s="4" t="str">
        <f t="shared" si="197"/>
        <v/>
      </c>
      <c r="R864" s="4">
        <f t="shared" si="200"/>
        <v>1</v>
      </c>
      <c r="S864" s="4" t="str">
        <f t="shared" si="202"/>
        <v>0</v>
      </c>
      <c r="T864" s="4">
        <f t="shared" si="201"/>
        <v>1</v>
      </c>
      <c r="U864" s="29"/>
      <c r="V864" s="30"/>
      <c r="W864" s="30"/>
      <c r="X864" s="30"/>
      <c r="Y864" s="30"/>
      <c r="Z864" s="30"/>
      <c r="AA864" s="30"/>
      <c r="AB864" s="29"/>
      <c r="AC864" s="29"/>
      <c r="AD864" s="37" t="str">
        <f t="shared" si="198"/>
        <v/>
      </c>
      <c r="AE864" s="3" t="str">
        <f t="shared" ca="1" si="196"/>
        <v/>
      </c>
      <c r="AF864" s="38" t="str">
        <f t="shared" si="199"/>
        <v/>
      </c>
    </row>
    <row r="865" spans="1:32" s="7" customFormat="1" ht="32.15" customHeight="1" x14ac:dyDescent="0.35">
      <c r="A865" s="26">
        <f t="shared" si="194"/>
        <v>804</v>
      </c>
      <c r="B865" s="32" t="s">
        <v>2355</v>
      </c>
      <c r="C865" s="286" t="s">
        <v>2379</v>
      </c>
      <c r="D865" s="287"/>
      <c r="E865" s="93" t="s">
        <v>3063</v>
      </c>
      <c r="F865" s="24" t="s">
        <v>43</v>
      </c>
      <c r="G865" s="114" t="s">
        <v>3064</v>
      </c>
      <c r="H865" s="4" t="s">
        <v>1740</v>
      </c>
      <c r="I865" s="25" t="s">
        <v>107</v>
      </c>
      <c r="J865" s="115">
        <v>46260</v>
      </c>
      <c r="K865" s="3" t="str">
        <f t="shared" ca="1" si="195"/>
        <v xml:space="preserve">0 Tahun 0 bulan </v>
      </c>
      <c r="L865" s="39" t="s">
        <v>200</v>
      </c>
      <c r="M865" s="132"/>
      <c r="N865" s="3" t="str">
        <f t="shared" ca="1" si="192"/>
        <v/>
      </c>
      <c r="O865" s="56"/>
      <c r="P865" s="4"/>
      <c r="Q865" s="4" t="str">
        <f t="shared" si="197"/>
        <v>Laki-Laki</v>
      </c>
      <c r="R865" s="4">
        <f t="shared" si="200"/>
        <v>1</v>
      </c>
      <c r="S865" s="4" t="str">
        <f t="shared" si="202"/>
        <v>1</v>
      </c>
      <c r="T865" s="4">
        <f t="shared" si="201"/>
        <v>0</v>
      </c>
      <c r="U865" s="29"/>
      <c r="V865" s="30" t="s">
        <v>50</v>
      </c>
      <c r="W865" s="30"/>
      <c r="X865" s="30"/>
      <c r="Y865" s="30"/>
      <c r="Z865" s="30"/>
      <c r="AA865" s="30"/>
      <c r="AB865" s="29"/>
      <c r="AC865" s="29"/>
      <c r="AD865" s="37">
        <f t="shared" si="198"/>
        <v>25994</v>
      </c>
      <c r="AE865" s="3" t="str">
        <f t="shared" ca="1" si="196"/>
        <v>55 Tahun 5 bulan 30 Hari</v>
      </c>
      <c r="AF865" s="38">
        <f t="shared" si="199"/>
        <v>47939</v>
      </c>
    </row>
    <row r="866" spans="1:32" s="7" customFormat="1" ht="40.5" customHeight="1" x14ac:dyDescent="0.35">
      <c r="A866" s="26">
        <f t="shared" si="194"/>
        <v>805</v>
      </c>
      <c r="B866" s="32" t="s">
        <v>2355</v>
      </c>
      <c r="C866" s="26"/>
      <c r="D866" s="129" t="s">
        <v>2380</v>
      </c>
      <c r="E866" s="24" t="s">
        <v>108</v>
      </c>
      <c r="F866" s="24"/>
      <c r="G866" s="133"/>
      <c r="H866" s="134"/>
      <c r="I866" s="25"/>
      <c r="J866" s="124"/>
      <c r="K866" s="3" t="str">
        <f t="shared" ca="1" si="195"/>
        <v/>
      </c>
      <c r="L866" s="25" t="s">
        <v>1749</v>
      </c>
      <c r="M866" s="124"/>
      <c r="N866" s="3" t="str">
        <f t="shared" ca="1" si="192"/>
        <v/>
      </c>
      <c r="O866" s="56"/>
      <c r="P866" s="4"/>
      <c r="Q866" s="4" t="str">
        <f t="shared" si="197"/>
        <v/>
      </c>
      <c r="R866" s="4">
        <f t="shared" si="200"/>
        <v>1</v>
      </c>
      <c r="S866" s="4" t="str">
        <f t="shared" si="202"/>
        <v>0</v>
      </c>
      <c r="T866" s="4">
        <f t="shared" si="201"/>
        <v>1</v>
      </c>
      <c r="U866" s="29"/>
      <c r="V866" s="30"/>
      <c r="W866" s="30"/>
      <c r="X866" s="30"/>
      <c r="Y866" s="30"/>
      <c r="Z866" s="30"/>
      <c r="AA866" s="30"/>
      <c r="AB866" s="29"/>
      <c r="AC866" s="29"/>
      <c r="AD866" s="37" t="str">
        <f t="shared" si="198"/>
        <v/>
      </c>
      <c r="AE866" s="3" t="str">
        <f t="shared" ca="1" si="196"/>
        <v/>
      </c>
      <c r="AF866" s="38" t="str">
        <f t="shared" si="199"/>
        <v/>
      </c>
    </row>
    <row r="867" spans="1:32" s="7" customFormat="1" ht="32.15" customHeight="1" x14ac:dyDescent="0.35">
      <c r="A867" s="26">
        <f t="shared" si="194"/>
        <v>806</v>
      </c>
      <c r="B867" s="32" t="s">
        <v>2355</v>
      </c>
      <c r="C867" s="286" t="s">
        <v>2381</v>
      </c>
      <c r="D867" s="287"/>
      <c r="E867" s="71" t="s">
        <v>2382</v>
      </c>
      <c r="F867" s="24" t="s">
        <v>43</v>
      </c>
      <c r="G867" s="70" t="s">
        <v>2383</v>
      </c>
      <c r="H867" s="135" t="s">
        <v>703</v>
      </c>
      <c r="I867" s="25" t="s">
        <v>1814</v>
      </c>
      <c r="J867" s="110" t="s">
        <v>2377</v>
      </c>
      <c r="K867" s="3" t="str">
        <f t="shared" ca="1" si="195"/>
        <v xml:space="preserve">3 Tahun 7 bulan </v>
      </c>
      <c r="L867" s="39" t="s">
        <v>200</v>
      </c>
      <c r="M867" s="110" t="s">
        <v>2377</v>
      </c>
      <c r="N867" s="3" t="str">
        <f t="shared" ca="1" si="192"/>
        <v xml:space="preserve">3 Tahun 7 bulan </v>
      </c>
      <c r="O867" s="56"/>
      <c r="P867" s="4" t="s">
        <v>35</v>
      </c>
      <c r="Q867" s="4" t="str">
        <f t="shared" si="197"/>
        <v>Perempuan</v>
      </c>
      <c r="R867" s="4">
        <f t="shared" si="200"/>
        <v>1</v>
      </c>
      <c r="S867" s="4" t="str">
        <f t="shared" si="202"/>
        <v>1</v>
      </c>
      <c r="T867" s="4">
        <f t="shared" si="201"/>
        <v>0</v>
      </c>
      <c r="U867" s="29"/>
      <c r="V867" s="30"/>
      <c r="W867" s="30"/>
      <c r="X867" s="30"/>
      <c r="Y867" s="30"/>
      <c r="Z867" s="30"/>
      <c r="AA867" s="30"/>
      <c r="AB867" s="29"/>
      <c r="AC867" s="29"/>
      <c r="AD867" s="37">
        <f t="shared" si="198"/>
        <v>25832</v>
      </c>
      <c r="AE867" s="3" t="str">
        <f t="shared" ca="1" si="196"/>
        <v>55 Tahun 11 bulan 11 Hari</v>
      </c>
      <c r="AF867" s="38">
        <f t="shared" si="199"/>
        <v>47757</v>
      </c>
    </row>
    <row r="868" spans="1:32" s="7" customFormat="1" ht="38.25" customHeight="1" x14ac:dyDescent="0.35">
      <c r="A868" s="26">
        <f t="shared" si="194"/>
        <v>807</v>
      </c>
      <c r="B868" s="32" t="s">
        <v>2355</v>
      </c>
      <c r="C868" s="26"/>
      <c r="D868" s="129" t="s">
        <v>2384</v>
      </c>
      <c r="E868" s="24" t="s">
        <v>108</v>
      </c>
      <c r="F868" s="24"/>
      <c r="G868" s="130"/>
      <c r="H868" s="134"/>
      <c r="I868" s="25"/>
      <c r="J868" s="124"/>
      <c r="K868" s="3" t="str">
        <f t="shared" ca="1" si="195"/>
        <v/>
      </c>
      <c r="L868" s="25" t="s">
        <v>1749</v>
      </c>
      <c r="M868" s="124"/>
      <c r="N868" s="3" t="str">
        <f t="shared" ca="1" si="192"/>
        <v/>
      </c>
      <c r="O868" s="56"/>
      <c r="P868" s="4"/>
      <c r="Q868" s="4" t="str">
        <f t="shared" si="197"/>
        <v/>
      </c>
      <c r="R868" s="4">
        <f t="shared" si="200"/>
        <v>1</v>
      </c>
      <c r="S868" s="4" t="str">
        <f t="shared" si="202"/>
        <v>0</v>
      </c>
      <c r="T868" s="4">
        <f t="shared" si="201"/>
        <v>1</v>
      </c>
      <c r="U868" s="29"/>
      <c r="V868" s="30"/>
      <c r="W868" s="30"/>
      <c r="X868" s="30"/>
      <c r="Y868" s="30"/>
      <c r="Z868" s="30"/>
      <c r="AA868" s="30"/>
      <c r="AB868" s="29"/>
      <c r="AC868" s="29"/>
      <c r="AD868" s="37" t="str">
        <f t="shared" si="198"/>
        <v/>
      </c>
      <c r="AE868" s="3" t="str">
        <f t="shared" ca="1" si="196"/>
        <v/>
      </c>
      <c r="AF868" s="38" t="str">
        <f t="shared" si="199"/>
        <v/>
      </c>
    </row>
    <row r="869" spans="1:32" s="7" customFormat="1" ht="32.15" customHeight="1" x14ac:dyDescent="0.35">
      <c r="A869" s="26">
        <f t="shared" si="194"/>
        <v>808</v>
      </c>
      <c r="B869" s="32" t="s">
        <v>2355</v>
      </c>
      <c r="C869" s="286" t="s">
        <v>2385</v>
      </c>
      <c r="D869" s="287"/>
      <c r="E869" s="93" t="s">
        <v>2386</v>
      </c>
      <c r="F869" s="24" t="s">
        <v>43</v>
      </c>
      <c r="G869" s="114" t="s">
        <v>2387</v>
      </c>
      <c r="H869" s="4" t="s">
        <v>2360</v>
      </c>
      <c r="I869" s="25" t="s">
        <v>350</v>
      </c>
      <c r="J869" s="110" t="s">
        <v>751</v>
      </c>
      <c r="K869" s="3" t="str">
        <f t="shared" ca="1" si="195"/>
        <v xml:space="preserve">5 Tahun 0 bulan </v>
      </c>
      <c r="L869" s="39" t="s">
        <v>200</v>
      </c>
      <c r="M869" s="136">
        <v>44413</v>
      </c>
      <c r="N869" s="3" t="str">
        <f t="shared" ca="1" si="192"/>
        <v xml:space="preserve">5 Tahun 0 bulan </v>
      </c>
      <c r="O869" s="56"/>
      <c r="P869" s="4" t="s">
        <v>35</v>
      </c>
      <c r="Q869" s="4" t="str">
        <f t="shared" si="197"/>
        <v>Laki-Laki</v>
      </c>
      <c r="R869" s="4">
        <f t="shared" si="200"/>
        <v>1</v>
      </c>
      <c r="S869" s="4" t="str">
        <f t="shared" si="202"/>
        <v>1</v>
      </c>
      <c r="T869" s="4">
        <f t="shared" si="201"/>
        <v>0</v>
      </c>
      <c r="U869" s="29"/>
      <c r="V869" s="30" t="s">
        <v>50</v>
      </c>
      <c r="W869" s="30"/>
      <c r="X869" s="30"/>
      <c r="Y869" s="30"/>
      <c r="Z869" s="30"/>
      <c r="AA869" s="30"/>
      <c r="AB869" s="29"/>
      <c r="AC869" s="29"/>
      <c r="AD869" s="37">
        <f t="shared" si="198"/>
        <v>26917</v>
      </c>
      <c r="AE869" s="3" t="str">
        <f t="shared" ca="1" si="196"/>
        <v>52 Tahun 11 bulan 22 Hari</v>
      </c>
      <c r="AF869" s="38">
        <f t="shared" si="199"/>
        <v>48853</v>
      </c>
    </row>
    <row r="870" spans="1:32" s="7" customFormat="1" ht="37.5" customHeight="1" x14ac:dyDescent="0.35">
      <c r="A870" s="26">
        <f t="shared" si="194"/>
        <v>809</v>
      </c>
      <c r="B870" s="32" t="s">
        <v>2355</v>
      </c>
      <c r="C870" s="26"/>
      <c r="D870" s="129" t="s">
        <v>2388</v>
      </c>
      <c r="E870" s="24" t="s">
        <v>108</v>
      </c>
      <c r="F870" s="24"/>
      <c r="G870" s="130"/>
      <c r="H870" s="134"/>
      <c r="I870" s="25"/>
      <c r="J870" s="124"/>
      <c r="K870" s="3" t="str">
        <f t="shared" ca="1" si="195"/>
        <v/>
      </c>
      <c r="L870" s="25" t="s">
        <v>1749</v>
      </c>
      <c r="M870" s="124"/>
      <c r="N870" s="3" t="str">
        <f t="shared" ca="1" si="192"/>
        <v/>
      </c>
      <c r="O870" s="56"/>
      <c r="P870" s="4"/>
      <c r="Q870" s="4" t="str">
        <f t="shared" si="197"/>
        <v/>
      </c>
      <c r="R870" s="4">
        <f t="shared" si="200"/>
        <v>1</v>
      </c>
      <c r="S870" s="4" t="str">
        <f t="shared" si="202"/>
        <v>0</v>
      </c>
      <c r="T870" s="4">
        <f t="shared" si="201"/>
        <v>1</v>
      </c>
      <c r="U870" s="29"/>
      <c r="V870" s="30"/>
      <c r="W870" s="30"/>
      <c r="X870" s="30"/>
      <c r="Y870" s="30"/>
      <c r="Z870" s="30"/>
      <c r="AA870" s="30"/>
      <c r="AB870" s="29"/>
      <c r="AC870" s="29"/>
      <c r="AD870" s="37" t="str">
        <f t="shared" si="198"/>
        <v/>
      </c>
      <c r="AE870" s="3" t="str">
        <f t="shared" ca="1" si="196"/>
        <v/>
      </c>
      <c r="AF870" s="38" t="str">
        <f t="shared" si="199"/>
        <v/>
      </c>
    </row>
    <row r="871" spans="1:32" s="7" customFormat="1" ht="32.15" customHeight="1" x14ac:dyDescent="0.35">
      <c r="A871" s="26">
        <f t="shared" si="194"/>
        <v>810</v>
      </c>
      <c r="B871" s="32" t="s">
        <v>2355</v>
      </c>
      <c r="C871" s="286" t="s">
        <v>2389</v>
      </c>
      <c r="D871" s="287"/>
      <c r="E871" s="93" t="s">
        <v>108</v>
      </c>
      <c r="F871" s="93"/>
      <c r="G871" s="114"/>
      <c r="H871" s="134"/>
      <c r="I871" s="25"/>
      <c r="J871" s="132"/>
      <c r="K871" s="3" t="str">
        <f t="shared" ca="1" si="195"/>
        <v/>
      </c>
      <c r="L871" s="39" t="s">
        <v>200</v>
      </c>
      <c r="M871" s="132"/>
      <c r="N871" s="3" t="str">
        <f t="shared" ca="1" si="192"/>
        <v/>
      </c>
      <c r="O871" s="56"/>
      <c r="P871" s="4"/>
      <c r="Q871" s="4" t="str">
        <f t="shared" si="197"/>
        <v/>
      </c>
      <c r="R871" s="4">
        <f t="shared" si="200"/>
        <v>1</v>
      </c>
      <c r="S871" s="4" t="str">
        <f t="shared" si="202"/>
        <v>0</v>
      </c>
      <c r="T871" s="4">
        <f t="shared" si="201"/>
        <v>1</v>
      </c>
      <c r="U871" s="29"/>
      <c r="V871" s="30" t="s">
        <v>50</v>
      </c>
      <c r="W871" s="30"/>
      <c r="X871" s="30"/>
      <c r="Y871" s="30"/>
      <c r="Z871" s="30"/>
      <c r="AA871" s="30"/>
      <c r="AB871" s="29"/>
      <c r="AC871" s="29"/>
      <c r="AD871" s="37" t="str">
        <f t="shared" si="198"/>
        <v/>
      </c>
      <c r="AE871" s="3" t="str">
        <f t="shared" ca="1" si="196"/>
        <v/>
      </c>
      <c r="AF871" s="38" t="str">
        <f t="shared" si="199"/>
        <v/>
      </c>
    </row>
    <row r="872" spans="1:32" s="7" customFormat="1" ht="38.25" customHeight="1" x14ac:dyDescent="0.35">
      <c r="A872" s="26">
        <f t="shared" si="194"/>
        <v>811</v>
      </c>
      <c r="B872" s="32" t="s">
        <v>2355</v>
      </c>
      <c r="C872" s="26"/>
      <c r="D872" s="129" t="s">
        <v>2390</v>
      </c>
      <c r="E872" s="24" t="s">
        <v>108</v>
      </c>
      <c r="F872" s="24"/>
      <c r="G872" s="130"/>
      <c r="H872" s="134"/>
      <c r="I872" s="25"/>
      <c r="J872" s="124"/>
      <c r="K872" s="3" t="str">
        <f t="shared" ca="1" si="195"/>
        <v/>
      </c>
      <c r="L872" s="25" t="s">
        <v>1749</v>
      </c>
      <c r="M872" s="124"/>
      <c r="N872" s="3" t="str">
        <f t="shared" ca="1" si="192"/>
        <v/>
      </c>
      <c r="O872" s="56"/>
      <c r="P872" s="4"/>
      <c r="Q872" s="4" t="str">
        <f t="shared" si="197"/>
        <v/>
      </c>
      <c r="R872" s="4">
        <f t="shared" si="200"/>
        <v>1</v>
      </c>
      <c r="S872" s="4" t="str">
        <f t="shared" si="202"/>
        <v>0</v>
      </c>
      <c r="T872" s="4">
        <f t="shared" si="201"/>
        <v>1</v>
      </c>
      <c r="U872" s="29"/>
      <c r="V872" s="30"/>
      <c r="W872" s="30"/>
      <c r="X872" s="30"/>
      <c r="Y872" s="30"/>
      <c r="Z872" s="30"/>
      <c r="AA872" s="30"/>
      <c r="AB872" s="29"/>
      <c r="AC872" s="29"/>
      <c r="AD872" s="37" t="str">
        <f t="shared" si="198"/>
        <v/>
      </c>
      <c r="AE872" s="3" t="str">
        <f t="shared" ca="1" si="196"/>
        <v/>
      </c>
      <c r="AF872" s="38" t="str">
        <f t="shared" si="199"/>
        <v/>
      </c>
    </row>
    <row r="873" spans="1:32" s="7" customFormat="1" ht="32.15" customHeight="1" x14ac:dyDescent="0.35">
      <c r="A873" s="26">
        <f t="shared" si="194"/>
        <v>812</v>
      </c>
      <c r="B873" s="32" t="s">
        <v>2355</v>
      </c>
      <c r="C873" s="286" t="s">
        <v>2391</v>
      </c>
      <c r="D873" s="287"/>
      <c r="E873" s="24" t="s">
        <v>108</v>
      </c>
      <c r="F873" s="24"/>
      <c r="G873" s="130"/>
      <c r="H873" s="134"/>
      <c r="I873" s="25"/>
      <c r="J873" s="124"/>
      <c r="K873" s="3" t="str">
        <f t="shared" ca="1" si="195"/>
        <v/>
      </c>
      <c r="L873" s="39" t="s">
        <v>200</v>
      </c>
      <c r="M873" s="124"/>
      <c r="N873" s="3" t="str">
        <f t="shared" ca="1" si="192"/>
        <v/>
      </c>
      <c r="O873" s="56"/>
      <c r="P873" s="4"/>
      <c r="Q873" s="4" t="str">
        <f t="shared" si="197"/>
        <v/>
      </c>
      <c r="R873" s="4">
        <f t="shared" si="200"/>
        <v>1</v>
      </c>
      <c r="S873" s="4" t="str">
        <f t="shared" si="202"/>
        <v>0</v>
      </c>
      <c r="T873" s="4">
        <f t="shared" si="201"/>
        <v>1</v>
      </c>
      <c r="U873" s="29"/>
      <c r="V873" s="30"/>
      <c r="W873" s="30"/>
      <c r="X873" s="30"/>
      <c r="Y873" s="30"/>
      <c r="Z873" s="30"/>
      <c r="AA873" s="30"/>
      <c r="AB873" s="29"/>
      <c r="AC873" s="29"/>
      <c r="AD873" s="37" t="str">
        <f t="shared" si="198"/>
        <v/>
      </c>
      <c r="AE873" s="3" t="str">
        <f t="shared" ca="1" si="196"/>
        <v/>
      </c>
      <c r="AF873" s="38" t="str">
        <f t="shared" si="199"/>
        <v/>
      </c>
    </row>
    <row r="874" spans="1:32" s="7" customFormat="1" ht="36" customHeight="1" x14ac:dyDescent="0.35">
      <c r="A874" s="26">
        <f t="shared" si="194"/>
        <v>813</v>
      </c>
      <c r="B874" s="32" t="s">
        <v>2355</v>
      </c>
      <c r="C874" s="26"/>
      <c r="D874" s="129" t="s">
        <v>2392</v>
      </c>
      <c r="E874" s="24" t="s">
        <v>108</v>
      </c>
      <c r="F874" s="24"/>
      <c r="G874" s="130"/>
      <c r="H874" s="134"/>
      <c r="I874" s="25"/>
      <c r="J874" s="124"/>
      <c r="K874" s="3" t="str">
        <f t="shared" ca="1" si="195"/>
        <v/>
      </c>
      <c r="L874" s="25" t="s">
        <v>1749</v>
      </c>
      <c r="M874" s="124"/>
      <c r="N874" s="3" t="str">
        <f t="shared" ca="1" si="192"/>
        <v/>
      </c>
      <c r="O874" s="56"/>
      <c r="P874" s="4"/>
      <c r="Q874" s="4" t="str">
        <f t="shared" si="197"/>
        <v/>
      </c>
      <c r="R874" s="4">
        <f t="shared" si="200"/>
        <v>1</v>
      </c>
      <c r="S874" s="4" t="str">
        <f t="shared" si="202"/>
        <v>0</v>
      </c>
      <c r="T874" s="4">
        <f t="shared" si="201"/>
        <v>1</v>
      </c>
      <c r="U874" s="29"/>
      <c r="V874" s="30"/>
      <c r="W874" s="30"/>
      <c r="X874" s="30"/>
      <c r="Y874" s="30"/>
      <c r="Z874" s="30"/>
      <c r="AA874" s="30"/>
      <c r="AB874" s="29"/>
      <c r="AC874" s="29"/>
      <c r="AD874" s="37" t="str">
        <f t="shared" si="198"/>
        <v/>
      </c>
      <c r="AE874" s="3" t="str">
        <f t="shared" ca="1" si="196"/>
        <v/>
      </c>
      <c r="AF874" s="38" t="str">
        <f t="shared" si="199"/>
        <v/>
      </c>
    </row>
    <row r="875" spans="1:32" s="7" customFormat="1" ht="32.15" customHeight="1" x14ac:dyDescent="0.35">
      <c r="A875" s="26">
        <f t="shared" si="194"/>
        <v>814</v>
      </c>
      <c r="B875" s="32" t="s">
        <v>2355</v>
      </c>
      <c r="C875" s="286" t="s">
        <v>2393</v>
      </c>
      <c r="D875" s="287"/>
      <c r="E875" s="93" t="s">
        <v>2394</v>
      </c>
      <c r="F875" s="24" t="s">
        <v>43</v>
      </c>
      <c r="G875" s="114" t="s">
        <v>2395</v>
      </c>
      <c r="H875" s="134" t="s">
        <v>584</v>
      </c>
      <c r="I875" s="25" t="s">
        <v>184</v>
      </c>
      <c r="J875" s="72" t="s">
        <v>501</v>
      </c>
      <c r="K875" s="3" t="str">
        <f t="shared" ca="1" si="195"/>
        <v xml:space="preserve">5 Tahun 2 bulan </v>
      </c>
      <c r="L875" s="39" t="s">
        <v>200</v>
      </c>
      <c r="M875" s="72" t="s">
        <v>501</v>
      </c>
      <c r="N875" s="3" t="str">
        <f t="shared" ca="1" si="192"/>
        <v xml:space="preserve">5 Tahun 2 bulan </v>
      </c>
      <c r="O875" s="56"/>
      <c r="P875" s="4" t="s">
        <v>35</v>
      </c>
      <c r="Q875" s="4" t="str">
        <f t="shared" si="197"/>
        <v>Laki-Laki</v>
      </c>
      <c r="R875" s="4">
        <f t="shared" si="200"/>
        <v>1</v>
      </c>
      <c r="S875" s="4" t="str">
        <f t="shared" si="202"/>
        <v>1</v>
      </c>
      <c r="T875" s="4">
        <f t="shared" si="201"/>
        <v>0</v>
      </c>
      <c r="U875" s="29"/>
      <c r="V875" s="30" t="s">
        <v>50</v>
      </c>
      <c r="W875" s="30"/>
      <c r="X875" s="30"/>
      <c r="Y875" s="30"/>
      <c r="Z875" s="30"/>
      <c r="AA875" s="30"/>
      <c r="AB875" s="29"/>
      <c r="AC875" s="29"/>
      <c r="AD875" s="37">
        <f t="shared" si="198"/>
        <v>27324</v>
      </c>
      <c r="AE875" s="3" t="str">
        <f t="shared" ca="1" si="196"/>
        <v>51 Tahun 10 bulan 10 Hari</v>
      </c>
      <c r="AF875" s="38">
        <f t="shared" si="199"/>
        <v>49249</v>
      </c>
    </row>
    <row r="876" spans="1:32" s="7" customFormat="1" ht="32.15" customHeight="1" x14ac:dyDescent="0.35">
      <c r="A876" s="26">
        <f t="shared" si="194"/>
        <v>815</v>
      </c>
      <c r="B876" s="32" t="s">
        <v>2355</v>
      </c>
      <c r="C876" s="26"/>
      <c r="D876" s="129" t="s">
        <v>2396</v>
      </c>
      <c r="E876" s="24" t="s">
        <v>108</v>
      </c>
      <c r="F876" s="24"/>
      <c r="G876" s="94"/>
      <c r="H876" s="98"/>
      <c r="I876" s="25"/>
      <c r="J876" s="124"/>
      <c r="K876" s="3" t="str">
        <f t="shared" ca="1" si="195"/>
        <v/>
      </c>
      <c r="L876" s="25" t="s">
        <v>1749</v>
      </c>
      <c r="M876" s="124"/>
      <c r="N876" s="3" t="str">
        <f t="shared" ca="1" si="192"/>
        <v/>
      </c>
      <c r="O876" s="56"/>
      <c r="P876" s="4"/>
      <c r="Q876" s="4" t="str">
        <f t="shared" si="197"/>
        <v/>
      </c>
      <c r="R876" s="4">
        <f t="shared" si="200"/>
        <v>1</v>
      </c>
      <c r="S876" s="4" t="str">
        <f t="shared" si="202"/>
        <v>0</v>
      </c>
      <c r="T876" s="4">
        <f t="shared" si="201"/>
        <v>1</v>
      </c>
      <c r="U876" s="29"/>
      <c r="V876" s="30"/>
      <c r="W876" s="30"/>
      <c r="X876" s="30"/>
      <c r="Y876" s="30"/>
      <c r="Z876" s="30"/>
      <c r="AA876" s="30"/>
      <c r="AB876" s="29"/>
      <c r="AC876" s="29"/>
      <c r="AD876" s="37" t="str">
        <f t="shared" si="198"/>
        <v/>
      </c>
      <c r="AE876" s="3" t="str">
        <f t="shared" ca="1" si="196"/>
        <v/>
      </c>
      <c r="AF876" s="38" t="str">
        <f t="shared" si="199"/>
        <v/>
      </c>
    </row>
    <row r="877" spans="1:32" s="7" customFormat="1" ht="32.15" customHeight="1" x14ac:dyDescent="0.35">
      <c r="A877" s="26">
        <f t="shared" si="194"/>
        <v>816</v>
      </c>
      <c r="B877" s="32" t="s">
        <v>2355</v>
      </c>
      <c r="C877" s="286" t="s">
        <v>2397</v>
      </c>
      <c r="D877" s="287"/>
      <c r="E877" s="24" t="s">
        <v>3083</v>
      </c>
      <c r="F877" s="24" t="s">
        <v>43</v>
      </c>
      <c r="G877" s="114" t="s">
        <v>3084</v>
      </c>
      <c r="H877" s="134" t="s">
        <v>3082</v>
      </c>
      <c r="I877" s="25" t="s">
        <v>3085</v>
      </c>
      <c r="J877" s="96">
        <v>46260</v>
      </c>
      <c r="K877" s="3" t="str">
        <f t="shared" ca="1" si="195"/>
        <v xml:space="preserve">0 Tahun 0 bulan </v>
      </c>
      <c r="L877" s="39" t="s">
        <v>200</v>
      </c>
      <c r="M877" s="124"/>
      <c r="N877" s="3" t="str">
        <f t="shared" ca="1" si="192"/>
        <v/>
      </c>
      <c r="O877" s="56"/>
      <c r="P877" s="4"/>
      <c r="Q877" s="4" t="str">
        <f t="shared" si="197"/>
        <v>Laki-Laki</v>
      </c>
      <c r="R877" s="4">
        <f t="shared" si="200"/>
        <v>1</v>
      </c>
      <c r="S877" s="4" t="str">
        <f t="shared" si="202"/>
        <v>1</v>
      </c>
      <c r="T877" s="4">
        <f t="shared" si="201"/>
        <v>0</v>
      </c>
      <c r="U877" s="29"/>
      <c r="V877" s="30"/>
      <c r="W877" s="30"/>
      <c r="X877" s="30"/>
      <c r="Y877" s="30"/>
      <c r="Z877" s="30"/>
      <c r="AA877" s="30"/>
      <c r="AB877" s="29"/>
      <c r="AC877" s="29"/>
      <c r="AD877" s="37">
        <f t="shared" si="198"/>
        <v>28753</v>
      </c>
      <c r="AE877" s="3" t="str">
        <f t="shared" ca="1" si="196"/>
        <v>47 Tahun 11 bulan 12 Hari</v>
      </c>
      <c r="AF877" s="38">
        <f t="shared" si="199"/>
        <v>50679</v>
      </c>
    </row>
    <row r="878" spans="1:32" s="7" customFormat="1" ht="32.15" customHeight="1" x14ac:dyDescent="0.35">
      <c r="A878" s="26">
        <f t="shared" si="194"/>
        <v>817</v>
      </c>
      <c r="B878" s="32" t="s">
        <v>2355</v>
      </c>
      <c r="C878" s="26"/>
      <c r="D878" s="129" t="s">
        <v>2398</v>
      </c>
      <c r="E878" s="24" t="s">
        <v>108</v>
      </c>
      <c r="F878" s="24"/>
      <c r="G878" s="114"/>
      <c r="H878" s="134"/>
      <c r="I878" s="25"/>
      <c r="J878" s="124"/>
      <c r="K878" s="3" t="str">
        <f t="shared" ca="1" si="195"/>
        <v/>
      </c>
      <c r="L878" s="25" t="s">
        <v>1749</v>
      </c>
      <c r="M878" s="124"/>
      <c r="N878" s="3" t="str">
        <f t="shared" ca="1" si="192"/>
        <v/>
      </c>
      <c r="O878" s="56"/>
      <c r="P878" s="4"/>
      <c r="Q878" s="4" t="str">
        <f t="shared" si="197"/>
        <v/>
      </c>
      <c r="R878" s="4">
        <f t="shared" si="200"/>
        <v>1</v>
      </c>
      <c r="S878" s="4" t="str">
        <f t="shared" si="202"/>
        <v>0</v>
      </c>
      <c r="T878" s="4">
        <f t="shared" si="201"/>
        <v>1</v>
      </c>
      <c r="U878" s="29"/>
      <c r="V878" s="30"/>
      <c r="W878" s="30"/>
      <c r="X878" s="30"/>
      <c r="Y878" s="30"/>
      <c r="Z878" s="30"/>
      <c r="AA878" s="30"/>
      <c r="AB878" s="29"/>
      <c r="AC878" s="29"/>
      <c r="AD878" s="37" t="str">
        <f t="shared" si="198"/>
        <v/>
      </c>
      <c r="AE878" s="3" t="str">
        <f t="shared" ca="1" si="196"/>
        <v/>
      </c>
      <c r="AF878" s="38" t="str">
        <f t="shared" si="199"/>
        <v/>
      </c>
    </row>
    <row r="879" spans="1:32" s="7" customFormat="1" ht="32.15" customHeight="1" x14ac:dyDescent="0.35">
      <c r="A879" s="26">
        <f t="shared" si="194"/>
        <v>818</v>
      </c>
      <c r="B879" s="32" t="s">
        <v>2355</v>
      </c>
      <c r="C879" s="286" t="s">
        <v>2399</v>
      </c>
      <c r="D879" s="287"/>
      <c r="E879" s="93" t="s">
        <v>2400</v>
      </c>
      <c r="F879" s="24" t="s">
        <v>43</v>
      </c>
      <c r="G879" s="94" t="s">
        <v>2401</v>
      </c>
      <c r="H879" s="114" t="s">
        <v>703</v>
      </c>
      <c r="I879" s="25" t="s">
        <v>1337</v>
      </c>
      <c r="J879" s="72" t="s">
        <v>501</v>
      </c>
      <c r="K879" s="3" t="str">
        <f t="shared" ca="1" si="195"/>
        <v xml:space="preserve">5 Tahun 2 bulan </v>
      </c>
      <c r="L879" s="39" t="s">
        <v>200</v>
      </c>
      <c r="M879" s="72" t="s">
        <v>501</v>
      </c>
      <c r="N879" s="3" t="str">
        <f t="shared" ref="N879:N942" ca="1" si="203">IF(M879="","",CONCATENATE(DATEDIF(M879,NOW(),"Y")," Tahun ",DATEDIF(M879,NOW(),"YM")," bulan "))</f>
        <v xml:space="preserve">5 Tahun 2 bulan </v>
      </c>
      <c r="O879" s="56"/>
      <c r="P879" s="4" t="s">
        <v>35</v>
      </c>
      <c r="Q879" s="4" t="str">
        <f t="shared" si="197"/>
        <v>Perempuan</v>
      </c>
      <c r="R879" s="4">
        <f t="shared" si="200"/>
        <v>1</v>
      </c>
      <c r="S879" s="4" t="str">
        <f t="shared" si="202"/>
        <v>1</v>
      </c>
      <c r="T879" s="4">
        <f t="shared" si="201"/>
        <v>0</v>
      </c>
      <c r="U879" s="29"/>
      <c r="V879" s="30"/>
      <c r="W879" s="30"/>
      <c r="X879" s="30"/>
      <c r="Y879" s="30"/>
      <c r="Z879" s="30"/>
      <c r="AA879" s="30"/>
      <c r="AB879" s="29"/>
      <c r="AC879" s="29"/>
      <c r="AD879" s="37">
        <f t="shared" si="198"/>
        <v>26515</v>
      </c>
      <c r="AE879" s="3" t="str">
        <f t="shared" ca="1" si="196"/>
        <v>54 Tahun 0 bulan 28 Hari</v>
      </c>
      <c r="AF879" s="38">
        <f t="shared" si="199"/>
        <v>48458</v>
      </c>
    </row>
    <row r="880" spans="1:32" s="7" customFormat="1" ht="32.15" customHeight="1" x14ac:dyDescent="0.35">
      <c r="A880" s="26">
        <f t="shared" si="194"/>
        <v>819</v>
      </c>
      <c r="B880" s="32" t="s">
        <v>2355</v>
      </c>
      <c r="C880" s="26"/>
      <c r="D880" s="129" t="s">
        <v>2402</v>
      </c>
      <c r="E880" s="24" t="s">
        <v>108</v>
      </c>
      <c r="F880" s="24"/>
      <c r="G880" s="94"/>
      <c r="H880" s="114"/>
      <c r="I880" s="25"/>
      <c r="J880" s="132"/>
      <c r="K880" s="3" t="str">
        <f t="shared" ca="1" si="195"/>
        <v/>
      </c>
      <c r="L880" s="25" t="s">
        <v>1749</v>
      </c>
      <c r="M880" s="132"/>
      <c r="N880" s="3" t="str">
        <f t="shared" ca="1" si="203"/>
        <v/>
      </c>
      <c r="O880" s="56"/>
      <c r="P880" s="4"/>
      <c r="Q880" s="4" t="str">
        <f t="shared" si="197"/>
        <v/>
      </c>
      <c r="R880" s="4">
        <f t="shared" si="200"/>
        <v>1</v>
      </c>
      <c r="S880" s="4" t="str">
        <f t="shared" si="202"/>
        <v>0</v>
      </c>
      <c r="T880" s="4">
        <f t="shared" si="201"/>
        <v>1</v>
      </c>
      <c r="U880" s="29"/>
      <c r="V880" s="30"/>
      <c r="W880" s="30"/>
      <c r="X880" s="30"/>
      <c r="Y880" s="30"/>
      <c r="Z880" s="30"/>
      <c r="AA880" s="30"/>
      <c r="AB880" s="29"/>
      <c r="AC880" s="29"/>
      <c r="AD880" s="37" t="str">
        <f t="shared" si="198"/>
        <v/>
      </c>
      <c r="AE880" s="3" t="str">
        <f t="shared" ca="1" si="196"/>
        <v/>
      </c>
      <c r="AF880" s="38" t="str">
        <f t="shared" si="199"/>
        <v/>
      </c>
    </row>
    <row r="881" spans="1:32" s="7" customFormat="1" ht="32.15" customHeight="1" x14ac:dyDescent="0.35">
      <c r="A881" s="26">
        <f t="shared" si="194"/>
        <v>820</v>
      </c>
      <c r="B881" s="32" t="s">
        <v>2355</v>
      </c>
      <c r="C881" s="286" t="s">
        <v>2403</v>
      </c>
      <c r="D881" s="287"/>
      <c r="E881" s="24" t="s">
        <v>2404</v>
      </c>
      <c r="F881" s="24" t="s">
        <v>43</v>
      </c>
      <c r="G881" s="3" t="s">
        <v>2405</v>
      </c>
      <c r="H881" s="4" t="s">
        <v>1853</v>
      </c>
      <c r="I881" s="4" t="s">
        <v>107</v>
      </c>
      <c r="J881" s="72" t="s">
        <v>501</v>
      </c>
      <c r="K881" s="3" t="str">
        <f t="shared" ca="1" si="195"/>
        <v xml:space="preserve">5 Tahun 2 bulan </v>
      </c>
      <c r="L881" s="39" t="s">
        <v>200</v>
      </c>
      <c r="M881" s="72" t="s">
        <v>501</v>
      </c>
      <c r="N881" s="3" t="str">
        <f t="shared" ca="1" si="203"/>
        <v xml:space="preserve">5 Tahun 2 bulan </v>
      </c>
      <c r="O881" s="4"/>
      <c r="P881" s="4" t="s">
        <v>35</v>
      </c>
      <c r="Q881" s="4" t="str">
        <f t="shared" si="197"/>
        <v>Laki-Laki</v>
      </c>
      <c r="R881" s="4">
        <f t="shared" si="200"/>
        <v>1</v>
      </c>
      <c r="S881" s="4" t="str">
        <f t="shared" si="202"/>
        <v>1</v>
      </c>
      <c r="T881" s="4">
        <f t="shared" si="201"/>
        <v>0</v>
      </c>
      <c r="U881" s="29"/>
      <c r="V881" s="30" t="s">
        <v>50</v>
      </c>
      <c r="W881" s="30"/>
      <c r="X881" s="30"/>
      <c r="Y881" s="30"/>
      <c r="Z881" s="30"/>
      <c r="AA881" s="30"/>
      <c r="AB881" s="29"/>
      <c r="AC881" s="29"/>
      <c r="AD881" s="37">
        <f t="shared" si="198"/>
        <v>27278</v>
      </c>
      <c r="AE881" s="3" t="str">
        <f t="shared" ca="1" si="196"/>
        <v>51 Tahun 11 bulan 26 Hari</v>
      </c>
      <c r="AF881" s="38">
        <f t="shared" si="199"/>
        <v>49218</v>
      </c>
    </row>
    <row r="882" spans="1:32" s="7" customFormat="1" ht="32.15" customHeight="1" x14ac:dyDescent="0.35">
      <c r="A882" s="26">
        <f t="shared" si="194"/>
        <v>821</v>
      </c>
      <c r="B882" s="32" t="s">
        <v>2355</v>
      </c>
      <c r="C882" s="26"/>
      <c r="D882" s="129" t="s">
        <v>2406</v>
      </c>
      <c r="E882" s="24" t="s">
        <v>108</v>
      </c>
      <c r="F882" s="24"/>
      <c r="G882" s="3"/>
      <c r="H882" s="134"/>
      <c r="I882" s="4"/>
      <c r="J882" s="91"/>
      <c r="K882" s="3" t="str">
        <f t="shared" ca="1" si="195"/>
        <v/>
      </c>
      <c r="L882" s="36" t="s">
        <v>1749</v>
      </c>
      <c r="M882" s="91"/>
      <c r="N882" s="3" t="str">
        <f t="shared" ca="1" si="203"/>
        <v/>
      </c>
      <c r="O882" s="4"/>
      <c r="P882" s="4"/>
      <c r="Q882" s="4" t="str">
        <f t="shared" si="197"/>
        <v/>
      </c>
      <c r="R882" s="4">
        <f t="shared" si="200"/>
        <v>1</v>
      </c>
      <c r="S882" s="4" t="str">
        <f t="shared" si="202"/>
        <v>0</v>
      </c>
      <c r="T882" s="4">
        <f t="shared" si="201"/>
        <v>1</v>
      </c>
      <c r="U882" s="29"/>
      <c r="V882" s="30"/>
      <c r="W882" s="30"/>
      <c r="X882" s="30"/>
      <c r="Y882" s="30"/>
      <c r="Z882" s="30"/>
      <c r="AA882" s="30"/>
      <c r="AB882" s="29"/>
      <c r="AC882" s="29"/>
      <c r="AD882" s="37" t="str">
        <f t="shared" si="198"/>
        <v/>
      </c>
      <c r="AE882" s="3" t="str">
        <f t="shared" ca="1" si="196"/>
        <v/>
      </c>
      <c r="AF882" s="38" t="str">
        <f t="shared" si="199"/>
        <v/>
      </c>
    </row>
    <row r="883" spans="1:32" s="7" customFormat="1" ht="32.15" customHeight="1" x14ac:dyDescent="0.35">
      <c r="A883" s="26">
        <f t="shared" si="194"/>
        <v>822</v>
      </c>
      <c r="B883" s="32" t="s">
        <v>2355</v>
      </c>
      <c r="C883" s="286" t="s">
        <v>2407</v>
      </c>
      <c r="D883" s="287"/>
      <c r="E883" s="24" t="s">
        <v>2408</v>
      </c>
      <c r="F883" s="24" t="s">
        <v>43</v>
      </c>
      <c r="G883" s="3" t="s">
        <v>2409</v>
      </c>
      <c r="H883" s="114" t="s">
        <v>2410</v>
      </c>
      <c r="I883" s="4" t="s">
        <v>362</v>
      </c>
      <c r="J883" s="72" t="s">
        <v>501</v>
      </c>
      <c r="K883" s="3" t="str">
        <f t="shared" ca="1" si="195"/>
        <v xml:space="preserve">5 Tahun 2 bulan </v>
      </c>
      <c r="L883" s="39" t="s">
        <v>200</v>
      </c>
      <c r="M883" s="72" t="s">
        <v>501</v>
      </c>
      <c r="N883" s="3" t="str">
        <f t="shared" ca="1" si="203"/>
        <v xml:space="preserve">5 Tahun 2 bulan </v>
      </c>
      <c r="O883" s="4"/>
      <c r="P883" s="4" t="s">
        <v>35</v>
      </c>
      <c r="Q883" s="4" t="str">
        <f t="shared" si="197"/>
        <v>Laki-Laki</v>
      </c>
      <c r="R883" s="4">
        <f t="shared" si="200"/>
        <v>1</v>
      </c>
      <c r="S883" s="4" t="str">
        <f t="shared" si="202"/>
        <v>1</v>
      </c>
      <c r="T883" s="4">
        <f t="shared" si="201"/>
        <v>0</v>
      </c>
      <c r="U883" s="29"/>
      <c r="V883" s="30" t="s">
        <v>50</v>
      </c>
      <c r="W883" s="30"/>
      <c r="X883" s="30"/>
      <c r="Y883" s="30"/>
      <c r="Z883" s="30"/>
      <c r="AA883" s="30"/>
      <c r="AB883" s="29"/>
      <c r="AC883" s="29"/>
      <c r="AD883" s="37">
        <f t="shared" si="198"/>
        <v>27470</v>
      </c>
      <c r="AE883" s="3" t="str">
        <f t="shared" ca="1" si="196"/>
        <v>51 Tahun 5 bulan 15 Hari</v>
      </c>
      <c r="AF883" s="38">
        <f t="shared" si="199"/>
        <v>49400</v>
      </c>
    </row>
    <row r="884" spans="1:32" s="7" customFormat="1" ht="32.15" customHeight="1" x14ac:dyDescent="0.35">
      <c r="A884" s="26">
        <f t="shared" si="194"/>
        <v>823</v>
      </c>
      <c r="B884" s="32" t="s">
        <v>2355</v>
      </c>
      <c r="C884" s="26"/>
      <c r="D884" s="129" t="s">
        <v>2411</v>
      </c>
      <c r="E884" s="24" t="s">
        <v>108</v>
      </c>
      <c r="F884" s="24"/>
      <c r="G884" s="3"/>
      <c r="H884" s="98"/>
      <c r="I884" s="4"/>
      <c r="J884" s="91"/>
      <c r="K884" s="3" t="str">
        <f t="shared" ca="1" si="195"/>
        <v/>
      </c>
      <c r="L884" s="36" t="s">
        <v>1749</v>
      </c>
      <c r="M884" s="91"/>
      <c r="N884" s="3" t="str">
        <f t="shared" ca="1" si="203"/>
        <v/>
      </c>
      <c r="O884" s="4"/>
      <c r="P884" s="4"/>
      <c r="Q884" s="4" t="str">
        <f t="shared" si="197"/>
        <v/>
      </c>
      <c r="R884" s="4">
        <f t="shared" si="200"/>
        <v>1</v>
      </c>
      <c r="S884" s="4" t="str">
        <f t="shared" si="202"/>
        <v>0</v>
      </c>
      <c r="T884" s="4">
        <f t="shared" si="201"/>
        <v>1</v>
      </c>
      <c r="U884" s="29"/>
      <c r="V884" s="30"/>
      <c r="W884" s="30"/>
      <c r="X884" s="30"/>
      <c r="Y884" s="30"/>
      <c r="Z884" s="30"/>
      <c r="AA884" s="30"/>
      <c r="AB884" s="29"/>
      <c r="AC884" s="29"/>
      <c r="AD884" s="37" t="str">
        <f t="shared" si="198"/>
        <v/>
      </c>
      <c r="AE884" s="3" t="str">
        <f t="shared" ca="1" si="196"/>
        <v/>
      </c>
      <c r="AF884" s="38" t="str">
        <f t="shared" si="199"/>
        <v/>
      </c>
    </row>
    <row r="885" spans="1:32" s="7" customFormat="1" ht="32.15" customHeight="1" x14ac:dyDescent="0.35">
      <c r="A885" s="26">
        <f t="shared" si="194"/>
        <v>824</v>
      </c>
      <c r="B885" s="32" t="s">
        <v>2355</v>
      </c>
      <c r="C885" s="286" t="s">
        <v>2412</v>
      </c>
      <c r="D885" s="287"/>
      <c r="E885" s="93" t="s">
        <v>2413</v>
      </c>
      <c r="F885" s="24" t="s">
        <v>43</v>
      </c>
      <c r="G885" s="94" t="s">
        <v>2414</v>
      </c>
      <c r="H885" s="4" t="s">
        <v>2360</v>
      </c>
      <c r="I885" s="25" t="s">
        <v>86</v>
      </c>
      <c r="J885" s="72" t="s">
        <v>501</v>
      </c>
      <c r="K885" s="3" t="str">
        <f t="shared" ca="1" si="195"/>
        <v xml:space="preserve">5 Tahun 2 bulan </v>
      </c>
      <c r="L885" s="39" t="s">
        <v>200</v>
      </c>
      <c r="M885" s="72" t="s">
        <v>501</v>
      </c>
      <c r="N885" s="3" t="str">
        <f t="shared" ca="1" si="203"/>
        <v xml:space="preserve">5 Tahun 2 bulan </v>
      </c>
      <c r="O885" s="56"/>
      <c r="P885" s="4" t="s">
        <v>35</v>
      </c>
      <c r="Q885" s="4" t="str">
        <f t="shared" si="197"/>
        <v>Perempuan</v>
      </c>
      <c r="R885" s="4">
        <f t="shared" si="200"/>
        <v>1</v>
      </c>
      <c r="S885" s="4" t="str">
        <f t="shared" si="202"/>
        <v>1</v>
      </c>
      <c r="T885" s="4">
        <f t="shared" si="201"/>
        <v>0</v>
      </c>
      <c r="U885" s="29"/>
      <c r="V885" s="30"/>
      <c r="W885" s="30"/>
      <c r="X885" s="30"/>
      <c r="Y885" s="30"/>
      <c r="Z885" s="30"/>
      <c r="AA885" s="30"/>
      <c r="AB885" s="29"/>
      <c r="AC885" s="29"/>
      <c r="AD885" s="37">
        <f t="shared" si="198"/>
        <v>28494</v>
      </c>
      <c r="AE885" s="3" t="str">
        <f t="shared" ca="1" si="196"/>
        <v>48 Tahun 7 bulan 28 Hari</v>
      </c>
      <c r="AF885" s="38">
        <f t="shared" si="199"/>
        <v>50437</v>
      </c>
    </row>
    <row r="886" spans="1:32" s="7" customFormat="1" ht="32.15" customHeight="1" x14ac:dyDescent="0.35">
      <c r="A886" s="26">
        <f t="shared" si="194"/>
        <v>825</v>
      </c>
      <c r="B886" s="32" t="s">
        <v>2355</v>
      </c>
      <c r="C886" s="26"/>
      <c r="D886" s="129" t="s">
        <v>2415</v>
      </c>
      <c r="E886" s="24" t="s">
        <v>108</v>
      </c>
      <c r="F886" s="24"/>
      <c r="G886" s="114"/>
      <c r="H886" s="98"/>
      <c r="I886" s="25"/>
      <c r="J886" s="124"/>
      <c r="K886" s="3" t="str">
        <f t="shared" ca="1" si="195"/>
        <v/>
      </c>
      <c r="L886" s="25" t="s">
        <v>1749</v>
      </c>
      <c r="M886" s="124"/>
      <c r="N886" s="3" t="str">
        <f t="shared" ca="1" si="203"/>
        <v/>
      </c>
      <c r="O886" s="56"/>
      <c r="P886" s="4"/>
      <c r="Q886" s="4" t="str">
        <f t="shared" si="197"/>
        <v/>
      </c>
      <c r="R886" s="4">
        <f t="shared" si="200"/>
        <v>1</v>
      </c>
      <c r="S886" s="4" t="str">
        <f t="shared" si="202"/>
        <v>0</v>
      </c>
      <c r="T886" s="4">
        <f t="shared" si="201"/>
        <v>1</v>
      </c>
      <c r="U886" s="29"/>
      <c r="V886" s="30"/>
      <c r="W886" s="30"/>
      <c r="X886" s="30"/>
      <c r="Y886" s="30"/>
      <c r="Z886" s="30"/>
      <c r="AA886" s="30"/>
      <c r="AB886" s="29"/>
      <c r="AC886" s="29"/>
      <c r="AD886" s="37" t="str">
        <f t="shared" si="198"/>
        <v/>
      </c>
      <c r="AE886" s="3" t="str">
        <f t="shared" ca="1" si="196"/>
        <v/>
      </c>
      <c r="AF886" s="38" t="str">
        <f t="shared" si="199"/>
        <v/>
      </c>
    </row>
    <row r="887" spans="1:32" s="7" customFormat="1" ht="32.15" customHeight="1" x14ac:dyDescent="0.35">
      <c r="A887" s="26"/>
      <c r="B887" s="27" t="s">
        <v>2416</v>
      </c>
      <c r="C887" s="269" t="s">
        <v>2417</v>
      </c>
      <c r="D887" s="270"/>
      <c r="E887" s="24"/>
      <c r="F887" s="24"/>
      <c r="G887" s="4"/>
      <c r="H887" s="4"/>
      <c r="I887" s="25"/>
      <c r="J887" s="5"/>
      <c r="K887" s="3" t="str">
        <f t="shared" ca="1" si="195"/>
        <v/>
      </c>
      <c r="L887" s="30"/>
      <c r="M887" s="5"/>
      <c r="N887" s="3" t="str">
        <f t="shared" ca="1" si="203"/>
        <v/>
      </c>
      <c r="O887" s="4"/>
      <c r="P887" s="4"/>
      <c r="Q887" s="4"/>
      <c r="R887" s="4"/>
      <c r="S887" s="4"/>
      <c r="T887" s="4"/>
      <c r="U887" s="29"/>
      <c r="V887" s="30"/>
      <c r="W887" s="30"/>
      <c r="X887" s="30"/>
      <c r="Y887" s="30"/>
      <c r="Z887" s="29"/>
      <c r="AA887" s="29"/>
      <c r="AB887" s="29"/>
      <c r="AC887" s="29"/>
      <c r="AD887" s="37" t="str">
        <f t="shared" si="198"/>
        <v/>
      </c>
      <c r="AE887" s="3" t="str">
        <f t="shared" ca="1" si="196"/>
        <v/>
      </c>
      <c r="AF887" s="38" t="str">
        <f t="shared" si="199"/>
        <v/>
      </c>
    </row>
    <row r="888" spans="1:32" s="7" customFormat="1" ht="36" customHeight="1" x14ac:dyDescent="0.35">
      <c r="A888" s="26">
        <f>A886+1</f>
        <v>826</v>
      </c>
      <c r="B888" s="27" t="s">
        <v>2416</v>
      </c>
      <c r="C888" s="288" t="s">
        <v>2418</v>
      </c>
      <c r="D888" s="289"/>
      <c r="E888" s="71" t="s">
        <v>1051</v>
      </c>
      <c r="F888" s="24" t="s">
        <v>43</v>
      </c>
      <c r="G888" s="70" t="s">
        <v>1052</v>
      </c>
      <c r="H888" s="56" t="s">
        <v>159</v>
      </c>
      <c r="I888" s="25" t="s">
        <v>184</v>
      </c>
      <c r="J888" s="110">
        <v>46198</v>
      </c>
      <c r="K888" s="3" t="str">
        <f t="shared" ca="1" si="195"/>
        <v xml:space="preserve">0 Tahun 2 bulan </v>
      </c>
      <c r="L888" s="39" t="s">
        <v>200</v>
      </c>
      <c r="M888" s="109">
        <v>46198</v>
      </c>
      <c r="N888" s="3" t="str">
        <f t="shared" ca="1" si="203"/>
        <v xml:space="preserve">0 Tahun 2 bulan </v>
      </c>
      <c r="O888" s="35"/>
      <c r="P888" s="4" t="s">
        <v>35</v>
      </c>
      <c r="Q888" s="4" t="str">
        <f t="shared" si="197"/>
        <v>Laki-Laki</v>
      </c>
      <c r="R888" s="4">
        <f>R886</f>
        <v>1</v>
      </c>
      <c r="S888" s="4" t="str">
        <f t="shared" ref="S888:S895" si="204">IF(E888="LOWONG","0","1")</f>
        <v>1</v>
      </c>
      <c r="T888" s="4">
        <f t="shared" si="201"/>
        <v>0</v>
      </c>
      <c r="U888" s="29"/>
      <c r="V888" s="30"/>
      <c r="W888" s="30"/>
      <c r="X888" s="30"/>
      <c r="Y888" s="30"/>
      <c r="Z888" s="30"/>
      <c r="AA888" s="30"/>
      <c r="AB888" s="29"/>
      <c r="AC888" s="29"/>
      <c r="AD888" s="37">
        <f t="shared" si="198"/>
        <v>25674</v>
      </c>
      <c r="AE888" s="3" t="str">
        <f t="shared" ca="1" si="196"/>
        <v>56 Tahun 4 bulan 16 Hari</v>
      </c>
      <c r="AF888" s="38">
        <f t="shared" si="199"/>
        <v>47604</v>
      </c>
    </row>
    <row r="889" spans="1:32" s="7" customFormat="1" ht="36" customHeight="1" x14ac:dyDescent="0.35">
      <c r="A889" s="26">
        <f t="shared" si="194"/>
        <v>827</v>
      </c>
      <c r="B889" s="27" t="s">
        <v>2416</v>
      </c>
      <c r="C889" s="26"/>
      <c r="D889" s="137" t="s">
        <v>2422</v>
      </c>
      <c r="E889" s="71" t="s">
        <v>2419</v>
      </c>
      <c r="F889" s="24" t="s">
        <v>43</v>
      </c>
      <c r="G889" s="70" t="s">
        <v>2420</v>
      </c>
      <c r="H889" s="56" t="s">
        <v>2421</v>
      </c>
      <c r="I889" s="25" t="s">
        <v>446</v>
      </c>
      <c r="J889" s="72" t="s">
        <v>2423</v>
      </c>
      <c r="K889" s="3" t="str">
        <f t="shared" ca="1" si="195"/>
        <v xml:space="preserve">4 Tahun 10 bulan </v>
      </c>
      <c r="L889" s="25" t="s">
        <v>1749</v>
      </c>
      <c r="M889" s="72" t="s">
        <v>1754</v>
      </c>
      <c r="N889" s="3" t="str">
        <f t="shared" ca="1" si="203"/>
        <v xml:space="preserve">4 Tahun 10 bulan </v>
      </c>
      <c r="O889" s="35"/>
      <c r="P889" s="4" t="s">
        <v>35</v>
      </c>
      <c r="Q889" s="4" t="str">
        <f t="shared" si="197"/>
        <v>Perempuan</v>
      </c>
      <c r="R889" s="4">
        <f t="shared" si="200"/>
        <v>1</v>
      </c>
      <c r="S889" s="4" t="str">
        <f t="shared" si="204"/>
        <v>1</v>
      </c>
      <c r="T889" s="4">
        <f t="shared" si="201"/>
        <v>0</v>
      </c>
      <c r="U889" s="29"/>
      <c r="V889" s="30"/>
      <c r="W889" s="30"/>
      <c r="X889" s="30"/>
      <c r="Y889" s="30"/>
      <c r="Z889" s="30"/>
      <c r="AA889" s="30"/>
      <c r="AB889" s="29"/>
      <c r="AC889" s="29"/>
      <c r="AD889" s="37">
        <f t="shared" si="198"/>
        <v>28250</v>
      </c>
      <c r="AE889" s="3" t="str">
        <f t="shared" ca="1" si="196"/>
        <v>49 Tahun 3 bulan 27 Hari</v>
      </c>
      <c r="AF889" s="38">
        <f t="shared" si="199"/>
        <v>50192</v>
      </c>
    </row>
    <row r="890" spans="1:32" s="7" customFormat="1" ht="36" customHeight="1" x14ac:dyDescent="0.35">
      <c r="A890" s="26">
        <f t="shared" si="194"/>
        <v>828</v>
      </c>
      <c r="B890" s="27" t="s">
        <v>2416</v>
      </c>
      <c r="C890" s="288" t="s">
        <v>2424</v>
      </c>
      <c r="D890" s="289"/>
      <c r="E890" s="24" t="s">
        <v>2425</v>
      </c>
      <c r="F890" s="24" t="s">
        <v>43</v>
      </c>
      <c r="G890" s="3" t="s">
        <v>2426</v>
      </c>
      <c r="H890" s="56" t="s">
        <v>2427</v>
      </c>
      <c r="I890" s="25" t="s">
        <v>86</v>
      </c>
      <c r="J890" s="110">
        <v>45993</v>
      </c>
      <c r="K890" s="3" t="str">
        <f t="shared" ca="1" si="195"/>
        <v xml:space="preserve">0 Tahun 8 bulan </v>
      </c>
      <c r="L890" s="71" t="s">
        <v>200</v>
      </c>
      <c r="M890" s="109" t="s">
        <v>2428</v>
      </c>
      <c r="N890" s="3" t="str">
        <f t="shared" ca="1" si="203"/>
        <v xml:space="preserve">1 Tahun 8 bulan </v>
      </c>
      <c r="O890" s="56"/>
      <c r="P890" s="4" t="s">
        <v>35</v>
      </c>
      <c r="Q890" s="4" t="str">
        <f t="shared" si="197"/>
        <v>Laki-Laki</v>
      </c>
      <c r="R890" s="4">
        <f t="shared" si="200"/>
        <v>1</v>
      </c>
      <c r="S890" s="4" t="str">
        <f t="shared" si="204"/>
        <v>1</v>
      </c>
      <c r="T890" s="4">
        <f t="shared" si="201"/>
        <v>0</v>
      </c>
      <c r="U890" s="29"/>
      <c r="V890" s="30" t="s">
        <v>50</v>
      </c>
      <c r="W890" s="30"/>
      <c r="X890" s="30"/>
      <c r="Y890" s="30"/>
      <c r="Z890" s="30"/>
      <c r="AA890" s="30"/>
      <c r="AB890" s="29"/>
      <c r="AC890" s="29"/>
      <c r="AD890" s="37">
        <f t="shared" si="198"/>
        <v>25434</v>
      </c>
      <c r="AE890" s="3" t="str">
        <f t="shared" ca="1" si="196"/>
        <v>57 Tahun 0 bulan 13 Hari</v>
      </c>
      <c r="AF890" s="38">
        <f t="shared" si="199"/>
        <v>47362</v>
      </c>
    </row>
    <row r="891" spans="1:32" s="7" customFormat="1" ht="36" customHeight="1" x14ac:dyDescent="0.35">
      <c r="A891" s="26">
        <f t="shared" si="194"/>
        <v>829</v>
      </c>
      <c r="B891" s="27" t="s">
        <v>2416</v>
      </c>
      <c r="C891" s="26"/>
      <c r="D891" s="137" t="s">
        <v>2429</v>
      </c>
      <c r="E891" s="24" t="s">
        <v>108</v>
      </c>
      <c r="F891" s="24"/>
      <c r="G891" s="4"/>
      <c r="H891" s="4"/>
      <c r="I891" s="33"/>
      <c r="J891" s="132"/>
      <c r="K891" s="3" t="str">
        <f t="shared" ca="1" si="195"/>
        <v/>
      </c>
      <c r="L891" s="25" t="s">
        <v>1749</v>
      </c>
      <c r="M891" s="132"/>
      <c r="N891" s="3" t="str">
        <f t="shared" ca="1" si="203"/>
        <v/>
      </c>
      <c r="O891" s="56"/>
      <c r="P891" s="4"/>
      <c r="Q891" s="4" t="str">
        <f t="shared" si="197"/>
        <v/>
      </c>
      <c r="R891" s="4">
        <f t="shared" si="200"/>
        <v>1</v>
      </c>
      <c r="S891" s="4" t="str">
        <f t="shared" si="204"/>
        <v>0</v>
      </c>
      <c r="T891" s="4">
        <f t="shared" si="201"/>
        <v>1</v>
      </c>
      <c r="U891" s="29"/>
      <c r="V891" s="30"/>
      <c r="W891" s="30"/>
      <c r="X891" s="30"/>
      <c r="Y891" s="30"/>
      <c r="Z891" s="30"/>
      <c r="AA891" s="30"/>
      <c r="AB891" s="29"/>
      <c r="AC891" s="29"/>
      <c r="AD891" s="37" t="str">
        <f t="shared" si="198"/>
        <v/>
      </c>
      <c r="AE891" s="3" t="str">
        <f t="shared" ca="1" si="196"/>
        <v/>
      </c>
      <c r="AF891" s="38" t="str">
        <f t="shared" si="199"/>
        <v/>
      </c>
    </row>
    <row r="892" spans="1:32" s="7" customFormat="1" ht="36" customHeight="1" x14ac:dyDescent="0.35">
      <c r="A892" s="26">
        <f t="shared" si="194"/>
        <v>830</v>
      </c>
      <c r="B892" s="27" t="s">
        <v>2416</v>
      </c>
      <c r="C892" s="288" t="s">
        <v>2430</v>
      </c>
      <c r="D892" s="289"/>
      <c r="E892" s="24" t="s">
        <v>2431</v>
      </c>
      <c r="F892" s="24" t="s">
        <v>43</v>
      </c>
      <c r="G892" s="70" t="s">
        <v>2432</v>
      </c>
      <c r="H892" s="56" t="s">
        <v>410</v>
      </c>
      <c r="I892" s="25" t="s">
        <v>67</v>
      </c>
      <c r="J892" s="110">
        <v>45993</v>
      </c>
      <c r="K892" s="3" t="str">
        <f t="shared" ca="1" si="195"/>
        <v xml:space="preserve">0 Tahun 8 bulan </v>
      </c>
      <c r="L892" s="39" t="s">
        <v>200</v>
      </c>
      <c r="M892" s="72" t="s">
        <v>2433</v>
      </c>
      <c r="N892" s="3" t="str">
        <f t="shared" ca="1" si="203"/>
        <v xml:space="preserve">6 Tahun 10 bulan </v>
      </c>
      <c r="O892" s="56"/>
      <c r="P892" s="4" t="s">
        <v>35</v>
      </c>
      <c r="Q892" s="4" t="str">
        <f t="shared" si="197"/>
        <v>Laki-Laki</v>
      </c>
      <c r="R892" s="4">
        <f t="shared" si="200"/>
        <v>1</v>
      </c>
      <c r="S892" s="4" t="str">
        <f t="shared" si="204"/>
        <v>1</v>
      </c>
      <c r="T892" s="4">
        <f t="shared" si="201"/>
        <v>0</v>
      </c>
      <c r="U892" s="29"/>
      <c r="V892" s="30" t="s">
        <v>50</v>
      </c>
      <c r="W892" s="30"/>
      <c r="X892" s="30"/>
      <c r="Y892" s="30"/>
      <c r="Z892" s="30"/>
      <c r="AA892" s="30"/>
      <c r="AB892" s="29"/>
      <c r="AC892" s="29"/>
      <c r="AD892" s="37">
        <f t="shared" si="198"/>
        <v>25991</v>
      </c>
      <c r="AE892" s="3" t="str">
        <f t="shared" ca="1" si="196"/>
        <v>55 Tahun 6 bulan 5 Hari</v>
      </c>
      <c r="AF892" s="38">
        <f t="shared" si="199"/>
        <v>47908</v>
      </c>
    </row>
    <row r="893" spans="1:32" s="7" customFormat="1" ht="36" customHeight="1" x14ac:dyDescent="0.35">
      <c r="A893" s="26">
        <f t="shared" si="194"/>
        <v>831</v>
      </c>
      <c r="B893" s="27" t="s">
        <v>2416</v>
      </c>
      <c r="C893" s="26"/>
      <c r="D893" s="137" t="s">
        <v>2434</v>
      </c>
      <c r="E893" s="71" t="s">
        <v>3019</v>
      </c>
      <c r="F893" s="24" t="s">
        <v>43</v>
      </c>
      <c r="G893" s="70" t="s">
        <v>3020</v>
      </c>
      <c r="H893" s="56" t="s">
        <v>3021</v>
      </c>
      <c r="I893" s="25" t="s">
        <v>3022</v>
      </c>
      <c r="J893" s="109">
        <v>46198</v>
      </c>
      <c r="K893" s="3" t="str">
        <f t="shared" ca="1" si="195"/>
        <v xml:space="preserve">0 Tahun 2 bulan </v>
      </c>
      <c r="L893" s="25" t="s">
        <v>1749</v>
      </c>
      <c r="M893" s="109">
        <v>46198</v>
      </c>
      <c r="N893" s="3" t="str">
        <f t="shared" ca="1" si="203"/>
        <v xml:space="preserve">0 Tahun 2 bulan </v>
      </c>
      <c r="O893" s="35"/>
      <c r="P893" s="4" t="s">
        <v>35</v>
      </c>
      <c r="Q893" s="4" t="str">
        <f t="shared" si="197"/>
        <v>Perempuan</v>
      </c>
      <c r="R893" s="4">
        <f t="shared" si="200"/>
        <v>1</v>
      </c>
      <c r="S893" s="4" t="str">
        <f t="shared" si="204"/>
        <v>1</v>
      </c>
      <c r="T893" s="4">
        <f t="shared" si="201"/>
        <v>0</v>
      </c>
      <c r="U893" s="29"/>
      <c r="V893" s="30" t="s">
        <v>50</v>
      </c>
      <c r="W893" s="30"/>
      <c r="X893" s="30"/>
      <c r="Y893" s="30"/>
      <c r="Z893" s="30"/>
      <c r="AA893" s="30"/>
      <c r="AB893" s="29"/>
      <c r="AC893" s="29"/>
      <c r="AD893" s="37">
        <f t="shared" si="198"/>
        <v>31320</v>
      </c>
      <c r="AE893" s="3" t="str">
        <f t="shared" ca="1" si="196"/>
        <v>40 Tahun 11 bulan 2 Hari</v>
      </c>
      <c r="AF893" s="38">
        <f t="shared" si="199"/>
        <v>53236</v>
      </c>
    </row>
    <row r="894" spans="1:32" s="7" customFormat="1" ht="38.25" customHeight="1" x14ac:dyDescent="0.35">
      <c r="A894" s="26">
        <f t="shared" si="194"/>
        <v>832</v>
      </c>
      <c r="B894" s="27" t="s">
        <v>2416</v>
      </c>
      <c r="C894" s="288" t="s">
        <v>2435</v>
      </c>
      <c r="D894" s="289"/>
      <c r="E894" s="71" t="s">
        <v>108</v>
      </c>
      <c r="F894" s="71"/>
      <c r="G894" s="70"/>
      <c r="H894" s="56"/>
      <c r="I894" s="25"/>
      <c r="J894" s="132"/>
      <c r="K894" s="3" t="str">
        <f t="shared" ca="1" si="195"/>
        <v/>
      </c>
      <c r="L894" s="39" t="s">
        <v>200</v>
      </c>
      <c r="M894" s="132"/>
      <c r="N894" s="3" t="str">
        <f t="shared" ca="1" si="203"/>
        <v/>
      </c>
      <c r="O894" s="56"/>
      <c r="P894" s="4"/>
      <c r="Q894" s="4" t="str">
        <f t="shared" si="197"/>
        <v/>
      </c>
      <c r="R894" s="4">
        <f t="shared" si="200"/>
        <v>1</v>
      </c>
      <c r="S894" s="4" t="str">
        <f t="shared" si="204"/>
        <v>0</v>
      </c>
      <c r="T894" s="4">
        <f t="shared" si="201"/>
        <v>1</v>
      </c>
      <c r="U894" s="29"/>
      <c r="V894" s="30"/>
      <c r="W894" s="30"/>
      <c r="X894" s="30"/>
      <c r="Y894" s="30"/>
      <c r="Z894" s="30"/>
      <c r="AA894" s="30"/>
      <c r="AB894" s="29"/>
      <c r="AC894" s="29"/>
      <c r="AD894" s="37" t="str">
        <f t="shared" si="198"/>
        <v/>
      </c>
      <c r="AE894" s="3" t="str">
        <f t="shared" ca="1" si="196"/>
        <v/>
      </c>
      <c r="AF894" s="38" t="str">
        <f t="shared" si="199"/>
        <v/>
      </c>
    </row>
    <row r="895" spans="1:32" s="7" customFormat="1" ht="34.5" customHeight="1" x14ac:dyDescent="0.35">
      <c r="A895" s="26">
        <f t="shared" si="194"/>
        <v>833</v>
      </c>
      <c r="B895" s="27" t="s">
        <v>2416</v>
      </c>
      <c r="C895" s="26"/>
      <c r="D895" s="137" t="s">
        <v>2436</v>
      </c>
      <c r="E895" s="71" t="s">
        <v>108</v>
      </c>
      <c r="F895" s="71"/>
      <c r="G895" s="70"/>
      <c r="H895" s="56"/>
      <c r="I895" s="25"/>
      <c r="J895" s="132"/>
      <c r="K895" s="3" t="str">
        <f t="shared" ca="1" si="195"/>
        <v/>
      </c>
      <c r="L895" s="25" t="s">
        <v>1749</v>
      </c>
      <c r="M895" s="132"/>
      <c r="N895" s="3" t="str">
        <f t="shared" ca="1" si="203"/>
        <v/>
      </c>
      <c r="O895" s="56"/>
      <c r="P895" s="4"/>
      <c r="Q895" s="4" t="str">
        <f t="shared" si="197"/>
        <v/>
      </c>
      <c r="R895" s="4">
        <f t="shared" si="200"/>
        <v>1</v>
      </c>
      <c r="S895" s="4" t="str">
        <f t="shared" si="204"/>
        <v>0</v>
      </c>
      <c r="T895" s="4">
        <f t="shared" si="201"/>
        <v>1</v>
      </c>
      <c r="U895" s="29"/>
      <c r="V895" s="30"/>
      <c r="W895" s="30"/>
      <c r="X895" s="30"/>
      <c r="Y895" s="30"/>
      <c r="Z895" s="30"/>
      <c r="AA895" s="30"/>
      <c r="AB895" s="29"/>
      <c r="AC895" s="29"/>
      <c r="AD895" s="37" t="str">
        <f t="shared" si="198"/>
        <v/>
      </c>
      <c r="AE895" s="3" t="str">
        <f t="shared" ca="1" si="196"/>
        <v/>
      </c>
      <c r="AF895" s="38" t="str">
        <f t="shared" si="199"/>
        <v/>
      </c>
    </row>
    <row r="896" spans="1:32" s="7" customFormat="1" ht="32.15" customHeight="1" x14ac:dyDescent="0.35">
      <c r="A896" s="26"/>
      <c r="B896" s="32" t="s">
        <v>2437</v>
      </c>
      <c r="C896" s="280" t="s">
        <v>2438</v>
      </c>
      <c r="D896" s="281"/>
      <c r="E896" s="24"/>
      <c r="F896" s="24"/>
      <c r="G896" s="4"/>
      <c r="H896" s="4"/>
      <c r="I896" s="33"/>
      <c r="J896" s="5"/>
      <c r="K896" s="3" t="str">
        <f t="shared" ca="1" si="195"/>
        <v/>
      </c>
      <c r="L896" s="30"/>
      <c r="M896" s="5"/>
      <c r="N896" s="3" t="str">
        <f t="shared" ca="1" si="203"/>
        <v/>
      </c>
      <c r="O896" s="4"/>
      <c r="P896" s="4"/>
      <c r="Q896" s="4"/>
      <c r="R896" s="4"/>
      <c r="S896" s="4"/>
      <c r="T896" s="4"/>
      <c r="U896" s="29"/>
      <c r="V896" s="30"/>
      <c r="W896" s="30"/>
      <c r="X896" s="30"/>
      <c r="Y896" s="30"/>
      <c r="Z896" s="29"/>
      <c r="AA896" s="29"/>
      <c r="AB896" s="29"/>
      <c r="AC896" s="29"/>
      <c r="AD896" s="37" t="str">
        <f t="shared" si="198"/>
        <v/>
      </c>
      <c r="AE896" s="3" t="str">
        <f t="shared" ca="1" si="196"/>
        <v/>
      </c>
      <c r="AF896" s="38" t="str">
        <f t="shared" si="199"/>
        <v/>
      </c>
    </row>
    <row r="897" spans="1:32" s="7" customFormat="1" ht="32.15" customHeight="1" x14ac:dyDescent="0.35">
      <c r="A897" s="26">
        <f>A895+1</f>
        <v>834</v>
      </c>
      <c r="B897" s="32" t="s">
        <v>2437</v>
      </c>
      <c r="C897" s="288" t="s">
        <v>2439</v>
      </c>
      <c r="D897" s="289"/>
      <c r="E897" s="51" t="s">
        <v>2440</v>
      </c>
      <c r="F897" s="24" t="s">
        <v>43</v>
      </c>
      <c r="G897" s="52" t="s">
        <v>2441</v>
      </c>
      <c r="H897" s="4" t="s">
        <v>385</v>
      </c>
      <c r="I897" s="33" t="s">
        <v>46</v>
      </c>
      <c r="J897" s="47" t="s">
        <v>338</v>
      </c>
      <c r="K897" s="3" t="str">
        <f t="shared" ca="1" si="195"/>
        <v xml:space="preserve">2 Tahun 11 bulan </v>
      </c>
      <c r="L897" s="71" t="s">
        <v>200</v>
      </c>
      <c r="M897" s="47" t="s">
        <v>338</v>
      </c>
      <c r="N897" s="3" t="str">
        <f t="shared" ca="1" si="203"/>
        <v xml:space="preserve">2 Tahun 11 bulan </v>
      </c>
      <c r="O897" s="56"/>
      <c r="P897" s="4" t="s">
        <v>35</v>
      </c>
      <c r="Q897" s="4" t="str">
        <f t="shared" si="197"/>
        <v>Perempuan</v>
      </c>
      <c r="R897" s="4">
        <f>R895</f>
        <v>1</v>
      </c>
      <c r="S897" s="4" t="str">
        <f>IF(E897="LOWONG","0","1")</f>
        <v>1</v>
      </c>
      <c r="T897" s="4">
        <f t="shared" si="201"/>
        <v>0</v>
      </c>
      <c r="U897" s="29"/>
      <c r="V897" s="30"/>
      <c r="W897" s="30"/>
      <c r="X897" s="30"/>
      <c r="Y897" s="30"/>
      <c r="Z897" s="30"/>
      <c r="AA897" s="30"/>
      <c r="AB897" s="29"/>
      <c r="AC897" s="29"/>
      <c r="AD897" s="37">
        <f t="shared" si="198"/>
        <v>27961</v>
      </c>
      <c r="AE897" s="3" t="str">
        <f t="shared" ca="1" si="196"/>
        <v>50 Tahun 1 bulan 12 Hari</v>
      </c>
      <c r="AF897" s="38">
        <f t="shared" si="199"/>
        <v>49888</v>
      </c>
    </row>
    <row r="898" spans="1:32" s="7" customFormat="1" ht="32.15" customHeight="1" x14ac:dyDescent="0.35">
      <c r="A898" s="26">
        <f t="shared" si="194"/>
        <v>835</v>
      </c>
      <c r="B898" s="4" t="s">
        <v>2437</v>
      </c>
      <c r="C898" s="26"/>
      <c r="D898" s="137" t="s">
        <v>2442</v>
      </c>
      <c r="E898" s="24" t="s">
        <v>108</v>
      </c>
      <c r="F898" s="24"/>
      <c r="G898" s="70"/>
      <c r="H898" s="56"/>
      <c r="I898" s="56"/>
      <c r="J898" s="47"/>
      <c r="K898" s="3" t="str">
        <f t="shared" ca="1" si="195"/>
        <v/>
      </c>
      <c r="L898" s="56" t="s">
        <v>1749</v>
      </c>
      <c r="M898" s="47"/>
      <c r="N898" s="3" t="str">
        <f t="shared" ca="1" si="203"/>
        <v/>
      </c>
      <c r="O898" s="56"/>
      <c r="P898" s="4"/>
      <c r="Q898" s="4" t="str">
        <f t="shared" si="197"/>
        <v/>
      </c>
      <c r="R898" s="4">
        <f t="shared" si="200"/>
        <v>1</v>
      </c>
      <c r="S898" s="4" t="str">
        <f>IF(E898="LOWONG","0","1")</f>
        <v>0</v>
      </c>
      <c r="T898" s="4">
        <f t="shared" si="201"/>
        <v>1</v>
      </c>
      <c r="U898" s="29"/>
      <c r="V898" s="30" t="s">
        <v>50</v>
      </c>
      <c r="W898" s="30"/>
      <c r="X898" s="30"/>
      <c r="Y898" s="30"/>
      <c r="Z898" s="30"/>
      <c r="AA898" s="30"/>
      <c r="AB898" s="29"/>
      <c r="AC898" s="29"/>
      <c r="AD898" s="37" t="str">
        <f t="shared" si="198"/>
        <v/>
      </c>
      <c r="AE898" s="3" t="str">
        <f t="shared" ca="1" si="196"/>
        <v/>
      </c>
      <c r="AF898" s="38" t="str">
        <f t="shared" si="199"/>
        <v/>
      </c>
    </row>
    <row r="899" spans="1:32" s="7" customFormat="1" ht="32.15" customHeight="1" x14ac:dyDescent="0.35">
      <c r="A899" s="26">
        <f t="shared" ref="A899:A962" si="205">A898+1</f>
        <v>836</v>
      </c>
      <c r="B899" s="32" t="s">
        <v>2437</v>
      </c>
      <c r="C899" s="288" t="s">
        <v>2443</v>
      </c>
      <c r="D899" s="289"/>
      <c r="E899" s="24" t="s">
        <v>2444</v>
      </c>
      <c r="F899" s="24" t="s">
        <v>43</v>
      </c>
      <c r="G899" s="4" t="s">
        <v>2445</v>
      </c>
      <c r="H899" s="69" t="s">
        <v>414</v>
      </c>
      <c r="I899" s="69" t="s">
        <v>184</v>
      </c>
      <c r="J899" s="110" t="s">
        <v>206</v>
      </c>
      <c r="K899" s="3" t="str">
        <f t="shared" ca="1" si="195"/>
        <v xml:space="preserve">3 Tahun 10 bulan </v>
      </c>
      <c r="L899" s="71" t="s">
        <v>200</v>
      </c>
      <c r="M899" s="110" t="s">
        <v>206</v>
      </c>
      <c r="N899" s="3" t="str">
        <f t="shared" ca="1" si="203"/>
        <v xml:space="preserve">3 Tahun 10 bulan </v>
      </c>
      <c r="O899" s="35"/>
      <c r="P899" s="4" t="s">
        <v>35</v>
      </c>
      <c r="Q899" s="4" t="str">
        <f t="shared" si="197"/>
        <v>Laki-Laki</v>
      </c>
      <c r="R899" s="4">
        <f t="shared" si="200"/>
        <v>1</v>
      </c>
      <c r="S899" s="4" t="str">
        <f>IF(E899="LOWONG","0","1")</f>
        <v>1</v>
      </c>
      <c r="T899" s="4">
        <f t="shared" si="201"/>
        <v>0</v>
      </c>
      <c r="U899" s="29"/>
      <c r="V899" s="30" t="s">
        <v>50</v>
      </c>
      <c r="W899" s="30"/>
      <c r="X899" s="30"/>
      <c r="Y899" s="30"/>
      <c r="Z899" s="30"/>
      <c r="AA899" s="30"/>
      <c r="AB899" s="29"/>
      <c r="AC899" s="29"/>
      <c r="AD899" s="37">
        <f t="shared" si="198"/>
        <v>30077</v>
      </c>
      <c r="AE899" s="3" t="str">
        <f t="shared" ca="1" si="196"/>
        <v>44 Tahun 3 bulan 26 Hari</v>
      </c>
      <c r="AF899" s="38">
        <f t="shared" si="199"/>
        <v>52018</v>
      </c>
    </row>
    <row r="900" spans="1:32" s="7" customFormat="1" ht="32.15" customHeight="1" x14ac:dyDescent="0.35">
      <c r="A900" s="26">
        <f t="shared" si="205"/>
        <v>837</v>
      </c>
      <c r="B900" s="4" t="s">
        <v>2437</v>
      </c>
      <c r="C900" s="26"/>
      <c r="D900" s="137" t="s">
        <v>2446</v>
      </c>
      <c r="E900" s="24" t="s">
        <v>108</v>
      </c>
      <c r="F900" s="24"/>
      <c r="G900" s="70"/>
      <c r="H900" s="56"/>
      <c r="I900" s="25"/>
      <c r="J900" s="132"/>
      <c r="K900" s="3" t="str">
        <f t="shared" ca="1" si="195"/>
        <v/>
      </c>
      <c r="L900" s="25" t="s">
        <v>1749</v>
      </c>
      <c r="M900" s="132"/>
      <c r="N900" s="3" t="str">
        <f t="shared" ca="1" si="203"/>
        <v/>
      </c>
      <c r="O900" s="56"/>
      <c r="P900" s="4"/>
      <c r="Q900" s="4" t="str">
        <f t="shared" si="197"/>
        <v/>
      </c>
      <c r="R900" s="4">
        <f t="shared" si="200"/>
        <v>1</v>
      </c>
      <c r="S900" s="4" t="str">
        <f>IF(E900="LOWONG","0","1")</f>
        <v>0</v>
      </c>
      <c r="T900" s="4">
        <f t="shared" si="201"/>
        <v>1</v>
      </c>
      <c r="U900" s="29"/>
      <c r="V900" s="30"/>
      <c r="W900" s="30"/>
      <c r="X900" s="30"/>
      <c r="Y900" s="30"/>
      <c r="Z900" s="30"/>
      <c r="AA900" s="30"/>
      <c r="AB900" s="29"/>
      <c r="AC900" s="29"/>
      <c r="AD900" s="37" t="str">
        <f t="shared" si="198"/>
        <v/>
      </c>
      <c r="AE900" s="3" t="str">
        <f t="shared" ca="1" si="196"/>
        <v/>
      </c>
      <c r="AF900" s="38" t="str">
        <f t="shared" si="199"/>
        <v/>
      </c>
    </row>
    <row r="901" spans="1:32" s="7" customFormat="1" ht="32.15" customHeight="1" x14ac:dyDescent="0.35">
      <c r="A901" s="26"/>
      <c r="B901" s="27" t="s">
        <v>2447</v>
      </c>
      <c r="C901" s="280" t="s">
        <v>2448</v>
      </c>
      <c r="D901" s="281"/>
      <c r="E901" s="24"/>
      <c r="F901" s="24"/>
      <c r="G901" s="4"/>
      <c r="H901" s="4"/>
      <c r="I901" s="33"/>
      <c r="J901" s="5"/>
      <c r="K901" s="3" t="str">
        <f t="shared" ca="1" si="195"/>
        <v/>
      </c>
      <c r="L901" s="30"/>
      <c r="M901" s="5"/>
      <c r="N901" s="3" t="str">
        <f t="shared" ca="1" si="203"/>
        <v/>
      </c>
      <c r="O901" s="4"/>
      <c r="P901" s="4"/>
      <c r="Q901" s="4"/>
      <c r="R901" s="4"/>
      <c r="S901" s="4"/>
      <c r="T901" s="4"/>
      <c r="U901" s="29"/>
      <c r="V901" s="30"/>
      <c r="W901" s="30"/>
      <c r="X901" s="30"/>
      <c r="Y901" s="30"/>
      <c r="Z901" s="29"/>
      <c r="AA901" s="29"/>
      <c r="AB901" s="29"/>
      <c r="AC901" s="29"/>
      <c r="AD901" s="37" t="str">
        <f t="shared" si="198"/>
        <v/>
      </c>
      <c r="AE901" s="3" t="str">
        <f t="shared" ca="1" si="196"/>
        <v/>
      </c>
      <c r="AF901" s="38" t="str">
        <f t="shared" si="199"/>
        <v/>
      </c>
    </row>
    <row r="902" spans="1:32" s="7" customFormat="1" ht="32.15" customHeight="1" x14ac:dyDescent="0.35">
      <c r="A902" s="26">
        <f>A900+1</f>
        <v>838</v>
      </c>
      <c r="B902" s="32" t="s">
        <v>2447</v>
      </c>
      <c r="C902" s="288" t="s">
        <v>2449</v>
      </c>
      <c r="D902" s="289"/>
      <c r="E902" s="71" t="s">
        <v>3103</v>
      </c>
      <c r="F902" s="71" t="s">
        <v>43</v>
      </c>
      <c r="G902" s="56" t="s">
        <v>3104</v>
      </c>
      <c r="H902" s="56" t="s">
        <v>3105</v>
      </c>
      <c r="I902" s="69"/>
      <c r="J902" s="109">
        <v>46260</v>
      </c>
      <c r="K902" s="3" t="str">
        <f t="shared" ca="1" si="195"/>
        <v xml:space="preserve">0 Tahun 0 bulan </v>
      </c>
      <c r="L902" s="25" t="s">
        <v>2452</v>
      </c>
      <c r="M902" s="109">
        <v>46260</v>
      </c>
      <c r="N902" s="3" t="str">
        <f t="shared" ca="1" si="203"/>
        <v xml:space="preserve">0 Tahun 0 bulan </v>
      </c>
      <c r="O902" s="35"/>
      <c r="P902" s="4" t="s">
        <v>35</v>
      </c>
      <c r="Q902" s="4" t="str">
        <f t="shared" si="197"/>
        <v>Perempuan</v>
      </c>
      <c r="R902" s="4">
        <f>R900</f>
        <v>1</v>
      </c>
      <c r="S902" s="4" t="str">
        <f t="shared" ref="S902:S953" si="206">IF(E902="LOWONG","0","1")</f>
        <v>1</v>
      </c>
      <c r="T902" s="4">
        <f t="shared" si="201"/>
        <v>0</v>
      </c>
      <c r="U902" s="29"/>
      <c r="V902" s="30"/>
      <c r="W902" s="30"/>
      <c r="X902" s="30"/>
      <c r="Y902" s="30"/>
      <c r="Z902" s="30"/>
      <c r="AA902" s="30"/>
      <c r="AB902" s="29"/>
      <c r="AC902" s="29"/>
      <c r="AD902" s="37">
        <f t="shared" si="198"/>
        <v>25698</v>
      </c>
      <c r="AE902" s="3" t="str">
        <f t="shared" ca="1" si="196"/>
        <v>56 Tahun 3 bulan 22 Hari</v>
      </c>
      <c r="AF902" s="38">
        <f t="shared" si="199"/>
        <v>47635</v>
      </c>
    </row>
    <row r="903" spans="1:32" s="7" customFormat="1" ht="32.15" customHeight="1" x14ac:dyDescent="0.35">
      <c r="A903" s="26">
        <f t="shared" si="205"/>
        <v>839</v>
      </c>
      <c r="B903" s="4" t="s">
        <v>2447</v>
      </c>
      <c r="C903" s="26"/>
      <c r="D903" s="111" t="s">
        <v>2453</v>
      </c>
      <c r="E903" s="24" t="s">
        <v>2454</v>
      </c>
      <c r="F903" s="24" t="s">
        <v>43</v>
      </c>
      <c r="G903" s="4" t="s">
        <v>2455</v>
      </c>
      <c r="H903" s="69" t="s">
        <v>2456</v>
      </c>
      <c r="I903" s="69" t="s">
        <v>2457</v>
      </c>
      <c r="J903" s="138" t="s">
        <v>2458</v>
      </c>
      <c r="K903" s="3" t="str">
        <f t="shared" ref="K903:K966" ca="1" si="207">IF(J903="","",CONCATENATE(DATEDIF(J903,NOW(),"Y")," Tahun ",DATEDIF(J903,NOW(),"YM")," bulan "))</f>
        <v xml:space="preserve">7 Tahun 3 bulan </v>
      </c>
      <c r="L903" s="56" t="s">
        <v>1749</v>
      </c>
      <c r="M903" s="138" t="s">
        <v>2458</v>
      </c>
      <c r="N903" s="3" t="str">
        <f t="shared" ca="1" si="203"/>
        <v xml:space="preserve">7 Tahun 3 bulan </v>
      </c>
      <c r="O903" s="35"/>
      <c r="P903" s="4" t="s">
        <v>35</v>
      </c>
      <c r="Q903" s="4" t="str">
        <f t="shared" si="197"/>
        <v>Perempuan</v>
      </c>
      <c r="R903" s="4">
        <f t="shared" si="200"/>
        <v>1</v>
      </c>
      <c r="S903" s="4" t="str">
        <f t="shared" si="206"/>
        <v>1</v>
      </c>
      <c r="T903" s="4">
        <f t="shared" si="201"/>
        <v>0</v>
      </c>
      <c r="U903" s="29"/>
      <c r="V903" s="30"/>
      <c r="W903" s="30"/>
      <c r="X903" s="30"/>
      <c r="Y903" s="30"/>
      <c r="Z903" s="30"/>
      <c r="AA903" s="30"/>
      <c r="AB903" s="29"/>
      <c r="AC903" s="29"/>
      <c r="AD903" s="37">
        <f t="shared" si="198"/>
        <v>27984</v>
      </c>
      <c r="AE903" s="3" t="str">
        <f t="shared" ref="AE903:AE966" ca="1" si="208">IF(TRIM(AD903)="", "", CONCATENATE(DATEDIF(AD903,NOW(),"Y")," Tahun ",DATEDIF(AD903,NOW(),"YM")," bulan ",DATEDIF(AD903,NOW(),"MD")," Hari"))</f>
        <v>50 Tahun 0 bulan 20 Hari</v>
      </c>
      <c r="AF903" s="38">
        <f t="shared" si="199"/>
        <v>49919</v>
      </c>
    </row>
    <row r="904" spans="1:32" s="7" customFormat="1" ht="32.15" customHeight="1" x14ac:dyDescent="0.35">
      <c r="A904" s="26">
        <f t="shared" si="205"/>
        <v>840</v>
      </c>
      <c r="B904" s="32" t="s">
        <v>2447</v>
      </c>
      <c r="C904" s="288" t="s">
        <v>2459</v>
      </c>
      <c r="D904" s="289"/>
      <c r="E904" s="24" t="s">
        <v>2460</v>
      </c>
      <c r="F904" s="71" t="s">
        <v>43</v>
      </c>
      <c r="G904" s="3" t="s">
        <v>2461</v>
      </c>
      <c r="H904" s="56" t="s">
        <v>2462</v>
      </c>
      <c r="I904" s="4" t="s">
        <v>2463</v>
      </c>
      <c r="J904" s="72" t="s">
        <v>338</v>
      </c>
      <c r="K904" s="3" t="str">
        <f t="shared" ca="1" si="207"/>
        <v xml:space="preserve">2 Tahun 11 bulan </v>
      </c>
      <c r="L904" s="25" t="s">
        <v>2452</v>
      </c>
      <c r="M904" s="72" t="s">
        <v>338</v>
      </c>
      <c r="N904" s="3" t="str">
        <f t="shared" ca="1" si="203"/>
        <v xml:space="preserve">2 Tahun 11 bulan </v>
      </c>
      <c r="O904" s="35"/>
      <c r="P904" s="4" t="s">
        <v>35</v>
      </c>
      <c r="Q904" s="4" t="str">
        <f t="shared" ref="Q904:Q967" si="209">CONCATENATE(IF(MID(G904,17,1)="1","Laki-Laki",IF(MID(G904,17,1)="2","Perempuan",)))</f>
        <v>Laki-Laki</v>
      </c>
      <c r="R904" s="4">
        <f t="shared" si="200"/>
        <v>1</v>
      </c>
      <c r="S904" s="4" t="str">
        <f t="shared" si="206"/>
        <v>1</v>
      </c>
      <c r="T904" s="4">
        <f t="shared" si="201"/>
        <v>0</v>
      </c>
      <c r="U904" s="29"/>
      <c r="V904" s="30" t="s">
        <v>50</v>
      </c>
      <c r="W904" s="30"/>
      <c r="X904" s="30"/>
      <c r="Y904" s="30"/>
      <c r="Z904" s="30"/>
      <c r="AA904" s="30"/>
      <c r="AB904" s="29"/>
      <c r="AC904" s="29"/>
      <c r="AD904" s="37">
        <f t="shared" ref="AD904:AD967" si="210">IF(TRIM(G904)="", "", DATE(LEFT(G904,4),MID(G904,5,2),MID(G904,7,2)))</f>
        <v>32010</v>
      </c>
      <c r="AE904" s="3" t="str">
        <f t="shared" ca="1" si="208"/>
        <v>39 Tahun 0 bulan 11 Hari</v>
      </c>
      <c r="AF904" s="38">
        <f t="shared" ref="AF904:AF967" si="211">IF(TRIM(AD904)="","",DATE(YEAR(AD904)+60,MONTH(AD904)+1,1))</f>
        <v>53936</v>
      </c>
    </row>
    <row r="905" spans="1:32" s="7" customFormat="1" ht="32.15" customHeight="1" x14ac:dyDescent="0.35">
      <c r="A905" s="26">
        <f t="shared" si="205"/>
        <v>841</v>
      </c>
      <c r="B905" s="4" t="s">
        <v>2447</v>
      </c>
      <c r="C905" s="26"/>
      <c r="D905" s="111" t="s">
        <v>2464</v>
      </c>
      <c r="E905" s="24" t="s">
        <v>2465</v>
      </c>
      <c r="F905" s="24" t="s">
        <v>43</v>
      </c>
      <c r="G905" s="3" t="s">
        <v>2466</v>
      </c>
      <c r="H905" s="69" t="s">
        <v>2456</v>
      </c>
      <c r="I905" s="4" t="s">
        <v>1736</v>
      </c>
      <c r="J905" s="72" t="s">
        <v>338</v>
      </c>
      <c r="K905" s="3" t="str">
        <f t="shared" ca="1" si="207"/>
        <v xml:space="preserve">2 Tahun 11 bulan </v>
      </c>
      <c r="L905" s="56" t="s">
        <v>1749</v>
      </c>
      <c r="M905" s="72" t="s">
        <v>338</v>
      </c>
      <c r="N905" s="3" t="str">
        <f t="shared" ca="1" si="203"/>
        <v xml:space="preserve">2 Tahun 11 bulan </v>
      </c>
      <c r="O905" s="35"/>
      <c r="P905" s="4" t="s">
        <v>35</v>
      </c>
      <c r="Q905" s="4" t="str">
        <f t="shared" si="209"/>
        <v>Perempuan</v>
      </c>
      <c r="R905" s="4">
        <f t="shared" ref="R905:R968" si="212">R904</f>
        <v>1</v>
      </c>
      <c r="S905" s="4" t="str">
        <f t="shared" si="206"/>
        <v>1</v>
      </c>
      <c r="T905" s="4">
        <f t="shared" si="201"/>
        <v>0</v>
      </c>
      <c r="U905" s="29"/>
      <c r="V905" s="30"/>
      <c r="W905" s="30"/>
      <c r="X905" s="30"/>
      <c r="Y905" s="30"/>
      <c r="Z905" s="30"/>
      <c r="AA905" s="30"/>
      <c r="AB905" s="29"/>
      <c r="AC905" s="29"/>
      <c r="AD905" s="37">
        <f t="shared" si="210"/>
        <v>29989</v>
      </c>
      <c r="AE905" s="3" t="str">
        <f t="shared" ca="1" si="208"/>
        <v>44 Tahun 6 bulan 25 Hari</v>
      </c>
      <c r="AF905" s="38">
        <f t="shared" si="211"/>
        <v>51926</v>
      </c>
    </row>
    <row r="906" spans="1:32" s="7" customFormat="1" ht="32.15" customHeight="1" x14ac:dyDescent="0.35">
      <c r="A906" s="26">
        <f t="shared" si="205"/>
        <v>842</v>
      </c>
      <c r="B906" s="32" t="s">
        <v>2447</v>
      </c>
      <c r="C906" s="288" t="s">
        <v>2467</v>
      </c>
      <c r="D906" s="289"/>
      <c r="E906" s="71" t="s">
        <v>3123</v>
      </c>
      <c r="F906" s="71" t="s">
        <v>43</v>
      </c>
      <c r="G906" s="43" t="s">
        <v>2497</v>
      </c>
      <c r="H906" s="56" t="s">
        <v>988</v>
      </c>
      <c r="I906" s="56"/>
      <c r="J906" s="213">
        <v>46260</v>
      </c>
      <c r="K906" s="3" t="str">
        <f t="shared" ca="1" si="207"/>
        <v xml:space="preserve">0 Tahun 0 bulan </v>
      </c>
      <c r="L906" s="25" t="s">
        <v>2452</v>
      </c>
      <c r="M906" s="213">
        <v>46260</v>
      </c>
      <c r="N906" s="3" t="str">
        <f t="shared" ca="1" si="203"/>
        <v xml:space="preserve">0 Tahun 0 bulan </v>
      </c>
      <c r="O906" s="35"/>
      <c r="P906" s="4" t="s">
        <v>35</v>
      </c>
      <c r="Q906" s="4" t="str">
        <f t="shared" si="209"/>
        <v>Laki-Laki</v>
      </c>
      <c r="R906" s="4">
        <f t="shared" si="212"/>
        <v>1</v>
      </c>
      <c r="S906" s="4" t="str">
        <f t="shared" si="206"/>
        <v>1</v>
      </c>
      <c r="T906" s="4">
        <f t="shared" si="201"/>
        <v>0</v>
      </c>
      <c r="U906" s="29"/>
      <c r="V906" s="30" t="s">
        <v>50</v>
      </c>
      <c r="W906" s="30"/>
      <c r="X906" s="30"/>
      <c r="Y906" s="30"/>
      <c r="Z906" s="30"/>
      <c r="AA906" s="30"/>
      <c r="AB906" s="29"/>
      <c r="AC906" s="29"/>
      <c r="AD906" s="37">
        <f t="shared" si="210"/>
        <v>26991</v>
      </c>
      <c r="AE906" s="3" t="str">
        <f t="shared" ca="1" si="208"/>
        <v>52 Tahun 9 bulan 9 Hari</v>
      </c>
      <c r="AF906" s="38">
        <f t="shared" si="211"/>
        <v>48914</v>
      </c>
    </row>
    <row r="907" spans="1:32" s="7" customFormat="1" ht="32.15" customHeight="1" x14ac:dyDescent="0.35">
      <c r="A907" s="26">
        <f t="shared" si="205"/>
        <v>843</v>
      </c>
      <c r="B907" s="4" t="s">
        <v>2447</v>
      </c>
      <c r="C907" s="26"/>
      <c r="D907" s="111" t="s">
        <v>2470</v>
      </c>
      <c r="E907" s="71" t="s">
        <v>2471</v>
      </c>
      <c r="F907" s="24" t="s">
        <v>43</v>
      </c>
      <c r="G907" s="43" t="s">
        <v>2472</v>
      </c>
      <c r="H907" s="56" t="s">
        <v>2469</v>
      </c>
      <c r="I907" s="56" t="s">
        <v>2473</v>
      </c>
      <c r="J907" s="72" t="s">
        <v>338</v>
      </c>
      <c r="K907" s="3" t="str">
        <f t="shared" ca="1" si="207"/>
        <v xml:space="preserve">2 Tahun 11 bulan </v>
      </c>
      <c r="L907" s="56" t="s">
        <v>1749</v>
      </c>
      <c r="M907" s="72" t="s">
        <v>338</v>
      </c>
      <c r="N907" s="3" t="str">
        <f t="shared" ca="1" si="203"/>
        <v xml:space="preserve">2 Tahun 11 bulan </v>
      </c>
      <c r="O907" s="35"/>
      <c r="P907" s="4" t="s">
        <v>35</v>
      </c>
      <c r="Q907" s="4" t="str">
        <f t="shared" si="209"/>
        <v>Perempuan</v>
      </c>
      <c r="R907" s="4">
        <f t="shared" si="212"/>
        <v>1</v>
      </c>
      <c r="S907" s="4" t="str">
        <f t="shared" si="206"/>
        <v>1</v>
      </c>
      <c r="T907" s="4">
        <f t="shared" si="201"/>
        <v>0</v>
      </c>
      <c r="U907" s="29"/>
      <c r="V907" s="30"/>
      <c r="W907" s="30"/>
      <c r="X907" s="30"/>
      <c r="Y907" s="30"/>
      <c r="Z907" s="30"/>
      <c r="AA907" s="30"/>
      <c r="AB907" s="29"/>
      <c r="AC907" s="29"/>
      <c r="AD907" s="37">
        <f t="shared" si="210"/>
        <v>26423</v>
      </c>
      <c r="AE907" s="3" t="str">
        <f t="shared" ca="1" si="208"/>
        <v>54 Tahun 3 bulan 28 Hari</v>
      </c>
      <c r="AF907" s="38">
        <f t="shared" si="211"/>
        <v>48366</v>
      </c>
    </row>
    <row r="908" spans="1:32" s="7" customFormat="1" ht="32.15" customHeight="1" x14ac:dyDescent="0.35">
      <c r="A908" s="26">
        <f t="shared" si="205"/>
        <v>844</v>
      </c>
      <c r="B908" s="32" t="s">
        <v>2447</v>
      </c>
      <c r="C908" s="288" t="s">
        <v>2474</v>
      </c>
      <c r="D908" s="289"/>
      <c r="E908" s="71" t="s">
        <v>3106</v>
      </c>
      <c r="F908" s="71" t="s">
        <v>43</v>
      </c>
      <c r="G908" s="43" t="s">
        <v>3107</v>
      </c>
      <c r="H908" s="56" t="s">
        <v>3108</v>
      </c>
      <c r="I908" s="56"/>
      <c r="J908" s="109">
        <v>46260</v>
      </c>
      <c r="K908" s="3" t="str">
        <f t="shared" ca="1" si="207"/>
        <v xml:space="preserve">0 Tahun 0 bulan </v>
      </c>
      <c r="L908" s="25" t="s">
        <v>2452</v>
      </c>
      <c r="M908" s="109">
        <v>46260</v>
      </c>
      <c r="N908" s="3" t="str">
        <f t="shared" ca="1" si="203"/>
        <v xml:space="preserve">0 Tahun 0 bulan </v>
      </c>
      <c r="O908" s="35"/>
      <c r="P908" s="4" t="s">
        <v>35</v>
      </c>
      <c r="Q908" s="4" t="str">
        <f t="shared" si="209"/>
        <v>Perempuan</v>
      </c>
      <c r="R908" s="4">
        <f t="shared" si="212"/>
        <v>1</v>
      </c>
      <c r="S908" s="4" t="str">
        <f t="shared" si="206"/>
        <v>1</v>
      </c>
      <c r="T908" s="4">
        <f t="shared" si="201"/>
        <v>0</v>
      </c>
      <c r="U908" s="29"/>
      <c r="V908" s="30" t="s">
        <v>50</v>
      </c>
      <c r="W908" s="30"/>
      <c r="X908" s="30"/>
      <c r="Y908" s="30"/>
      <c r="Z908" s="30"/>
      <c r="AA908" s="30"/>
      <c r="AB908" s="29"/>
      <c r="AC908" s="29"/>
      <c r="AD908" s="37">
        <f t="shared" si="210"/>
        <v>33210</v>
      </c>
      <c r="AE908" s="3" t="str">
        <f t="shared" ca="1" si="208"/>
        <v>35 Tahun 8 bulan 29 Hari</v>
      </c>
      <c r="AF908" s="38">
        <f t="shared" si="211"/>
        <v>55154</v>
      </c>
    </row>
    <row r="909" spans="1:32" s="7" customFormat="1" ht="32.15" customHeight="1" x14ac:dyDescent="0.35">
      <c r="A909" s="26">
        <f t="shared" si="205"/>
        <v>845</v>
      </c>
      <c r="B909" s="4" t="s">
        <v>2447</v>
      </c>
      <c r="C909" s="26"/>
      <c r="D909" s="111" t="s">
        <v>2476</v>
      </c>
      <c r="E909" s="24" t="s">
        <v>2477</v>
      </c>
      <c r="F909" s="24" t="s">
        <v>43</v>
      </c>
      <c r="G909" s="4" t="s">
        <v>2478</v>
      </c>
      <c r="H909" s="69" t="s">
        <v>2479</v>
      </c>
      <c r="I909" s="69" t="s">
        <v>2480</v>
      </c>
      <c r="J909" s="138" t="s">
        <v>2458</v>
      </c>
      <c r="K909" s="3" t="str">
        <f t="shared" ca="1" si="207"/>
        <v xml:space="preserve">7 Tahun 3 bulan </v>
      </c>
      <c r="L909" s="56" t="s">
        <v>1749</v>
      </c>
      <c r="M909" s="138" t="s">
        <v>2458</v>
      </c>
      <c r="N909" s="3" t="str">
        <f t="shared" ca="1" si="203"/>
        <v xml:space="preserve">7 Tahun 3 bulan </v>
      </c>
      <c r="O909" s="35"/>
      <c r="P909" s="4" t="s">
        <v>35</v>
      </c>
      <c r="Q909" s="4" t="str">
        <f t="shared" si="209"/>
        <v>Perempuan</v>
      </c>
      <c r="R909" s="4">
        <f t="shared" si="212"/>
        <v>1</v>
      </c>
      <c r="S909" s="4" t="str">
        <f t="shared" si="206"/>
        <v>1</v>
      </c>
      <c r="T909" s="4">
        <f t="shared" si="201"/>
        <v>0</v>
      </c>
      <c r="U909" s="29"/>
      <c r="V909" s="30"/>
      <c r="W909" s="30"/>
      <c r="X909" s="30"/>
      <c r="Y909" s="30"/>
      <c r="Z909" s="30"/>
      <c r="AA909" s="30"/>
      <c r="AB909" s="29"/>
      <c r="AC909" s="29"/>
      <c r="AD909" s="37">
        <f t="shared" si="210"/>
        <v>32402</v>
      </c>
      <c r="AE909" s="3" t="str">
        <f t="shared" ca="1" si="208"/>
        <v>37 Tahun 11 bulan 16 Hari</v>
      </c>
      <c r="AF909" s="38">
        <f t="shared" si="211"/>
        <v>54332</v>
      </c>
    </row>
    <row r="910" spans="1:32" s="7" customFormat="1" ht="32.15" customHeight="1" x14ac:dyDescent="0.35">
      <c r="A910" s="26">
        <f t="shared" si="205"/>
        <v>846</v>
      </c>
      <c r="B910" s="32" t="s">
        <v>2447</v>
      </c>
      <c r="C910" s="288" t="s">
        <v>2481</v>
      </c>
      <c r="D910" s="289"/>
      <c r="E910" s="71" t="s">
        <v>3131</v>
      </c>
      <c r="F910" s="71" t="s">
        <v>71</v>
      </c>
      <c r="G910" s="70" t="s">
        <v>3132</v>
      </c>
      <c r="H910" s="56" t="s">
        <v>3133</v>
      </c>
      <c r="I910" s="25"/>
      <c r="J910" s="109">
        <v>46260</v>
      </c>
      <c r="K910" s="3" t="str">
        <f t="shared" ca="1" si="207"/>
        <v xml:space="preserve">0 Tahun 0 bulan </v>
      </c>
      <c r="L910" s="25" t="s">
        <v>2452</v>
      </c>
      <c r="M910" s="109">
        <v>46260</v>
      </c>
      <c r="N910" s="3" t="str">
        <f t="shared" ca="1" si="203"/>
        <v xml:space="preserve">0 Tahun 0 bulan </v>
      </c>
      <c r="O910" s="35"/>
      <c r="P910" s="4" t="s">
        <v>35</v>
      </c>
      <c r="Q910" s="4" t="str">
        <f t="shared" si="209"/>
        <v>Perempuan</v>
      </c>
      <c r="R910" s="4">
        <f t="shared" si="212"/>
        <v>1</v>
      </c>
      <c r="S910" s="4" t="str">
        <f t="shared" si="206"/>
        <v>1</v>
      </c>
      <c r="T910" s="4">
        <f t="shared" si="201"/>
        <v>0</v>
      </c>
      <c r="U910" s="29"/>
      <c r="V910" s="30" t="s">
        <v>50</v>
      </c>
      <c r="W910" s="30"/>
      <c r="X910" s="30"/>
      <c r="Y910" s="30"/>
      <c r="Z910" s="30"/>
      <c r="AA910" s="30"/>
      <c r="AB910" s="29"/>
      <c r="AC910" s="29"/>
      <c r="AD910" s="37">
        <f t="shared" si="210"/>
        <v>32915</v>
      </c>
      <c r="AE910" s="3" t="str">
        <f t="shared" ca="1" si="208"/>
        <v>36 Tahun 6 bulan 21 Hari</v>
      </c>
      <c r="AF910" s="38">
        <f t="shared" si="211"/>
        <v>54848</v>
      </c>
    </row>
    <row r="911" spans="1:32" s="7" customFormat="1" ht="32.15" customHeight="1" x14ac:dyDescent="0.35">
      <c r="A911" s="26">
        <f t="shared" si="205"/>
        <v>847</v>
      </c>
      <c r="B911" s="4" t="s">
        <v>2447</v>
      </c>
      <c r="C911" s="26"/>
      <c r="D911" s="111" t="s">
        <v>2482</v>
      </c>
      <c r="E911" s="24" t="s">
        <v>2483</v>
      </c>
      <c r="F911" s="24" t="s">
        <v>43</v>
      </c>
      <c r="G911" s="4" t="s">
        <v>2484</v>
      </c>
      <c r="H911" s="69" t="s">
        <v>2456</v>
      </c>
      <c r="I911" s="69" t="s">
        <v>2451</v>
      </c>
      <c r="J911" s="138" t="s">
        <v>2458</v>
      </c>
      <c r="K911" s="3" t="str">
        <f t="shared" ca="1" si="207"/>
        <v xml:space="preserve">7 Tahun 3 bulan </v>
      </c>
      <c r="L911" s="56" t="s">
        <v>1749</v>
      </c>
      <c r="M911" s="138" t="s">
        <v>2458</v>
      </c>
      <c r="N911" s="3" t="str">
        <f t="shared" ca="1" si="203"/>
        <v xml:space="preserve">7 Tahun 3 bulan </v>
      </c>
      <c r="O911" s="35"/>
      <c r="P911" s="4" t="s">
        <v>35</v>
      </c>
      <c r="Q911" s="4" t="str">
        <f t="shared" si="209"/>
        <v>Laki-Laki</v>
      </c>
      <c r="R911" s="4">
        <f t="shared" si="212"/>
        <v>1</v>
      </c>
      <c r="S911" s="4" t="str">
        <f t="shared" si="206"/>
        <v>1</v>
      </c>
      <c r="T911" s="4">
        <f t="shared" si="201"/>
        <v>0</v>
      </c>
      <c r="U911" s="29"/>
      <c r="V911" s="30"/>
      <c r="W911" s="30"/>
      <c r="X911" s="30"/>
      <c r="Y911" s="30"/>
      <c r="Z911" s="30"/>
      <c r="AA911" s="30"/>
      <c r="AB911" s="29"/>
      <c r="AC911" s="29"/>
      <c r="AD911" s="37">
        <f t="shared" si="210"/>
        <v>24702</v>
      </c>
      <c r="AE911" s="3" t="str">
        <f t="shared" ca="1" si="208"/>
        <v>59 Tahun 0 bulan 14 Hari</v>
      </c>
      <c r="AF911" s="38">
        <f t="shared" si="211"/>
        <v>46631</v>
      </c>
    </row>
    <row r="912" spans="1:32" s="7" customFormat="1" ht="32.15" customHeight="1" x14ac:dyDescent="0.35">
      <c r="A912" s="26">
        <f t="shared" si="205"/>
        <v>848</v>
      </c>
      <c r="B912" s="32" t="s">
        <v>2447</v>
      </c>
      <c r="C912" s="288" t="s">
        <v>2485</v>
      </c>
      <c r="D912" s="289"/>
      <c r="E912" s="71" t="s">
        <v>2486</v>
      </c>
      <c r="F912" s="71" t="s">
        <v>43</v>
      </c>
      <c r="G912" s="56" t="s">
        <v>2487</v>
      </c>
      <c r="H912" s="56" t="s">
        <v>2488</v>
      </c>
      <c r="I912" s="56" t="s">
        <v>2489</v>
      </c>
      <c r="J912" s="72" t="s">
        <v>2490</v>
      </c>
      <c r="K912" s="3" t="str">
        <f t="shared" ca="1" si="207"/>
        <v xml:space="preserve">8 Tahun 4 bulan </v>
      </c>
      <c r="L912" s="25" t="s">
        <v>2452</v>
      </c>
      <c r="M912" s="72" t="s">
        <v>2490</v>
      </c>
      <c r="N912" s="3" t="str">
        <f t="shared" ca="1" si="203"/>
        <v xml:space="preserve">8 Tahun 4 bulan </v>
      </c>
      <c r="O912" s="35"/>
      <c r="P912" s="4" t="s">
        <v>35</v>
      </c>
      <c r="Q912" s="4" t="str">
        <f t="shared" si="209"/>
        <v>Laki-Laki</v>
      </c>
      <c r="R912" s="4">
        <f t="shared" si="212"/>
        <v>1</v>
      </c>
      <c r="S912" s="4" t="str">
        <f t="shared" si="206"/>
        <v>1</v>
      </c>
      <c r="T912" s="4">
        <f t="shared" si="201"/>
        <v>0</v>
      </c>
      <c r="U912" s="29"/>
      <c r="V912" s="30" t="s">
        <v>50</v>
      </c>
      <c r="W912" s="30"/>
      <c r="X912" s="30"/>
      <c r="Y912" s="30"/>
      <c r="Z912" s="30"/>
      <c r="AA912" s="30"/>
      <c r="AB912" s="29"/>
      <c r="AC912" s="29"/>
      <c r="AD912" s="37">
        <f t="shared" si="210"/>
        <v>30101</v>
      </c>
      <c r="AE912" s="3" t="str">
        <f t="shared" ca="1" si="208"/>
        <v>44 Tahun 3 bulan 2 Hari</v>
      </c>
      <c r="AF912" s="38">
        <f t="shared" si="211"/>
        <v>52018</v>
      </c>
    </row>
    <row r="913" spans="1:32" s="7" customFormat="1" ht="32.15" customHeight="1" x14ac:dyDescent="0.35">
      <c r="A913" s="26">
        <f t="shared" si="205"/>
        <v>849</v>
      </c>
      <c r="B913" s="4" t="s">
        <v>2447</v>
      </c>
      <c r="C913" s="26"/>
      <c r="D913" s="111" t="s">
        <v>2491</v>
      </c>
      <c r="E913" s="24" t="s">
        <v>2492</v>
      </c>
      <c r="F913" s="24" t="s">
        <v>43</v>
      </c>
      <c r="G913" s="4" t="s">
        <v>2493</v>
      </c>
      <c r="H913" s="69" t="s">
        <v>2494</v>
      </c>
      <c r="I913" s="69" t="s">
        <v>2495</v>
      </c>
      <c r="J913" s="138" t="s">
        <v>2458</v>
      </c>
      <c r="K913" s="3" t="str">
        <f t="shared" ca="1" si="207"/>
        <v xml:space="preserve">7 Tahun 3 bulan </v>
      </c>
      <c r="L913" s="56" t="s">
        <v>1749</v>
      </c>
      <c r="M913" s="138" t="s">
        <v>2458</v>
      </c>
      <c r="N913" s="3" t="str">
        <f t="shared" ca="1" si="203"/>
        <v xml:space="preserve">7 Tahun 3 bulan </v>
      </c>
      <c r="O913" s="35"/>
      <c r="P913" s="24" t="s">
        <v>968</v>
      </c>
      <c r="Q913" s="4" t="str">
        <f t="shared" si="209"/>
        <v>Perempuan</v>
      </c>
      <c r="R913" s="4">
        <f t="shared" si="212"/>
        <v>1</v>
      </c>
      <c r="S913" s="4" t="str">
        <f t="shared" si="206"/>
        <v>1</v>
      </c>
      <c r="T913" s="4">
        <f t="shared" si="201"/>
        <v>0</v>
      </c>
      <c r="U913" s="29"/>
      <c r="V913" s="30"/>
      <c r="W913" s="30"/>
      <c r="X913" s="30"/>
      <c r="Y913" s="30"/>
      <c r="Z913" s="30"/>
      <c r="AA913" s="30"/>
      <c r="AB913" s="29"/>
      <c r="AC913" s="29"/>
      <c r="AD913" s="37">
        <f t="shared" si="210"/>
        <v>29872</v>
      </c>
      <c r="AE913" s="3" t="str">
        <f t="shared" ca="1" si="208"/>
        <v>44 Tahun 10 bulan 19 Hari</v>
      </c>
      <c r="AF913" s="38">
        <f t="shared" si="211"/>
        <v>51806</v>
      </c>
    </row>
    <row r="914" spans="1:32" s="7" customFormat="1" ht="32.15" customHeight="1" x14ac:dyDescent="0.35">
      <c r="A914" s="26">
        <f t="shared" si="205"/>
        <v>850</v>
      </c>
      <c r="B914" s="32" t="s">
        <v>2447</v>
      </c>
      <c r="C914" s="288" t="s">
        <v>2496</v>
      </c>
      <c r="D914" s="289"/>
      <c r="E914" s="24" t="s">
        <v>3109</v>
      </c>
      <c r="F914" s="71" t="s">
        <v>43</v>
      </c>
      <c r="G914" s="4" t="s">
        <v>2587</v>
      </c>
      <c r="H914" s="69" t="s">
        <v>385</v>
      </c>
      <c r="I914" s="36" t="s">
        <v>1692</v>
      </c>
      <c r="J914" s="109">
        <v>46260</v>
      </c>
      <c r="K914" s="3" t="str">
        <f t="shared" ca="1" si="207"/>
        <v xml:space="preserve">0 Tahun 0 bulan </v>
      </c>
      <c r="L914" s="25" t="s">
        <v>2452</v>
      </c>
      <c r="M914" s="109">
        <v>46260</v>
      </c>
      <c r="N914" s="3" t="str">
        <f t="shared" ca="1" si="203"/>
        <v xml:space="preserve">0 Tahun 0 bulan </v>
      </c>
      <c r="O914" s="35"/>
      <c r="P914" s="4" t="s">
        <v>35</v>
      </c>
      <c r="Q914" s="4" t="str">
        <f t="shared" si="209"/>
        <v>Perempuan</v>
      </c>
      <c r="R914" s="4">
        <f t="shared" si="212"/>
        <v>1</v>
      </c>
      <c r="S914" s="4" t="str">
        <f t="shared" si="206"/>
        <v>1</v>
      </c>
      <c r="T914" s="4">
        <f t="shared" si="201"/>
        <v>0</v>
      </c>
      <c r="U914" s="29"/>
      <c r="V914" s="30" t="s">
        <v>50</v>
      </c>
      <c r="W914" s="30"/>
      <c r="X914" s="30"/>
      <c r="Y914" s="30"/>
      <c r="Z914" s="30"/>
      <c r="AA914" s="30"/>
      <c r="AB914" s="29"/>
      <c r="AC914" s="29"/>
      <c r="AD914" s="37">
        <f t="shared" si="210"/>
        <v>29621</v>
      </c>
      <c r="AE914" s="3" t="str">
        <f t="shared" ca="1" si="208"/>
        <v>45 Tahun 6 bulan 28 Hari</v>
      </c>
      <c r="AF914" s="38">
        <f t="shared" si="211"/>
        <v>51561</v>
      </c>
    </row>
    <row r="915" spans="1:32" s="7" customFormat="1" ht="32.15" customHeight="1" x14ac:dyDescent="0.35">
      <c r="A915" s="26">
        <f t="shared" si="205"/>
        <v>851</v>
      </c>
      <c r="B915" s="4" t="s">
        <v>2447</v>
      </c>
      <c r="C915" s="26"/>
      <c r="D915" s="111" t="s">
        <v>2499</v>
      </c>
      <c r="E915" s="24" t="s">
        <v>2500</v>
      </c>
      <c r="F915" s="24" t="s">
        <v>43</v>
      </c>
      <c r="G915" s="4" t="s">
        <v>2501</v>
      </c>
      <c r="H915" s="69" t="s">
        <v>1954</v>
      </c>
      <c r="I915" s="69" t="s">
        <v>2502</v>
      </c>
      <c r="J915" s="72" t="s">
        <v>206</v>
      </c>
      <c r="K915" s="3" t="str">
        <f t="shared" ca="1" si="207"/>
        <v xml:space="preserve">3 Tahun 10 bulan </v>
      </c>
      <c r="L915" s="56" t="s">
        <v>1749</v>
      </c>
      <c r="M915" s="72" t="s">
        <v>206</v>
      </c>
      <c r="N915" s="3" t="str">
        <f t="shared" ca="1" si="203"/>
        <v xml:space="preserve">3 Tahun 10 bulan </v>
      </c>
      <c r="O915" s="35"/>
      <c r="P915" s="4" t="s">
        <v>35</v>
      </c>
      <c r="Q915" s="4" t="str">
        <f t="shared" si="209"/>
        <v>Laki-Laki</v>
      </c>
      <c r="R915" s="4">
        <f t="shared" si="212"/>
        <v>1</v>
      </c>
      <c r="S915" s="4" t="str">
        <f t="shared" si="206"/>
        <v>1</v>
      </c>
      <c r="T915" s="4">
        <f t="shared" si="201"/>
        <v>0</v>
      </c>
      <c r="U915" s="29"/>
      <c r="V915" s="30" t="s">
        <v>50</v>
      </c>
      <c r="W915" s="30"/>
      <c r="X915" s="30"/>
      <c r="Y915" s="30"/>
      <c r="Z915" s="30"/>
      <c r="AA915" s="30"/>
      <c r="AB915" s="29"/>
      <c r="AC915" s="29"/>
      <c r="AD915" s="37">
        <f t="shared" si="210"/>
        <v>29525</v>
      </c>
      <c r="AE915" s="3" t="str">
        <f t="shared" ca="1" si="208"/>
        <v>45 Tahun 10 bulan 1 Hari</v>
      </c>
      <c r="AF915" s="38">
        <f t="shared" si="211"/>
        <v>51441</v>
      </c>
    </row>
    <row r="916" spans="1:32" s="7" customFormat="1" ht="40.5" customHeight="1" x14ac:dyDescent="0.35">
      <c r="A916" s="26">
        <f t="shared" si="205"/>
        <v>852</v>
      </c>
      <c r="B916" s="32" t="s">
        <v>2447</v>
      </c>
      <c r="C916" s="288" t="s">
        <v>2503</v>
      </c>
      <c r="D916" s="289"/>
      <c r="E916" s="24" t="s">
        <v>3121</v>
      </c>
      <c r="F916" s="24" t="s">
        <v>43</v>
      </c>
      <c r="G916" s="4" t="s">
        <v>2450</v>
      </c>
      <c r="H916" s="4" t="s">
        <v>3122</v>
      </c>
      <c r="I916" s="4"/>
      <c r="J916" s="214">
        <v>46260</v>
      </c>
      <c r="K916" s="3" t="str">
        <f t="shared" ca="1" si="207"/>
        <v xml:space="preserve">0 Tahun 0 bulan </v>
      </c>
      <c r="L916" s="25" t="s">
        <v>2452</v>
      </c>
      <c r="M916" s="214">
        <v>46260</v>
      </c>
      <c r="N916" s="3" t="str">
        <f t="shared" ca="1" si="203"/>
        <v xml:space="preserve">0 Tahun 0 bulan </v>
      </c>
      <c r="O916" s="35"/>
      <c r="P916" s="4"/>
      <c r="Q916" s="4" t="str">
        <f t="shared" si="209"/>
        <v>Perempuan</v>
      </c>
      <c r="R916" s="4">
        <f t="shared" si="212"/>
        <v>1</v>
      </c>
      <c r="S916" s="4" t="str">
        <f t="shared" si="206"/>
        <v>1</v>
      </c>
      <c r="T916" s="4">
        <f t="shared" si="201"/>
        <v>0</v>
      </c>
      <c r="U916" s="29"/>
      <c r="V916" s="30" t="s">
        <v>50</v>
      </c>
      <c r="W916" s="30"/>
      <c r="X916" s="30"/>
      <c r="Y916" s="30"/>
      <c r="Z916" s="30"/>
      <c r="AA916" s="30"/>
      <c r="AB916" s="29"/>
      <c r="AC916" s="29"/>
      <c r="AD916" s="37">
        <f t="shared" si="210"/>
        <v>28497</v>
      </c>
      <c r="AE916" s="3" t="str">
        <f t="shared" ca="1" si="208"/>
        <v>48 Tahun 7 bulan 25 Hari</v>
      </c>
      <c r="AF916" s="38">
        <f t="shared" si="211"/>
        <v>50437</v>
      </c>
    </row>
    <row r="917" spans="1:32" s="7" customFormat="1" ht="32.15" customHeight="1" x14ac:dyDescent="0.35">
      <c r="A917" s="26">
        <f t="shared" si="205"/>
        <v>853</v>
      </c>
      <c r="B917" s="4" t="s">
        <v>2447</v>
      </c>
      <c r="C917" s="26"/>
      <c r="D917" s="111" t="s">
        <v>2504</v>
      </c>
      <c r="E917" s="24" t="s">
        <v>2505</v>
      </c>
      <c r="F917" s="24" t="s">
        <v>43</v>
      </c>
      <c r="G917" s="4" t="s">
        <v>2506</v>
      </c>
      <c r="H917" s="4" t="s">
        <v>458</v>
      </c>
      <c r="I917" s="69" t="s">
        <v>2507</v>
      </c>
      <c r="J917" s="138" t="s">
        <v>2458</v>
      </c>
      <c r="K917" s="3" t="str">
        <f t="shared" ca="1" si="207"/>
        <v xml:space="preserve">7 Tahun 3 bulan </v>
      </c>
      <c r="L917" s="56" t="s">
        <v>1749</v>
      </c>
      <c r="M917" s="138" t="s">
        <v>2458</v>
      </c>
      <c r="N917" s="3" t="str">
        <f t="shared" ca="1" si="203"/>
        <v xml:space="preserve">7 Tahun 3 bulan </v>
      </c>
      <c r="O917" s="35"/>
      <c r="P917" s="4" t="s">
        <v>35</v>
      </c>
      <c r="Q917" s="4" t="str">
        <f t="shared" si="209"/>
        <v>Laki-Laki</v>
      </c>
      <c r="R917" s="4">
        <f t="shared" si="212"/>
        <v>1</v>
      </c>
      <c r="S917" s="4" t="str">
        <f t="shared" si="206"/>
        <v>1</v>
      </c>
      <c r="T917" s="4">
        <f t="shared" ref="T917:T991" si="213">R917-S917</f>
        <v>0</v>
      </c>
      <c r="U917" s="29"/>
      <c r="V917" s="30" t="s">
        <v>50</v>
      </c>
      <c r="W917" s="30"/>
      <c r="X917" s="30"/>
      <c r="Y917" s="30"/>
      <c r="Z917" s="30"/>
      <c r="AA917" s="30"/>
      <c r="AB917" s="29"/>
      <c r="AC917" s="29"/>
      <c r="AD917" s="37">
        <f t="shared" si="210"/>
        <v>27826</v>
      </c>
      <c r="AE917" s="3" t="str">
        <f t="shared" ca="1" si="208"/>
        <v>50 Tahun 5 bulan 25 Hari</v>
      </c>
      <c r="AF917" s="38">
        <f t="shared" si="211"/>
        <v>49766</v>
      </c>
    </row>
    <row r="918" spans="1:32" s="7" customFormat="1" ht="32.15" customHeight="1" x14ac:dyDescent="0.35">
      <c r="A918" s="26">
        <f t="shared" si="205"/>
        <v>854</v>
      </c>
      <c r="B918" s="32" t="s">
        <v>2447</v>
      </c>
      <c r="C918" s="288" t="s">
        <v>2508</v>
      </c>
      <c r="D918" s="289"/>
      <c r="E918" s="24" t="s">
        <v>2509</v>
      </c>
      <c r="F918" s="24" t="s">
        <v>43</v>
      </c>
      <c r="G918" s="3" t="s">
        <v>2510</v>
      </c>
      <c r="H918" s="4" t="s">
        <v>91</v>
      </c>
      <c r="I918" s="36" t="s">
        <v>2511</v>
      </c>
      <c r="J918" s="81" t="s">
        <v>558</v>
      </c>
      <c r="K918" s="3" t="str">
        <f t="shared" ca="1" si="207"/>
        <v xml:space="preserve">6 Tahun 4 bulan </v>
      </c>
      <c r="L918" s="25" t="s">
        <v>2452</v>
      </c>
      <c r="M918" s="81" t="s">
        <v>558</v>
      </c>
      <c r="N918" s="3" t="str">
        <f t="shared" ca="1" si="203"/>
        <v xml:space="preserve">6 Tahun 4 bulan </v>
      </c>
      <c r="O918" s="35"/>
      <c r="P918" s="4"/>
      <c r="Q918" s="4" t="str">
        <f t="shared" si="209"/>
        <v>Perempuan</v>
      </c>
      <c r="R918" s="4">
        <f t="shared" si="212"/>
        <v>1</v>
      </c>
      <c r="S918" s="4" t="str">
        <f t="shared" si="206"/>
        <v>1</v>
      </c>
      <c r="T918" s="4">
        <f t="shared" si="213"/>
        <v>0</v>
      </c>
      <c r="U918" s="29"/>
      <c r="V918" s="30"/>
      <c r="W918" s="30"/>
      <c r="X918" s="30"/>
      <c r="Y918" s="30"/>
      <c r="Z918" s="30"/>
      <c r="AA918" s="30"/>
      <c r="AB918" s="29"/>
      <c r="AC918" s="29"/>
      <c r="AD918" s="37">
        <f t="shared" si="210"/>
        <v>25997</v>
      </c>
      <c r="AE918" s="3" t="str">
        <f t="shared" ca="1" si="208"/>
        <v>55 Tahun 5 bulan 27 Hari</v>
      </c>
      <c r="AF918" s="38">
        <f t="shared" si="211"/>
        <v>47939</v>
      </c>
    </row>
    <row r="919" spans="1:32" s="7" customFormat="1" ht="32.15" customHeight="1" x14ac:dyDescent="0.35">
      <c r="A919" s="26">
        <f t="shared" si="205"/>
        <v>855</v>
      </c>
      <c r="B919" s="4" t="s">
        <v>2447</v>
      </c>
      <c r="C919" s="26"/>
      <c r="D919" s="111" t="s">
        <v>2512</v>
      </c>
      <c r="E919" s="24" t="s">
        <v>2513</v>
      </c>
      <c r="F919" s="24" t="s">
        <v>43</v>
      </c>
      <c r="G919" s="4" t="s">
        <v>2514</v>
      </c>
      <c r="H919" s="69" t="s">
        <v>2479</v>
      </c>
      <c r="I919" s="69" t="s">
        <v>2515</v>
      </c>
      <c r="J919" s="138" t="s">
        <v>2458</v>
      </c>
      <c r="K919" s="3" t="str">
        <f t="shared" ca="1" si="207"/>
        <v xml:space="preserve">7 Tahun 3 bulan </v>
      </c>
      <c r="L919" s="56" t="s">
        <v>1749</v>
      </c>
      <c r="M919" s="138" t="s">
        <v>2458</v>
      </c>
      <c r="N919" s="3" t="str">
        <f t="shared" ca="1" si="203"/>
        <v xml:space="preserve">7 Tahun 3 bulan </v>
      </c>
      <c r="O919" s="35"/>
      <c r="P919" s="4" t="s">
        <v>35</v>
      </c>
      <c r="Q919" s="4" t="str">
        <f t="shared" si="209"/>
        <v>Perempuan</v>
      </c>
      <c r="R919" s="4">
        <f t="shared" si="212"/>
        <v>1</v>
      </c>
      <c r="S919" s="4" t="str">
        <f t="shared" si="206"/>
        <v>1</v>
      </c>
      <c r="T919" s="4">
        <f t="shared" si="213"/>
        <v>0</v>
      </c>
      <c r="U919" s="29"/>
      <c r="V919" s="30"/>
      <c r="W919" s="30"/>
      <c r="X919" s="30"/>
      <c r="Y919" s="30"/>
      <c r="Z919" s="30"/>
      <c r="AA919" s="30"/>
      <c r="AB919" s="29"/>
      <c r="AC919" s="29"/>
      <c r="AD919" s="37">
        <f t="shared" si="210"/>
        <v>31118</v>
      </c>
      <c r="AE919" s="3" t="str">
        <f t="shared" ca="1" si="208"/>
        <v>41 Tahun 5 bulan 20 Hari</v>
      </c>
      <c r="AF919" s="38">
        <f t="shared" si="211"/>
        <v>53053</v>
      </c>
    </row>
    <row r="920" spans="1:32" s="7" customFormat="1" ht="32.15" customHeight="1" x14ac:dyDescent="0.35">
      <c r="A920" s="26">
        <f t="shared" si="205"/>
        <v>856</v>
      </c>
      <c r="B920" s="32" t="s">
        <v>2447</v>
      </c>
      <c r="C920" s="288" t="s">
        <v>2516</v>
      </c>
      <c r="D920" s="289"/>
      <c r="E920" s="24" t="s">
        <v>2517</v>
      </c>
      <c r="F920" s="24" t="s">
        <v>43</v>
      </c>
      <c r="G920" s="3" t="s">
        <v>2518</v>
      </c>
      <c r="H920" s="4" t="s">
        <v>699</v>
      </c>
      <c r="I920" s="36" t="s">
        <v>1692</v>
      </c>
      <c r="J920" s="81" t="s">
        <v>2519</v>
      </c>
      <c r="K920" s="3" t="str">
        <f t="shared" ca="1" si="207"/>
        <v xml:space="preserve">5 Tahun 11 bulan </v>
      </c>
      <c r="L920" s="25" t="s">
        <v>2452</v>
      </c>
      <c r="M920" s="81" t="s">
        <v>2519</v>
      </c>
      <c r="N920" s="3" t="str">
        <f t="shared" ca="1" si="203"/>
        <v xml:space="preserve">5 Tahun 11 bulan </v>
      </c>
      <c r="O920" s="35"/>
      <c r="P920" s="4" t="s">
        <v>968</v>
      </c>
      <c r="Q920" s="4" t="str">
        <f t="shared" si="209"/>
        <v>Perempuan</v>
      </c>
      <c r="R920" s="4">
        <f t="shared" si="212"/>
        <v>1</v>
      </c>
      <c r="S920" s="4" t="str">
        <f t="shared" si="206"/>
        <v>1</v>
      </c>
      <c r="T920" s="4">
        <f t="shared" si="213"/>
        <v>0</v>
      </c>
      <c r="U920" s="29"/>
      <c r="V920" s="30"/>
      <c r="W920" s="30"/>
      <c r="X920" s="30"/>
      <c r="Y920" s="30"/>
      <c r="Z920" s="30"/>
      <c r="AA920" s="30"/>
      <c r="AB920" s="29"/>
      <c r="AC920" s="29"/>
      <c r="AD920" s="37">
        <f t="shared" si="210"/>
        <v>27529</v>
      </c>
      <c r="AE920" s="3" t="str">
        <f t="shared" ca="1" si="208"/>
        <v>51 Tahun 3 bulan 17 Hari</v>
      </c>
      <c r="AF920" s="38">
        <f t="shared" si="211"/>
        <v>49461</v>
      </c>
    </row>
    <row r="921" spans="1:32" s="7" customFormat="1" ht="32.15" customHeight="1" x14ac:dyDescent="0.35">
      <c r="A921" s="26">
        <f t="shared" si="205"/>
        <v>857</v>
      </c>
      <c r="B921" s="4" t="s">
        <v>2447</v>
      </c>
      <c r="C921" s="26"/>
      <c r="D921" s="111" t="s">
        <v>2520</v>
      </c>
      <c r="E921" s="24" t="s">
        <v>2521</v>
      </c>
      <c r="F921" s="24" t="s">
        <v>43</v>
      </c>
      <c r="G921" s="3" t="s">
        <v>2522</v>
      </c>
      <c r="H921" s="69" t="s">
        <v>687</v>
      </c>
      <c r="I921" s="69" t="s">
        <v>2523</v>
      </c>
      <c r="J921" s="72" t="s">
        <v>338</v>
      </c>
      <c r="K921" s="3" t="str">
        <f t="shared" ca="1" si="207"/>
        <v xml:space="preserve">2 Tahun 11 bulan </v>
      </c>
      <c r="L921" s="56" t="s">
        <v>1749</v>
      </c>
      <c r="M921" s="72" t="s">
        <v>338</v>
      </c>
      <c r="N921" s="3" t="str">
        <f t="shared" ca="1" si="203"/>
        <v xml:space="preserve">2 Tahun 11 bulan </v>
      </c>
      <c r="O921" s="35"/>
      <c r="P921" s="4" t="s">
        <v>35</v>
      </c>
      <c r="Q921" s="4" t="str">
        <f t="shared" si="209"/>
        <v>Perempuan</v>
      </c>
      <c r="R921" s="4">
        <f t="shared" si="212"/>
        <v>1</v>
      </c>
      <c r="S921" s="4" t="str">
        <f t="shared" si="206"/>
        <v>1</v>
      </c>
      <c r="T921" s="4">
        <f t="shared" si="213"/>
        <v>0</v>
      </c>
      <c r="U921" s="29"/>
      <c r="V921" s="30"/>
      <c r="W921" s="30"/>
      <c r="X921" s="30"/>
      <c r="Y921" s="30"/>
      <c r="Z921" s="30"/>
      <c r="AA921" s="30"/>
      <c r="AB921" s="29"/>
      <c r="AC921" s="29"/>
      <c r="AD921" s="37">
        <f t="shared" si="210"/>
        <v>32923</v>
      </c>
      <c r="AE921" s="3" t="str">
        <f t="shared" ca="1" si="208"/>
        <v>36 Tahun 6 bulan 13 Hari</v>
      </c>
      <c r="AF921" s="38">
        <f t="shared" si="211"/>
        <v>54848</v>
      </c>
    </row>
    <row r="922" spans="1:32" s="7" customFormat="1" ht="32.15" customHeight="1" x14ac:dyDescent="0.35">
      <c r="A922" s="26">
        <f t="shared" si="205"/>
        <v>858</v>
      </c>
      <c r="B922" s="32" t="s">
        <v>2447</v>
      </c>
      <c r="C922" s="288" t="s">
        <v>2524</v>
      </c>
      <c r="D922" s="289"/>
      <c r="E922" s="24" t="s">
        <v>3110</v>
      </c>
      <c r="F922" s="24" t="s">
        <v>43</v>
      </c>
      <c r="G922" s="4" t="s">
        <v>3111</v>
      </c>
      <c r="H922" s="69" t="s">
        <v>3112</v>
      </c>
      <c r="I922" s="36"/>
      <c r="J922" s="213">
        <v>46260</v>
      </c>
      <c r="K922" s="3" t="str">
        <f t="shared" ca="1" si="207"/>
        <v xml:space="preserve">0 Tahun 0 bulan </v>
      </c>
      <c r="L922" s="25" t="s">
        <v>2452</v>
      </c>
      <c r="M922" s="213">
        <v>46260</v>
      </c>
      <c r="N922" s="3" t="str">
        <f t="shared" ca="1" si="203"/>
        <v xml:space="preserve">0 Tahun 0 bulan </v>
      </c>
      <c r="O922" s="35"/>
      <c r="P922" s="4"/>
      <c r="Q922" s="4" t="str">
        <f t="shared" si="209"/>
        <v>Perempuan</v>
      </c>
      <c r="R922" s="4">
        <f t="shared" si="212"/>
        <v>1</v>
      </c>
      <c r="S922" s="4" t="str">
        <f t="shared" si="206"/>
        <v>1</v>
      </c>
      <c r="T922" s="4">
        <f t="shared" si="213"/>
        <v>0</v>
      </c>
      <c r="U922" s="29"/>
      <c r="V922" s="30" t="s">
        <v>50</v>
      </c>
      <c r="W922" s="30"/>
      <c r="X922" s="30"/>
      <c r="Y922" s="30"/>
      <c r="Z922" s="30"/>
      <c r="AA922" s="30"/>
      <c r="AB922" s="29"/>
      <c r="AC922" s="29"/>
      <c r="AD922" s="37">
        <f t="shared" si="210"/>
        <v>33111</v>
      </c>
      <c r="AE922" s="3" t="str">
        <f t="shared" ca="1" si="208"/>
        <v>36 Tahun 0 bulan 6 Hari</v>
      </c>
      <c r="AF922" s="38">
        <f t="shared" si="211"/>
        <v>55032</v>
      </c>
    </row>
    <row r="923" spans="1:32" s="7" customFormat="1" ht="32.15" customHeight="1" x14ac:dyDescent="0.35">
      <c r="A923" s="26">
        <f t="shared" si="205"/>
        <v>859</v>
      </c>
      <c r="B923" s="4" t="s">
        <v>2447</v>
      </c>
      <c r="C923" s="26"/>
      <c r="D923" s="111" t="s">
        <v>2525</v>
      </c>
      <c r="E923" s="42" t="s">
        <v>2526</v>
      </c>
      <c r="F923" s="24" t="s">
        <v>43</v>
      </c>
      <c r="G923" s="43" t="s">
        <v>2527</v>
      </c>
      <c r="H923" s="69" t="s">
        <v>1954</v>
      </c>
      <c r="I923" s="69" t="s">
        <v>1736</v>
      </c>
      <c r="J923" s="72" t="s">
        <v>338</v>
      </c>
      <c r="K923" s="3" t="str">
        <f t="shared" ca="1" si="207"/>
        <v xml:space="preserve">2 Tahun 11 bulan </v>
      </c>
      <c r="L923" s="56" t="s">
        <v>1749</v>
      </c>
      <c r="M923" s="72" t="s">
        <v>338</v>
      </c>
      <c r="N923" s="3" t="str">
        <f t="shared" ca="1" si="203"/>
        <v xml:space="preserve">2 Tahun 11 bulan </v>
      </c>
      <c r="O923" s="35"/>
      <c r="P923" s="4" t="s">
        <v>35</v>
      </c>
      <c r="Q923" s="4" t="str">
        <f t="shared" si="209"/>
        <v>Perempuan</v>
      </c>
      <c r="R923" s="4">
        <f t="shared" si="212"/>
        <v>1</v>
      </c>
      <c r="S923" s="4" t="str">
        <f t="shared" si="206"/>
        <v>1</v>
      </c>
      <c r="T923" s="4">
        <f t="shared" si="213"/>
        <v>0</v>
      </c>
      <c r="U923" s="29"/>
      <c r="V923" s="30"/>
      <c r="W923" s="30"/>
      <c r="X923" s="30"/>
      <c r="Y923" s="30"/>
      <c r="Z923" s="30"/>
      <c r="AA923" s="30"/>
      <c r="AB923" s="29"/>
      <c r="AC923" s="29"/>
      <c r="AD923" s="37">
        <f t="shared" si="210"/>
        <v>31721</v>
      </c>
      <c r="AE923" s="3" t="str">
        <f t="shared" ca="1" si="208"/>
        <v>39 Tahun 9 bulan 27 Hari</v>
      </c>
      <c r="AF923" s="38">
        <f t="shared" si="211"/>
        <v>53662</v>
      </c>
    </row>
    <row r="924" spans="1:32" s="7" customFormat="1" ht="36" customHeight="1" x14ac:dyDescent="0.35">
      <c r="A924" s="26">
        <f t="shared" si="205"/>
        <v>860</v>
      </c>
      <c r="B924" s="32" t="s">
        <v>2447</v>
      </c>
      <c r="C924" s="288" t="s">
        <v>2528</v>
      </c>
      <c r="D924" s="289"/>
      <c r="E924" s="71" t="s">
        <v>2529</v>
      </c>
      <c r="F924" s="71" t="s">
        <v>43</v>
      </c>
      <c r="G924" s="70" t="s">
        <v>2530</v>
      </c>
      <c r="H924" s="56" t="s">
        <v>132</v>
      </c>
      <c r="I924" s="56" t="s">
        <v>1924</v>
      </c>
      <c r="J924" s="72" t="s">
        <v>2490</v>
      </c>
      <c r="K924" s="3" t="str">
        <f t="shared" ca="1" si="207"/>
        <v xml:space="preserve">8 Tahun 4 bulan </v>
      </c>
      <c r="L924" s="25" t="s">
        <v>2452</v>
      </c>
      <c r="M924" s="72" t="s">
        <v>2490</v>
      </c>
      <c r="N924" s="3" t="str">
        <f t="shared" ca="1" si="203"/>
        <v xml:space="preserve">8 Tahun 4 bulan </v>
      </c>
      <c r="O924" s="35"/>
      <c r="P924" s="4" t="s">
        <v>35</v>
      </c>
      <c r="Q924" s="4" t="str">
        <f t="shared" si="209"/>
        <v>Perempuan</v>
      </c>
      <c r="R924" s="4">
        <f t="shared" si="212"/>
        <v>1</v>
      </c>
      <c r="S924" s="4" t="str">
        <f t="shared" si="206"/>
        <v>1</v>
      </c>
      <c r="T924" s="4">
        <f t="shared" si="213"/>
        <v>0</v>
      </c>
      <c r="U924" s="29"/>
      <c r="V924" s="30"/>
      <c r="W924" s="30"/>
      <c r="X924" s="30"/>
      <c r="Y924" s="30"/>
      <c r="Z924" s="30"/>
      <c r="AA924" s="30"/>
      <c r="AB924" s="29"/>
      <c r="AC924" s="29"/>
      <c r="AD924" s="37">
        <f t="shared" si="210"/>
        <v>26013</v>
      </c>
      <c r="AE924" s="3" t="str">
        <f t="shared" ca="1" si="208"/>
        <v>55 Tahun 5 bulan 11 Hari</v>
      </c>
      <c r="AF924" s="38">
        <f t="shared" si="211"/>
        <v>47939</v>
      </c>
    </row>
    <row r="925" spans="1:32" s="7" customFormat="1" ht="32.15" customHeight="1" x14ac:dyDescent="0.35">
      <c r="A925" s="26">
        <f t="shared" si="205"/>
        <v>861</v>
      </c>
      <c r="B925" s="4" t="s">
        <v>2447</v>
      </c>
      <c r="C925" s="26"/>
      <c r="D925" s="111" t="s">
        <v>2531</v>
      </c>
      <c r="E925" s="24" t="s">
        <v>2532</v>
      </c>
      <c r="F925" s="24" t="s">
        <v>43</v>
      </c>
      <c r="G925" s="4" t="s">
        <v>2533</v>
      </c>
      <c r="H925" s="69" t="s">
        <v>2479</v>
      </c>
      <c r="I925" s="69" t="s">
        <v>2480</v>
      </c>
      <c r="J925" s="138" t="s">
        <v>2458</v>
      </c>
      <c r="K925" s="3" t="str">
        <f t="shared" ca="1" si="207"/>
        <v xml:space="preserve">7 Tahun 3 bulan </v>
      </c>
      <c r="L925" s="56" t="s">
        <v>1749</v>
      </c>
      <c r="M925" s="138" t="s">
        <v>2458</v>
      </c>
      <c r="N925" s="3" t="str">
        <f t="shared" ca="1" si="203"/>
        <v xml:space="preserve">7 Tahun 3 bulan </v>
      </c>
      <c r="O925" s="35"/>
      <c r="P925" s="4" t="s">
        <v>35</v>
      </c>
      <c r="Q925" s="4" t="str">
        <f t="shared" si="209"/>
        <v>Perempuan</v>
      </c>
      <c r="R925" s="4">
        <f t="shared" si="212"/>
        <v>1</v>
      </c>
      <c r="S925" s="4" t="str">
        <f t="shared" si="206"/>
        <v>1</v>
      </c>
      <c r="T925" s="4">
        <f t="shared" si="213"/>
        <v>0</v>
      </c>
      <c r="U925" s="29"/>
      <c r="V925" s="30"/>
      <c r="W925" s="30"/>
      <c r="X925" s="30"/>
      <c r="Y925" s="30"/>
      <c r="Z925" s="30"/>
      <c r="AA925" s="30"/>
      <c r="AB925" s="29"/>
      <c r="AC925" s="29"/>
      <c r="AD925" s="37">
        <f t="shared" si="210"/>
        <v>27757</v>
      </c>
      <c r="AE925" s="3" t="str">
        <f t="shared" ca="1" si="208"/>
        <v>50 Tahun 8 bulan 3 Hari</v>
      </c>
      <c r="AF925" s="38">
        <f t="shared" si="211"/>
        <v>49675</v>
      </c>
    </row>
    <row r="926" spans="1:32" s="7" customFormat="1" ht="32.15" customHeight="1" x14ac:dyDescent="0.35">
      <c r="A926" s="26">
        <f t="shared" si="205"/>
        <v>862</v>
      </c>
      <c r="B926" s="32" t="s">
        <v>2447</v>
      </c>
      <c r="C926" s="288" t="s">
        <v>2534</v>
      </c>
      <c r="D926" s="289"/>
      <c r="E926" s="71" t="s">
        <v>2535</v>
      </c>
      <c r="F926" s="71" t="s">
        <v>43</v>
      </c>
      <c r="G926" s="70" t="s">
        <v>2536</v>
      </c>
      <c r="H926" s="56" t="s">
        <v>554</v>
      </c>
      <c r="I926" s="56" t="s">
        <v>744</v>
      </c>
      <c r="J926" s="72" t="s">
        <v>338</v>
      </c>
      <c r="K926" s="3" t="str">
        <f t="shared" ca="1" si="207"/>
        <v xml:space="preserve">2 Tahun 11 bulan </v>
      </c>
      <c r="L926" s="25" t="s">
        <v>2452</v>
      </c>
      <c r="M926" s="72" t="s">
        <v>338</v>
      </c>
      <c r="N926" s="3" t="str">
        <f t="shared" ca="1" si="203"/>
        <v xml:space="preserve">2 Tahun 11 bulan </v>
      </c>
      <c r="O926" s="35"/>
      <c r="P926" s="4" t="s">
        <v>35</v>
      </c>
      <c r="Q926" s="4" t="str">
        <f t="shared" si="209"/>
        <v>Perempuan</v>
      </c>
      <c r="R926" s="4">
        <f t="shared" si="212"/>
        <v>1</v>
      </c>
      <c r="S926" s="4" t="str">
        <f t="shared" si="206"/>
        <v>1</v>
      </c>
      <c r="T926" s="4">
        <f t="shared" si="213"/>
        <v>0</v>
      </c>
      <c r="U926" s="29"/>
      <c r="V926" s="30"/>
      <c r="W926" s="30"/>
      <c r="X926" s="30"/>
      <c r="Y926" s="30"/>
      <c r="Z926" s="30"/>
      <c r="AA926" s="30"/>
      <c r="AB926" s="29"/>
      <c r="AC926" s="29"/>
      <c r="AD926" s="37">
        <f t="shared" si="210"/>
        <v>27810</v>
      </c>
      <c r="AE926" s="3" t="str">
        <f t="shared" ca="1" si="208"/>
        <v>50 Tahun 6 bulan 12 Hari</v>
      </c>
      <c r="AF926" s="38">
        <f t="shared" si="211"/>
        <v>49735</v>
      </c>
    </row>
    <row r="927" spans="1:32" s="7" customFormat="1" ht="32.15" customHeight="1" x14ac:dyDescent="0.35">
      <c r="A927" s="26">
        <f t="shared" si="205"/>
        <v>863</v>
      </c>
      <c r="B927" s="4" t="s">
        <v>2447</v>
      </c>
      <c r="C927" s="26"/>
      <c r="D927" s="111" t="s">
        <v>2537</v>
      </c>
      <c r="E927" s="24" t="s">
        <v>2538</v>
      </c>
      <c r="F927" s="24" t="s">
        <v>43</v>
      </c>
      <c r="G927" s="4" t="s">
        <v>2539</v>
      </c>
      <c r="H927" s="69" t="s">
        <v>2456</v>
      </c>
      <c r="I927" s="69" t="s">
        <v>2451</v>
      </c>
      <c r="J927" s="138" t="s">
        <v>2458</v>
      </c>
      <c r="K927" s="3" t="str">
        <f t="shared" ca="1" si="207"/>
        <v xml:space="preserve">7 Tahun 3 bulan </v>
      </c>
      <c r="L927" s="56" t="s">
        <v>1749</v>
      </c>
      <c r="M927" s="138" t="s">
        <v>2458</v>
      </c>
      <c r="N927" s="3" t="str">
        <f t="shared" ca="1" si="203"/>
        <v xml:space="preserve">7 Tahun 3 bulan </v>
      </c>
      <c r="O927" s="35"/>
      <c r="P927" s="4" t="s">
        <v>35</v>
      </c>
      <c r="Q927" s="4" t="str">
        <f t="shared" si="209"/>
        <v>Perempuan</v>
      </c>
      <c r="R927" s="4">
        <f t="shared" si="212"/>
        <v>1</v>
      </c>
      <c r="S927" s="4" t="str">
        <f t="shared" si="206"/>
        <v>1</v>
      </c>
      <c r="T927" s="4">
        <f t="shared" si="213"/>
        <v>0</v>
      </c>
      <c r="U927" s="29"/>
      <c r="V927" s="30"/>
      <c r="W927" s="30"/>
      <c r="X927" s="30"/>
      <c r="Y927" s="30"/>
      <c r="Z927" s="30"/>
      <c r="AA927" s="30"/>
      <c r="AB927" s="29"/>
      <c r="AC927" s="29"/>
      <c r="AD927" s="37">
        <f t="shared" si="210"/>
        <v>28836</v>
      </c>
      <c r="AE927" s="3" t="str">
        <f t="shared" ca="1" si="208"/>
        <v>47 Tahun 8 bulan 20 Hari</v>
      </c>
      <c r="AF927" s="38">
        <f t="shared" si="211"/>
        <v>50771</v>
      </c>
    </row>
    <row r="928" spans="1:32" s="7" customFormat="1" ht="32.15" customHeight="1" x14ac:dyDescent="0.35">
      <c r="A928" s="26">
        <f t="shared" si="205"/>
        <v>864</v>
      </c>
      <c r="B928" s="32" t="s">
        <v>2447</v>
      </c>
      <c r="C928" s="288" t="s">
        <v>2540</v>
      </c>
      <c r="D928" s="289"/>
      <c r="E928" s="42" t="s">
        <v>3113</v>
      </c>
      <c r="F928" s="71" t="s">
        <v>43</v>
      </c>
      <c r="G928" s="43" t="s">
        <v>3114</v>
      </c>
      <c r="H928" s="69" t="s">
        <v>3115</v>
      </c>
      <c r="I928" s="69"/>
      <c r="J928" s="109">
        <v>46260</v>
      </c>
      <c r="K928" s="3" t="str">
        <f t="shared" ca="1" si="207"/>
        <v xml:space="preserve">0 Tahun 0 bulan </v>
      </c>
      <c r="L928" s="25" t="s">
        <v>2452</v>
      </c>
      <c r="M928" s="109">
        <v>46260</v>
      </c>
      <c r="N928" s="3" t="str">
        <f t="shared" ca="1" si="203"/>
        <v xml:space="preserve">0 Tahun 0 bulan </v>
      </c>
      <c r="O928" s="35"/>
      <c r="P928" s="4" t="s">
        <v>35</v>
      </c>
      <c r="Q928" s="4" t="str">
        <f t="shared" si="209"/>
        <v>Perempuan</v>
      </c>
      <c r="R928" s="4">
        <f t="shared" si="212"/>
        <v>1</v>
      </c>
      <c r="S928" s="4" t="str">
        <f t="shared" si="206"/>
        <v>1</v>
      </c>
      <c r="T928" s="4">
        <f t="shared" si="213"/>
        <v>0</v>
      </c>
      <c r="U928" s="29"/>
      <c r="V928" s="30"/>
      <c r="W928" s="30"/>
      <c r="X928" s="30"/>
      <c r="Y928" s="30"/>
      <c r="Z928" s="30"/>
      <c r="AA928" s="30"/>
      <c r="AB928" s="29"/>
      <c r="AC928" s="29"/>
      <c r="AD928" s="37">
        <f t="shared" si="210"/>
        <v>34044</v>
      </c>
      <c r="AE928" s="3" t="str">
        <f t="shared" ca="1" si="208"/>
        <v>33 Tahun 5 bulan 16 Hari</v>
      </c>
      <c r="AF928" s="38">
        <f t="shared" si="211"/>
        <v>55975</v>
      </c>
    </row>
    <row r="929" spans="1:32" s="7" customFormat="1" ht="32.15" customHeight="1" x14ac:dyDescent="0.35">
      <c r="A929" s="26">
        <f t="shared" si="205"/>
        <v>865</v>
      </c>
      <c r="B929" s="4" t="s">
        <v>2447</v>
      </c>
      <c r="C929" s="26"/>
      <c r="D929" s="111" t="s">
        <v>2542</v>
      </c>
      <c r="E929" s="24" t="s">
        <v>2543</v>
      </c>
      <c r="F929" s="24" t="s">
        <v>43</v>
      </c>
      <c r="G929" s="4" t="s">
        <v>2544</v>
      </c>
      <c r="H929" s="69" t="s">
        <v>2479</v>
      </c>
      <c r="I929" s="69" t="s">
        <v>2545</v>
      </c>
      <c r="J929" s="138" t="s">
        <v>2458</v>
      </c>
      <c r="K929" s="3" t="str">
        <f t="shared" ca="1" si="207"/>
        <v xml:space="preserve">7 Tahun 3 bulan </v>
      </c>
      <c r="L929" s="56" t="s">
        <v>1749</v>
      </c>
      <c r="M929" s="138" t="s">
        <v>2458</v>
      </c>
      <c r="N929" s="3" t="str">
        <f t="shared" ca="1" si="203"/>
        <v xml:space="preserve">7 Tahun 3 bulan </v>
      </c>
      <c r="O929" s="35"/>
      <c r="P929" s="4" t="s">
        <v>35</v>
      </c>
      <c r="Q929" s="4" t="str">
        <f t="shared" si="209"/>
        <v>Laki-Laki</v>
      </c>
      <c r="R929" s="4">
        <f t="shared" si="212"/>
        <v>1</v>
      </c>
      <c r="S929" s="4" t="str">
        <f t="shared" si="206"/>
        <v>1</v>
      </c>
      <c r="T929" s="4">
        <f t="shared" si="213"/>
        <v>0</v>
      </c>
      <c r="U929" s="29"/>
      <c r="V929" s="30" t="s">
        <v>50</v>
      </c>
      <c r="W929" s="30"/>
      <c r="X929" s="30"/>
      <c r="Y929" s="30"/>
      <c r="Z929" s="30"/>
      <c r="AA929" s="30"/>
      <c r="AB929" s="29"/>
      <c r="AC929" s="29"/>
      <c r="AD929" s="37">
        <f t="shared" si="210"/>
        <v>30388</v>
      </c>
      <c r="AE929" s="3" t="str">
        <f t="shared" ca="1" si="208"/>
        <v>43 Tahun 5 bulan 19 Hari</v>
      </c>
      <c r="AF929" s="38">
        <f t="shared" si="211"/>
        <v>52322</v>
      </c>
    </row>
    <row r="930" spans="1:32" s="7" customFormat="1" ht="32.15" customHeight="1" x14ac:dyDescent="0.35">
      <c r="A930" s="26">
        <f t="shared" si="205"/>
        <v>866</v>
      </c>
      <c r="B930" s="32" t="s">
        <v>2447</v>
      </c>
      <c r="C930" s="288" t="s">
        <v>2546</v>
      </c>
      <c r="D930" s="289"/>
      <c r="E930" s="71" t="s">
        <v>2547</v>
      </c>
      <c r="F930" s="71" t="s">
        <v>43</v>
      </c>
      <c r="G930" s="3" t="s">
        <v>2548</v>
      </c>
      <c r="H930" s="56" t="s">
        <v>241</v>
      </c>
      <c r="I930" s="25" t="s">
        <v>2549</v>
      </c>
      <c r="J930" s="72" t="s">
        <v>338</v>
      </c>
      <c r="K930" s="3" t="str">
        <f t="shared" ca="1" si="207"/>
        <v xml:space="preserve">2 Tahun 11 bulan </v>
      </c>
      <c r="L930" s="25" t="s">
        <v>2452</v>
      </c>
      <c r="M930" s="72" t="s">
        <v>338</v>
      </c>
      <c r="N930" s="3" t="str">
        <f t="shared" ca="1" si="203"/>
        <v xml:space="preserve">2 Tahun 11 bulan </v>
      </c>
      <c r="O930" s="35"/>
      <c r="P930" s="4" t="s">
        <v>35</v>
      </c>
      <c r="Q930" s="4" t="str">
        <f t="shared" si="209"/>
        <v>Perempuan</v>
      </c>
      <c r="R930" s="4">
        <f t="shared" si="212"/>
        <v>1</v>
      </c>
      <c r="S930" s="4" t="str">
        <f t="shared" si="206"/>
        <v>1</v>
      </c>
      <c r="T930" s="4">
        <f t="shared" si="213"/>
        <v>0</v>
      </c>
      <c r="U930" s="29"/>
      <c r="V930" s="30"/>
      <c r="W930" s="30"/>
      <c r="X930" s="30"/>
      <c r="Y930" s="30"/>
      <c r="Z930" s="30"/>
      <c r="AA930" s="30"/>
      <c r="AB930" s="29"/>
      <c r="AC930" s="29"/>
      <c r="AD930" s="37">
        <f t="shared" si="210"/>
        <v>31450</v>
      </c>
      <c r="AE930" s="3" t="str">
        <f t="shared" ca="1" si="208"/>
        <v>40 Tahun 6 bulan 25 Hari</v>
      </c>
      <c r="AF930" s="38">
        <f t="shared" si="211"/>
        <v>53387</v>
      </c>
    </row>
    <row r="931" spans="1:32" s="7" customFormat="1" ht="32.15" customHeight="1" x14ac:dyDescent="0.35">
      <c r="A931" s="26">
        <f t="shared" si="205"/>
        <v>867</v>
      </c>
      <c r="B931" s="4" t="s">
        <v>2447</v>
      </c>
      <c r="C931" s="26"/>
      <c r="D931" s="111" t="s">
        <v>2550</v>
      </c>
      <c r="E931" s="71" t="s">
        <v>2551</v>
      </c>
      <c r="F931" s="24" t="s">
        <v>43</v>
      </c>
      <c r="G931" s="70" t="s">
        <v>2552</v>
      </c>
      <c r="H931" s="4" t="s">
        <v>1845</v>
      </c>
      <c r="I931" s="4" t="s">
        <v>2489</v>
      </c>
      <c r="J931" s="72" t="s">
        <v>558</v>
      </c>
      <c r="K931" s="3" t="str">
        <f t="shared" ca="1" si="207"/>
        <v xml:space="preserve">6 Tahun 4 bulan </v>
      </c>
      <c r="L931" s="56" t="s">
        <v>1749</v>
      </c>
      <c r="M931" s="72" t="s">
        <v>558</v>
      </c>
      <c r="N931" s="3" t="str">
        <f t="shared" ca="1" si="203"/>
        <v xml:space="preserve">6 Tahun 4 bulan </v>
      </c>
      <c r="O931" s="35"/>
      <c r="P931" s="4" t="s">
        <v>35</v>
      </c>
      <c r="Q931" s="4" t="str">
        <f t="shared" si="209"/>
        <v>Laki-Laki</v>
      </c>
      <c r="R931" s="4">
        <f t="shared" si="212"/>
        <v>1</v>
      </c>
      <c r="S931" s="4" t="str">
        <f t="shared" si="206"/>
        <v>1</v>
      </c>
      <c r="T931" s="4">
        <f t="shared" si="213"/>
        <v>0</v>
      </c>
      <c r="U931" s="29"/>
      <c r="V931" s="30" t="s">
        <v>50</v>
      </c>
      <c r="W931" s="30"/>
      <c r="X931" s="30"/>
      <c r="Y931" s="30"/>
      <c r="Z931" s="30"/>
      <c r="AA931" s="30"/>
      <c r="AB931" s="29"/>
      <c r="AC931" s="29"/>
      <c r="AD931" s="37">
        <f t="shared" si="210"/>
        <v>27377</v>
      </c>
      <c r="AE931" s="3" t="str">
        <f t="shared" ca="1" si="208"/>
        <v>51 Tahun 8 bulan 18 Hari</v>
      </c>
      <c r="AF931" s="38">
        <f t="shared" si="211"/>
        <v>49310</v>
      </c>
    </row>
    <row r="932" spans="1:32" s="7" customFormat="1" ht="32.15" customHeight="1" x14ac:dyDescent="0.35">
      <c r="A932" s="26">
        <f t="shared" si="205"/>
        <v>868</v>
      </c>
      <c r="B932" s="32" t="s">
        <v>2447</v>
      </c>
      <c r="C932" s="288" t="s">
        <v>2553</v>
      </c>
      <c r="D932" s="289"/>
      <c r="E932" s="71" t="s">
        <v>3124</v>
      </c>
      <c r="F932" s="71" t="s">
        <v>43</v>
      </c>
      <c r="G932" s="70" t="s">
        <v>2468</v>
      </c>
      <c r="H932" s="56" t="s">
        <v>3125</v>
      </c>
      <c r="I932" s="25"/>
      <c r="J932" s="213">
        <v>46260</v>
      </c>
      <c r="K932" s="3" t="str">
        <f t="shared" ca="1" si="207"/>
        <v xml:space="preserve">0 Tahun 0 bulan </v>
      </c>
      <c r="L932" s="25" t="s">
        <v>2452</v>
      </c>
      <c r="M932" s="213">
        <v>46260</v>
      </c>
      <c r="N932" s="3" t="str">
        <f t="shared" ca="1" si="203"/>
        <v xml:space="preserve">0 Tahun 0 bulan </v>
      </c>
      <c r="O932" s="35"/>
      <c r="P932" s="4" t="s">
        <v>35</v>
      </c>
      <c r="Q932" s="4" t="str">
        <f t="shared" si="209"/>
        <v>Laki-Laki</v>
      </c>
      <c r="R932" s="4">
        <f t="shared" si="212"/>
        <v>1</v>
      </c>
      <c r="S932" s="4" t="str">
        <f t="shared" si="206"/>
        <v>1</v>
      </c>
      <c r="T932" s="4">
        <f t="shared" si="213"/>
        <v>0</v>
      </c>
      <c r="U932" s="29"/>
      <c r="V932" s="30"/>
      <c r="W932" s="30"/>
      <c r="X932" s="30"/>
      <c r="Y932" s="30"/>
      <c r="Z932" s="30"/>
      <c r="AA932" s="30"/>
      <c r="AB932" s="29"/>
      <c r="AC932" s="29"/>
      <c r="AD932" s="37">
        <f t="shared" si="210"/>
        <v>28980</v>
      </c>
      <c r="AE932" s="3" t="str">
        <f t="shared" ca="1" si="208"/>
        <v>47 Tahun 3 bulan 27 Hari</v>
      </c>
      <c r="AF932" s="38">
        <f t="shared" si="211"/>
        <v>50922</v>
      </c>
    </row>
    <row r="933" spans="1:32" s="7" customFormat="1" ht="32.15" customHeight="1" x14ac:dyDescent="0.35">
      <c r="A933" s="26">
        <f t="shared" si="205"/>
        <v>869</v>
      </c>
      <c r="B933" s="4" t="s">
        <v>2447</v>
      </c>
      <c r="C933" s="26"/>
      <c r="D933" s="111" t="s">
        <v>2556</v>
      </c>
      <c r="E933" s="24" t="s">
        <v>2557</v>
      </c>
      <c r="F933" s="24" t="s">
        <v>43</v>
      </c>
      <c r="G933" s="4" t="s">
        <v>2558</v>
      </c>
      <c r="H933" s="69" t="s">
        <v>2456</v>
      </c>
      <c r="I933" s="69" t="s">
        <v>2498</v>
      </c>
      <c r="J933" s="138" t="s">
        <v>2458</v>
      </c>
      <c r="K933" s="3" t="str">
        <f t="shared" ca="1" si="207"/>
        <v xml:space="preserve">7 Tahun 3 bulan </v>
      </c>
      <c r="L933" s="56" t="s">
        <v>1749</v>
      </c>
      <c r="M933" s="138" t="s">
        <v>2458</v>
      </c>
      <c r="N933" s="3" t="str">
        <f t="shared" ca="1" si="203"/>
        <v xml:space="preserve">7 Tahun 3 bulan </v>
      </c>
      <c r="O933" s="35"/>
      <c r="P933" s="4" t="s">
        <v>35</v>
      </c>
      <c r="Q933" s="4" t="str">
        <f t="shared" si="209"/>
        <v>Laki-Laki</v>
      </c>
      <c r="R933" s="4">
        <f t="shared" si="212"/>
        <v>1</v>
      </c>
      <c r="S933" s="4" t="str">
        <f t="shared" si="206"/>
        <v>1</v>
      </c>
      <c r="T933" s="4">
        <f t="shared" si="213"/>
        <v>0</v>
      </c>
      <c r="U933" s="29"/>
      <c r="V933" s="30" t="s">
        <v>50</v>
      </c>
      <c r="W933" s="30"/>
      <c r="X933" s="30"/>
      <c r="Y933" s="30"/>
      <c r="Z933" s="30"/>
      <c r="AA933" s="30"/>
      <c r="AB933" s="29"/>
      <c r="AC933" s="29"/>
      <c r="AD933" s="37">
        <f t="shared" si="210"/>
        <v>27491</v>
      </c>
      <c r="AE933" s="3" t="str">
        <f t="shared" ca="1" si="208"/>
        <v>51 Tahun 4 bulan 25 Hari</v>
      </c>
      <c r="AF933" s="38">
        <f t="shared" si="211"/>
        <v>49430</v>
      </c>
    </row>
    <row r="934" spans="1:32" s="7" customFormat="1" ht="32.15" customHeight="1" x14ac:dyDescent="0.35">
      <c r="A934" s="26">
        <f t="shared" si="205"/>
        <v>870</v>
      </c>
      <c r="B934" s="32" t="s">
        <v>2447</v>
      </c>
      <c r="C934" s="288" t="s">
        <v>2559</v>
      </c>
      <c r="D934" s="289"/>
      <c r="E934" s="24" t="s">
        <v>3134</v>
      </c>
      <c r="F934" s="71" t="s">
        <v>71</v>
      </c>
      <c r="G934" s="3" t="s">
        <v>3135</v>
      </c>
      <c r="H934" s="4" t="s">
        <v>3136</v>
      </c>
      <c r="I934" s="4"/>
      <c r="J934" s="212">
        <v>46260</v>
      </c>
      <c r="K934" s="3" t="str">
        <f t="shared" ca="1" si="207"/>
        <v xml:space="preserve">0 Tahun 0 bulan </v>
      </c>
      <c r="L934" s="25" t="s">
        <v>2452</v>
      </c>
      <c r="M934" s="212">
        <v>46260</v>
      </c>
      <c r="N934" s="3" t="str">
        <f t="shared" ca="1" si="203"/>
        <v xml:space="preserve">0 Tahun 0 bulan </v>
      </c>
      <c r="O934" s="35"/>
      <c r="P934" s="4" t="s">
        <v>35</v>
      </c>
      <c r="Q934" s="4" t="str">
        <f t="shared" si="209"/>
        <v>Perempuan</v>
      </c>
      <c r="R934" s="4">
        <f t="shared" si="212"/>
        <v>1</v>
      </c>
      <c r="S934" s="4" t="str">
        <f t="shared" si="206"/>
        <v>1</v>
      </c>
      <c r="T934" s="4">
        <f t="shared" si="213"/>
        <v>0</v>
      </c>
      <c r="U934" s="29"/>
      <c r="V934" s="30" t="s">
        <v>50</v>
      </c>
      <c r="W934" s="30"/>
      <c r="X934" s="30"/>
      <c r="Y934" s="30"/>
      <c r="Z934" s="30"/>
      <c r="AA934" s="30"/>
      <c r="AB934" s="29"/>
      <c r="AC934" s="29"/>
      <c r="AD934" s="37">
        <f t="shared" si="210"/>
        <v>32754</v>
      </c>
      <c r="AE934" s="3" t="str">
        <f t="shared" ca="1" si="208"/>
        <v>36 Tahun 11 bulan 29 Hari</v>
      </c>
      <c r="AF934" s="38">
        <f t="shared" si="211"/>
        <v>54697</v>
      </c>
    </row>
    <row r="935" spans="1:32" s="7" customFormat="1" ht="32.15" customHeight="1" x14ac:dyDescent="0.35">
      <c r="A935" s="26">
        <f t="shared" si="205"/>
        <v>871</v>
      </c>
      <c r="B935" s="4" t="s">
        <v>2447</v>
      </c>
      <c r="C935" s="26"/>
      <c r="D935" s="111" t="s">
        <v>2560</v>
      </c>
      <c r="E935" s="24" t="s">
        <v>2561</v>
      </c>
      <c r="F935" s="24" t="s">
        <v>43</v>
      </c>
      <c r="G935" s="4" t="s">
        <v>2562</v>
      </c>
      <c r="H935" s="69" t="s">
        <v>2563</v>
      </c>
      <c r="I935" s="69" t="s">
        <v>2515</v>
      </c>
      <c r="J935" s="138" t="s">
        <v>2458</v>
      </c>
      <c r="K935" s="3" t="str">
        <f t="shared" ca="1" si="207"/>
        <v xml:space="preserve">7 Tahun 3 bulan </v>
      </c>
      <c r="L935" s="56" t="s">
        <v>1749</v>
      </c>
      <c r="M935" s="138" t="s">
        <v>2458</v>
      </c>
      <c r="N935" s="3" t="str">
        <f t="shared" ca="1" si="203"/>
        <v xml:space="preserve">7 Tahun 3 bulan </v>
      </c>
      <c r="O935" s="35"/>
      <c r="P935" s="4" t="s">
        <v>35</v>
      </c>
      <c r="Q935" s="4" t="str">
        <f t="shared" si="209"/>
        <v>Laki-Laki</v>
      </c>
      <c r="R935" s="4">
        <f t="shared" si="212"/>
        <v>1</v>
      </c>
      <c r="S935" s="4" t="str">
        <f t="shared" si="206"/>
        <v>1</v>
      </c>
      <c r="T935" s="4">
        <f t="shared" si="213"/>
        <v>0</v>
      </c>
      <c r="U935" s="29"/>
      <c r="V935" s="30" t="s">
        <v>50</v>
      </c>
      <c r="W935" s="30"/>
      <c r="X935" s="30"/>
      <c r="Y935" s="30"/>
      <c r="Z935" s="30"/>
      <c r="AA935" s="30"/>
      <c r="AB935" s="29"/>
      <c r="AC935" s="29"/>
      <c r="AD935" s="37">
        <f t="shared" si="210"/>
        <v>30598</v>
      </c>
      <c r="AE935" s="3" t="str">
        <f t="shared" ca="1" si="208"/>
        <v>42 Tahun 10 bulan 23 Hari</v>
      </c>
      <c r="AF935" s="38">
        <f t="shared" si="211"/>
        <v>52536</v>
      </c>
    </row>
    <row r="936" spans="1:32" s="7" customFormat="1" ht="32.15" customHeight="1" x14ac:dyDescent="0.35">
      <c r="A936" s="26">
        <f t="shared" si="205"/>
        <v>872</v>
      </c>
      <c r="B936" s="32" t="s">
        <v>2447</v>
      </c>
      <c r="C936" s="288" t="s">
        <v>2564</v>
      </c>
      <c r="D936" s="289"/>
      <c r="E936" s="24" t="s">
        <v>2565</v>
      </c>
      <c r="F936" s="71" t="s">
        <v>43</v>
      </c>
      <c r="G936" s="4" t="s">
        <v>2566</v>
      </c>
      <c r="H936" s="4" t="s">
        <v>259</v>
      </c>
      <c r="I936" s="69" t="s">
        <v>2489</v>
      </c>
      <c r="J936" s="110" t="s">
        <v>711</v>
      </c>
      <c r="K936" s="3" t="str">
        <f t="shared" ca="1" si="207"/>
        <v xml:space="preserve">4 Tahun 11 bulan </v>
      </c>
      <c r="L936" s="25" t="s">
        <v>2452</v>
      </c>
      <c r="M936" s="110" t="s">
        <v>711</v>
      </c>
      <c r="N936" s="3" t="str">
        <f t="shared" ca="1" si="203"/>
        <v xml:space="preserve">4 Tahun 11 bulan </v>
      </c>
      <c r="O936" s="35"/>
      <c r="P936" s="4" t="s">
        <v>35</v>
      </c>
      <c r="Q936" s="4" t="str">
        <f t="shared" si="209"/>
        <v>Perempuan</v>
      </c>
      <c r="R936" s="4">
        <f t="shared" si="212"/>
        <v>1</v>
      </c>
      <c r="S936" s="4" t="str">
        <f t="shared" si="206"/>
        <v>1</v>
      </c>
      <c r="T936" s="4">
        <f t="shared" si="213"/>
        <v>0</v>
      </c>
      <c r="U936" s="29"/>
      <c r="V936" s="30"/>
      <c r="W936" s="30"/>
      <c r="X936" s="30"/>
      <c r="Y936" s="30"/>
      <c r="Z936" s="30"/>
      <c r="AA936" s="30"/>
      <c r="AB936" s="29"/>
      <c r="AC936" s="29"/>
      <c r="AD936" s="37">
        <f t="shared" si="210"/>
        <v>28470</v>
      </c>
      <c r="AE936" s="3" t="str">
        <f t="shared" ca="1" si="208"/>
        <v>48 Tahun 8 bulan 21 Hari</v>
      </c>
      <c r="AF936" s="38">
        <f t="shared" si="211"/>
        <v>50406</v>
      </c>
    </row>
    <row r="937" spans="1:32" s="7" customFormat="1" ht="32.15" customHeight="1" x14ac:dyDescent="0.35">
      <c r="A937" s="26">
        <f t="shared" si="205"/>
        <v>873</v>
      </c>
      <c r="B937" s="4" t="s">
        <v>2447</v>
      </c>
      <c r="C937" s="26"/>
      <c r="D937" s="111" t="s">
        <v>2567</v>
      </c>
      <c r="E937" s="24" t="s">
        <v>108</v>
      </c>
      <c r="F937" s="24"/>
      <c r="G937" s="4"/>
      <c r="H937" s="69"/>
      <c r="I937" s="69"/>
      <c r="J937" s="110"/>
      <c r="K937" s="3" t="str">
        <f t="shared" ca="1" si="207"/>
        <v/>
      </c>
      <c r="L937" s="56" t="s">
        <v>1749</v>
      </c>
      <c r="M937" s="136"/>
      <c r="N937" s="3" t="str">
        <f t="shared" ca="1" si="203"/>
        <v/>
      </c>
      <c r="O937" s="35"/>
      <c r="P937" s="4"/>
      <c r="Q937" s="4" t="str">
        <f t="shared" si="209"/>
        <v/>
      </c>
      <c r="R937" s="4">
        <f t="shared" si="212"/>
        <v>1</v>
      </c>
      <c r="S937" s="4" t="str">
        <f t="shared" si="206"/>
        <v>0</v>
      </c>
      <c r="T937" s="4">
        <f t="shared" si="213"/>
        <v>1</v>
      </c>
      <c r="U937" s="29"/>
      <c r="V937" s="30" t="s">
        <v>50</v>
      </c>
      <c r="W937" s="30"/>
      <c r="X937" s="30"/>
      <c r="Y937" s="30"/>
      <c r="Z937" s="30"/>
      <c r="AA937" s="30"/>
      <c r="AB937" s="29"/>
      <c r="AC937" s="29"/>
      <c r="AD937" s="37" t="str">
        <f t="shared" si="210"/>
        <v/>
      </c>
      <c r="AE937" s="3" t="str">
        <f t="shared" ca="1" si="208"/>
        <v/>
      </c>
      <c r="AF937" s="38" t="str">
        <f t="shared" si="211"/>
        <v/>
      </c>
    </row>
    <row r="938" spans="1:32" s="7" customFormat="1" ht="32.15" customHeight="1" x14ac:dyDescent="0.35">
      <c r="A938" s="26">
        <f t="shared" si="205"/>
        <v>874</v>
      </c>
      <c r="B938" s="32" t="s">
        <v>2447</v>
      </c>
      <c r="C938" s="288" t="s">
        <v>2568</v>
      </c>
      <c r="D938" s="289"/>
      <c r="E938" s="24" t="s">
        <v>3118</v>
      </c>
      <c r="F938" s="24" t="s">
        <v>43</v>
      </c>
      <c r="G938" s="3" t="s">
        <v>3119</v>
      </c>
      <c r="H938" s="56" t="s">
        <v>3120</v>
      </c>
      <c r="I938" s="4"/>
      <c r="J938" s="213">
        <v>46260</v>
      </c>
      <c r="K938" s="3" t="str">
        <f t="shared" ca="1" si="207"/>
        <v xml:space="preserve">0 Tahun 0 bulan </v>
      </c>
      <c r="L938" s="25" t="s">
        <v>2452</v>
      </c>
      <c r="M938" s="213">
        <v>46260</v>
      </c>
      <c r="N938" s="3" t="str">
        <f t="shared" ca="1" si="203"/>
        <v xml:space="preserve">0 Tahun 0 bulan </v>
      </c>
      <c r="O938" s="35"/>
      <c r="P938" s="4" t="s">
        <v>35</v>
      </c>
      <c r="Q938" s="4" t="str">
        <f t="shared" si="209"/>
        <v>Perempuan</v>
      </c>
      <c r="R938" s="4">
        <f t="shared" si="212"/>
        <v>1</v>
      </c>
      <c r="S938" s="4" t="str">
        <f t="shared" si="206"/>
        <v>1</v>
      </c>
      <c r="T938" s="4">
        <f t="shared" si="213"/>
        <v>0</v>
      </c>
      <c r="U938" s="29"/>
      <c r="V938" s="30"/>
      <c r="W938" s="30"/>
      <c r="X938" s="30"/>
      <c r="Y938" s="30"/>
      <c r="Z938" s="30"/>
      <c r="AA938" s="30"/>
      <c r="AB938" s="29"/>
      <c r="AC938" s="29"/>
      <c r="AD938" s="37">
        <f t="shared" si="210"/>
        <v>27159</v>
      </c>
      <c r="AE938" s="3" t="str">
        <f t="shared" ca="1" si="208"/>
        <v>52 Tahun 3 bulan 22 Hari</v>
      </c>
      <c r="AF938" s="38">
        <f t="shared" si="211"/>
        <v>49096</v>
      </c>
    </row>
    <row r="939" spans="1:32" s="7" customFormat="1" ht="32.15" customHeight="1" x14ac:dyDescent="0.35">
      <c r="A939" s="26">
        <f t="shared" si="205"/>
        <v>875</v>
      </c>
      <c r="B939" s="4" t="s">
        <v>2447</v>
      </c>
      <c r="C939" s="26"/>
      <c r="D939" s="111" t="s">
        <v>2569</v>
      </c>
      <c r="E939" s="24" t="s">
        <v>2570</v>
      </c>
      <c r="F939" s="24" t="s">
        <v>43</v>
      </c>
      <c r="G939" s="4" t="s">
        <v>2571</v>
      </c>
      <c r="H939" s="56" t="s">
        <v>687</v>
      </c>
      <c r="I939" s="69" t="s">
        <v>2451</v>
      </c>
      <c r="J939" s="138" t="s">
        <v>2458</v>
      </c>
      <c r="K939" s="3" t="str">
        <f t="shared" ca="1" si="207"/>
        <v xml:space="preserve">7 Tahun 3 bulan </v>
      </c>
      <c r="L939" s="56" t="s">
        <v>1749</v>
      </c>
      <c r="M939" s="138" t="s">
        <v>2458</v>
      </c>
      <c r="N939" s="3" t="str">
        <f t="shared" ca="1" si="203"/>
        <v xml:space="preserve">7 Tahun 3 bulan </v>
      </c>
      <c r="O939" s="35"/>
      <c r="P939" s="4" t="s">
        <v>35</v>
      </c>
      <c r="Q939" s="4" t="str">
        <f t="shared" si="209"/>
        <v>Perempuan</v>
      </c>
      <c r="R939" s="4">
        <f t="shared" si="212"/>
        <v>1</v>
      </c>
      <c r="S939" s="4" t="str">
        <f t="shared" si="206"/>
        <v>1</v>
      </c>
      <c r="T939" s="4">
        <f t="shared" si="213"/>
        <v>0</v>
      </c>
      <c r="U939" s="29"/>
      <c r="V939" s="30"/>
      <c r="W939" s="30"/>
      <c r="X939" s="30"/>
      <c r="Y939" s="30"/>
      <c r="Z939" s="30"/>
      <c r="AA939" s="30"/>
      <c r="AB939" s="29"/>
      <c r="AC939" s="29"/>
      <c r="AD939" s="37">
        <f t="shared" si="210"/>
        <v>31297</v>
      </c>
      <c r="AE939" s="3" t="str">
        <f t="shared" ca="1" si="208"/>
        <v>40 Tahun 11 bulan 25 Hari</v>
      </c>
      <c r="AF939" s="38">
        <f t="shared" si="211"/>
        <v>53236</v>
      </c>
    </row>
    <row r="940" spans="1:32" s="7" customFormat="1" ht="32.15" customHeight="1" x14ac:dyDescent="0.35">
      <c r="A940" s="26">
        <f t="shared" si="205"/>
        <v>876</v>
      </c>
      <c r="B940" s="32" t="s">
        <v>2447</v>
      </c>
      <c r="C940" s="288" t="s">
        <v>2572</v>
      </c>
      <c r="D940" s="289"/>
      <c r="E940" s="71" t="s">
        <v>3116</v>
      </c>
      <c r="F940" s="24" t="s">
        <v>43</v>
      </c>
      <c r="G940" s="70" t="s">
        <v>3117</v>
      </c>
      <c r="H940" s="4" t="s">
        <v>112</v>
      </c>
      <c r="I940" s="25"/>
      <c r="J940" s="216">
        <v>46260</v>
      </c>
      <c r="K940" s="3" t="str">
        <f t="shared" ca="1" si="207"/>
        <v xml:space="preserve">0 Tahun 0 bulan </v>
      </c>
      <c r="L940" s="25" t="s">
        <v>2452</v>
      </c>
      <c r="M940" s="213">
        <v>46260</v>
      </c>
      <c r="N940" s="3" t="str">
        <f t="shared" ca="1" si="203"/>
        <v xml:space="preserve">0 Tahun 0 bulan </v>
      </c>
      <c r="O940" s="35"/>
      <c r="P940" s="4" t="s">
        <v>35</v>
      </c>
      <c r="Q940" s="4" t="str">
        <f t="shared" si="209"/>
        <v>Perempuan</v>
      </c>
      <c r="R940" s="4">
        <f t="shared" si="212"/>
        <v>1</v>
      </c>
      <c r="S940" s="4" t="str">
        <f t="shared" si="206"/>
        <v>1</v>
      </c>
      <c r="T940" s="4">
        <f t="shared" si="213"/>
        <v>0</v>
      </c>
      <c r="U940" s="29"/>
      <c r="V940" s="30"/>
      <c r="W940" s="30"/>
      <c r="X940" s="30"/>
      <c r="Y940" s="30"/>
      <c r="Z940" s="30"/>
      <c r="AA940" s="30"/>
      <c r="AB940" s="29"/>
      <c r="AC940" s="29"/>
      <c r="AD940" s="37">
        <f t="shared" si="210"/>
        <v>29961</v>
      </c>
      <c r="AE940" s="3" t="str">
        <f t="shared" ca="1" si="208"/>
        <v>44 Tahun 7 bulan 22 Hari</v>
      </c>
      <c r="AF940" s="38">
        <f t="shared" si="211"/>
        <v>51898</v>
      </c>
    </row>
    <row r="941" spans="1:32" s="7" customFormat="1" ht="32.15" customHeight="1" x14ac:dyDescent="0.35">
      <c r="A941" s="26">
        <f t="shared" si="205"/>
        <v>877</v>
      </c>
      <c r="B941" s="4" t="s">
        <v>2447</v>
      </c>
      <c r="C941" s="26"/>
      <c r="D941" s="111" t="s">
        <v>2573</v>
      </c>
      <c r="E941" s="24" t="s">
        <v>2574</v>
      </c>
      <c r="F941" s="24" t="s">
        <v>43</v>
      </c>
      <c r="G941" s="4" t="s">
        <v>2575</v>
      </c>
      <c r="H941" s="69" t="s">
        <v>2576</v>
      </c>
      <c r="I941" s="69" t="s">
        <v>744</v>
      </c>
      <c r="J941" s="72" t="s">
        <v>1032</v>
      </c>
      <c r="K941" s="3" t="str">
        <f t="shared" ca="1" si="207"/>
        <v xml:space="preserve">4 Tahun 5 bulan </v>
      </c>
      <c r="L941" s="56" t="s">
        <v>1749</v>
      </c>
      <c r="M941" s="72" t="s">
        <v>1032</v>
      </c>
      <c r="N941" s="3" t="str">
        <f t="shared" ca="1" si="203"/>
        <v xml:space="preserve">4 Tahun 5 bulan </v>
      </c>
      <c r="O941" s="35"/>
      <c r="P941" s="4" t="s">
        <v>35</v>
      </c>
      <c r="Q941" s="4" t="str">
        <f t="shared" si="209"/>
        <v>Laki-Laki</v>
      </c>
      <c r="R941" s="4">
        <f t="shared" si="212"/>
        <v>1</v>
      </c>
      <c r="S941" s="4" t="str">
        <f t="shared" si="206"/>
        <v>1</v>
      </c>
      <c r="T941" s="4">
        <f t="shared" si="213"/>
        <v>0</v>
      </c>
      <c r="U941" s="29"/>
      <c r="V941" s="30" t="s">
        <v>50</v>
      </c>
      <c r="W941" s="30"/>
      <c r="X941" s="30"/>
      <c r="Y941" s="30"/>
      <c r="Z941" s="30"/>
      <c r="AA941" s="30"/>
      <c r="AB941" s="29"/>
      <c r="AC941" s="29"/>
      <c r="AD941" s="37">
        <f t="shared" si="210"/>
        <v>25513</v>
      </c>
      <c r="AE941" s="3" t="str">
        <f t="shared" ca="1" si="208"/>
        <v>56 Tahun 9 bulan 26 Hari</v>
      </c>
      <c r="AF941" s="38">
        <f t="shared" si="211"/>
        <v>47453</v>
      </c>
    </row>
    <row r="942" spans="1:32" s="7" customFormat="1" ht="32.15" customHeight="1" x14ac:dyDescent="0.35">
      <c r="A942" s="26">
        <f t="shared" si="205"/>
        <v>878</v>
      </c>
      <c r="B942" s="32" t="s">
        <v>2447</v>
      </c>
      <c r="C942" s="288" t="s">
        <v>2577</v>
      </c>
      <c r="D942" s="289"/>
      <c r="E942" s="71" t="s">
        <v>2578</v>
      </c>
      <c r="F942" s="24" t="s">
        <v>71</v>
      </c>
      <c r="G942" s="70" t="s">
        <v>2579</v>
      </c>
      <c r="H942" s="56" t="s">
        <v>2580</v>
      </c>
      <c r="I942" s="69" t="s">
        <v>2480</v>
      </c>
      <c r="J942" s="213">
        <v>46260</v>
      </c>
      <c r="K942" s="3" t="str">
        <f t="shared" ca="1" si="207"/>
        <v xml:space="preserve">0 Tahun 0 bulan </v>
      </c>
      <c r="L942" s="25" t="s">
        <v>2452</v>
      </c>
      <c r="M942" s="213">
        <v>46260</v>
      </c>
      <c r="N942" s="3" t="str">
        <f t="shared" ca="1" si="203"/>
        <v xml:space="preserve">0 Tahun 0 bulan </v>
      </c>
      <c r="O942" s="35"/>
      <c r="P942" s="4" t="s">
        <v>35</v>
      </c>
      <c r="Q942" s="4" t="str">
        <f t="shared" si="209"/>
        <v>Perempuan</v>
      </c>
      <c r="R942" s="4">
        <f t="shared" si="212"/>
        <v>1</v>
      </c>
      <c r="S942" s="4" t="str">
        <f t="shared" si="206"/>
        <v>1</v>
      </c>
      <c r="T942" s="4">
        <f t="shared" si="213"/>
        <v>0</v>
      </c>
      <c r="U942" s="29"/>
      <c r="V942" s="30" t="s">
        <v>50</v>
      </c>
      <c r="W942" s="30"/>
      <c r="X942" s="30"/>
      <c r="Y942" s="30"/>
      <c r="Z942" s="30"/>
      <c r="AA942" s="30"/>
      <c r="AB942" s="29"/>
      <c r="AC942" s="29"/>
      <c r="AD942" s="37">
        <f t="shared" si="210"/>
        <v>27703</v>
      </c>
      <c r="AE942" s="3" t="str">
        <f t="shared" ca="1" si="208"/>
        <v>50 Tahun 9 bulan 27 Hari</v>
      </c>
      <c r="AF942" s="38">
        <f t="shared" si="211"/>
        <v>49644</v>
      </c>
    </row>
    <row r="943" spans="1:32" s="7" customFormat="1" ht="32.15" customHeight="1" x14ac:dyDescent="0.35">
      <c r="A943" s="26">
        <f t="shared" si="205"/>
        <v>879</v>
      </c>
      <c r="B943" s="4" t="s">
        <v>2447</v>
      </c>
      <c r="C943" s="26"/>
      <c r="D943" s="111" t="s">
        <v>2581</v>
      </c>
      <c r="E943" s="24" t="s">
        <v>2582</v>
      </c>
      <c r="F943" s="24" t="s">
        <v>43</v>
      </c>
      <c r="G943" s="4" t="s">
        <v>2583</v>
      </c>
      <c r="H943" s="69" t="s">
        <v>584</v>
      </c>
      <c r="I943" s="69" t="s">
        <v>2515</v>
      </c>
      <c r="J943" s="138" t="s">
        <v>2458</v>
      </c>
      <c r="K943" s="3" t="str">
        <f t="shared" ca="1" si="207"/>
        <v xml:space="preserve">7 Tahun 3 bulan </v>
      </c>
      <c r="L943" s="56" t="s">
        <v>1749</v>
      </c>
      <c r="M943" s="138" t="s">
        <v>2458</v>
      </c>
      <c r="N943" s="3" t="str">
        <f t="shared" ref="N943:N1008" ca="1" si="214">IF(M943="","",CONCATENATE(DATEDIF(M943,NOW(),"Y")," Tahun ",DATEDIF(M943,NOW(),"YM")," bulan "))</f>
        <v xml:space="preserve">7 Tahun 3 bulan </v>
      </c>
      <c r="O943" s="35"/>
      <c r="P943" s="4" t="s">
        <v>35</v>
      </c>
      <c r="Q943" s="4" t="str">
        <f t="shared" si="209"/>
        <v>Laki-Laki</v>
      </c>
      <c r="R943" s="4">
        <f t="shared" si="212"/>
        <v>1</v>
      </c>
      <c r="S943" s="4" t="str">
        <f t="shared" si="206"/>
        <v>1</v>
      </c>
      <c r="T943" s="4">
        <f t="shared" si="213"/>
        <v>0</v>
      </c>
      <c r="U943" s="29"/>
      <c r="V943" s="30" t="s">
        <v>50</v>
      </c>
      <c r="W943" s="30"/>
      <c r="X943" s="30"/>
      <c r="Y943" s="30"/>
      <c r="Z943" s="30"/>
      <c r="AA943" s="30"/>
      <c r="AB943" s="29"/>
      <c r="AC943" s="29"/>
      <c r="AD943" s="37">
        <f t="shared" si="210"/>
        <v>30598</v>
      </c>
      <c r="AE943" s="3" t="str">
        <f t="shared" ca="1" si="208"/>
        <v>42 Tahun 10 bulan 23 Hari</v>
      </c>
      <c r="AF943" s="38">
        <f t="shared" si="211"/>
        <v>52536</v>
      </c>
    </row>
    <row r="944" spans="1:32" s="7" customFormat="1" ht="32.15" customHeight="1" x14ac:dyDescent="0.35">
      <c r="A944" s="26">
        <f t="shared" si="205"/>
        <v>880</v>
      </c>
      <c r="B944" s="32" t="s">
        <v>2447</v>
      </c>
      <c r="C944" s="288" t="s">
        <v>2584</v>
      </c>
      <c r="D944" s="289"/>
      <c r="E944" s="24" t="s">
        <v>3130</v>
      </c>
      <c r="F944" s="24" t="s">
        <v>71</v>
      </c>
      <c r="G944" s="4" t="s">
        <v>2506</v>
      </c>
      <c r="H944" s="69" t="s">
        <v>458</v>
      </c>
      <c r="I944" s="69"/>
      <c r="J944" s="109">
        <v>46260</v>
      </c>
      <c r="K944" s="215">
        <v>46260</v>
      </c>
      <c r="L944" s="25" t="s">
        <v>2452</v>
      </c>
      <c r="M944" s="213">
        <v>46260</v>
      </c>
      <c r="N944" s="3" t="str">
        <f t="shared" ca="1" si="214"/>
        <v xml:space="preserve">0 Tahun 0 bulan </v>
      </c>
      <c r="O944" s="35"/>
      <c r="P944" s="4" t="s">
        <v>35</v>
      </c>
      <c r="Q944" s="4" t="str">
        <f t="shared" si="209"/>
        <v>Laki-Laki</v>
      </c>
      <c r="R944" s="4">
        <f t="shared" si="212"/>
        <v>1</v>
      </c>
      <c r="S944" s="4" t="str">
        <f t="shared" si="206"/>
        <v>1</v>
      </c>
      <c r="T944" s="4">
        <f t="shared" si="213"/>
        <v>0</v>
      </c>
      <c r="U944" s="29"/>
      <c r="V944" s="30"/>
      <c r="W944" s="30"/>
      <c r="X944" s="30"/>
      <c r="Y944" s="30"/>
      <c r="Z944" s="30"/>
      <c r="AA944" s="30"/>
      <c r="AB944" s="29"/>
      <c r="AC944" s="29"/>
      <c r="AD944" s="37">
        <f t="shared" si="210"/>
        <v>27826</v>
      </c>
      <c r="AE944" s="3" t="str">
        <f t="shared" ca="1" si="208"/>
        <v>50 Tahun 5 bulan 25 Hari</v>
      </c>
      <c r="AF944" s="38">
        <f t="shared" si="211"/>
        <v>49766</v>
      </c>
    </row>
    <row r="945" spans="1:33" ht="24.75" customHeight="1" x14ac:dyDescent="0.35">
      <c r="A945" s="26">
        <f t="shared" si="205"/>
        <v>881</v>
      </c>
      <c r="B945" s="4" t="s">
        <v>2447</v>
      </c>
      <c r="C945" s="26"/>
      <c r="D945" s="111" t="s">
        <v>2585</v>
      </c>
      <c r="E945" s="71" t="s">
        <v>108</v>
      </c>
      <c r="F945" s="24"/>
      <c r="G945" s="56"/>
      <c r="H945" s="56"/>
      <c r="I945" s="4"/>
      <c r="J945" s="138"/>
      <c r="K945" s="3" t="str">
        <f t="shared" ca="1" si="207"/>
        <v/>
      </c>
      <c r="L945" s="56" t="s">
        <v>1749</v>
      </c>
      <c r="M945" s="138"/>
      <c r="N945" s="3" t="str">
        <f t="shared" ca="1" si="214"/>
        <v/>
      </c>
      <c r="O945" s="35"/>
      <c r="P945" s="4"/>
      <c r="Q945" s="4" t="str">
        <f t="shared" si="209"/>
        <v/>
      </c>
      <c r="R945" s="4">
        <f t="shared" si="212"/>
        <v>1</v>
      </c>
      <c r="S945" s="4" t="str">
        <f t="shared" si="206"/>
        <v>0</v>
      </c>
      <c r="T945" s="4">
        <f t="shared" si="213"/>
        <v>1</v>
      </c>
      <c r="U945" s="29"/>
      <c r="V945" s="30" t="s">
        <v>50</v>
      </c>
      <c r="W945" s="30"/>
      <c r="X945" s="30"/>
      <c r="Y945" s="30"/>
      <c r="Z945" s="30"/>
      <c r="AA945" s="30"/>
      <c r="AB945" s="29"/>
      <c r="AC945" s="29"/>
      <c r="AD945" s="37" t="str">
        <f t="shared" si="210"/>
        <v/>
      </c>
      <c r="AE945" s="3" t="str">
        <f t="shared" ca="1" si="208"/>
        <v/>
      </c>
      <c r="AF945" s="38" t="str">
        <f t="shared" si="211"/>
        <v/>
      </c>
    </row>
    <row r="946" spans="1:33" ht="24.75" customHeight="1" x14ac:dyDescent="0.35">
      <c r="A946" s="26">
        <f t="shared" si="205"/>
        <v>882</v>
      </c>
      <c r="B946" s="32" t="s">
        <v>2447</v>
      </c>
      <c r="C946" s="288" t="s">
        <v>2586</v>
      </c>
      <c r="D946" s="289"/>
      <c r="E946" s="24" t="s">
        <v>3126</v>
      </c>
      <c r="F946" s="45" t="s">
        <v>43</v>
      </c>
      <c r="G946" s="4" t="s">
        <v>2603</v>
      </c>
      <c r="H946" s="4" t="s">
        <v>3127</v>
      </c>
      <c r="I946" s="4"/>
      <c r="J946" s="110">
        <v>46260</v>
      </c>
      <c r="K946" s="3" t="str">
        <f t="shared" ca="1" si="207"/>
        <v xml:space="preserve">0 Tahun 0 bulan </v>
      </c>
      <c r="L946" s="25" t="s">
        <v>2452</v>
      </c>
      <c r="M946" s="110">
        <v>46260</v>
      </c>
      <c r="N946" s="3" t="str">
        <f t="shared" ca="1" si="214"/>
        <v xml:space="preserve">0 Tahun 0 bulan </v>
      </c>
      <c r="O946" s="35"/>
      <c r="P946" s="4" t="s">
        <v>35</v>
      </c>
      <c r="Q946" s="4" t="str">
        <f t="shared" si="209"/>
        <v>Perempuan</v>
      </c>
      <c r="R946" s="4">
        <f t="shared" si="212"/>
        <v>1</v>
      </c>
      <c r="S946" s="4" t="str">
        <f t="shared" si="206"/>
        <v>1</v>
      </c>
      <c r="T946" s="4">
        <f t="shared" si="213"/>
        <v>0</v>
      </c>
      <c r="U946" s="29"/>
      <c r="V946" s="30" t="s">
        <v>50</v>
      </c>
      <c r="W946" s="30"/>
      <c r="X946" s="30"/>
      <c r="Y946" s="30"/>
      <c r="Z946" s="30"/>
      <c r="AA946" s="30"/>
      <c r="AB946" s="29"/>
      <c r="AC946" s="29"/>
      <c r="AD946" s="37">
        <f t="shared" si="210"/>
        <v>27447</v>
      </c>
      <c r="AE946" s="3" t="str">
        <f t="shared" ca="1" si="208"/>
        <v>51 Tahun 6 bulan 10 Hari</v>
      </c>
      <c r="AF946" s="38">
        <f t="shared" si="211"/>
        <v>49369</v>
      </c>
      <c r="AG946" s="7"/>
    </row>
    <row r="947" spans="1:33" ht="27" customHeight="1" x14ac:dyDescent="0.35">
      <c r="A947" s="26">
        <f t="shared" si="205"/>
        <v>883</v>
      </c>
      <c r="B947" s="4" t="s">
        <v>2447</v>
      </c>
      <c r="C947" s="26"/>
      <c r="D947" s="111" t="s">
        <v>2588</v>
      </c>
      <c r="E947" s="71" t="s">
        <v>2589</v>
      </c>
      <c r="F947" s="24" t="s">
        <v>43</v>
      </c>
      <c r="G947" s="56" t="s">
        <v>2590</v>
      </c>
      <c r="H947" s="69" t="s">
        <v>687</v>
      </c>
      <c r="I947" s="25" t="s">
        <v>1736</v>
      </c>
      <c r="J947" s="72" t="s">
        <v>206</v>
      </c>
      <c r="K947" s="3" t="str">
        <f t="shared" ca="1" si="207"/>
        <v xml:space="preserve">3 Tahun 10 bulan </v>
      </c>
      <c r="L947" s="56" t="s">
        <v>1749</v>
      </c>
      <c r="M947" s="72" t="s">
        <v>206</v>
      </c>
      <c r="N947" s="3" t="str">
        <f t="shared" ca="1" si="214"/>
        <v xml:space="preserve">3 Tahun 10 bulan </v>
      </c>
      <c r="O947" s="35"/>
      <c r="P947" s="4" t="s">
        <v>35</v>
      </c>
      <c r="Q947" s="4" t="str">
        <f t="shared" si="209"/>
        <v>Perempuan</v>
      </c>
      <c r="R947" s="4">
        <f t="shared" si="212"/>
        <v>1</v>
      </c>
      <c r="S947" s="4" t="str">
        <f t="shared" si="206"/>
        <v>1</v>
      </c>
      <c r="T947" s="4">
        <f t="shared" si="213"/>
        <v>0</v>
      </c>
      <c r="U947" s="29"/>
      <c r="V947" s="30"/>
      <c r="W947" s="30"/>
      <c r="X947" s="30"/>
      <c r="Y947" s="30"/>
      <c r="Z947" s="30"/>
      <c r="AA947" s="30"/>
      <c r="AB947" s="29"/>
      <c r="AC947" s="29"/>
      <c r="AD947" s="37">
        <f t="shared" si="210"/>
        <v>32707</v>
      </c>
      <c r="AE947" s="3" t="str">
        <f t="shared" ca="1" si="208"/>
        <v>37 Tahun 1 bulan 14 Hari</v>
      </c>
      <c r="AF947" s="38">
        <f t="shared" si="211"/>
        <v>54636</v>
      </c>
      <c r="AG947" s="7"/>
    </row>
    <row r="948" spans="1:33" ht="24.75" customHeight="1" x14ac:dyDescent="0.35">
      <c r="A948" s="26">
        <f t="shared" si="205"/>
        <v>884</v>
      </c>
      <c r="B948" s="32" t="s">
        <v>2447</v>
      </c>
      <c r="C948" s="288" t="s">
        <v>2591</v>
      </c>
      <c r="D948" s="289"/>
      <c r="E948" s="71" t="s">
        <v>2592</v>
      </c>
      <c r="F948" s="24" t="s">
        <v>43</v>
      </c>
      <c r="G948" s="3" t="s">
        <v>2593</v>
      </c>
      <c r="H948" s="56" t="s">
        <v>703</v>
      </c>
      <c r="I948" s="25" t="s">
        <v>2549</v>
      </c>
      <c r="J948" s="72" t="s">
        <v>206</v>
      </c>
      <c r="K948" s="3" t="str">
        <f t="shared" ca="1" si="207"/>
        <v xml:space="preserve">3 Tahun 10 bulan </v>
      </c>
      <c r="L948" s="25" t="s">
        <v>2452</v>
      </c>
      <c r="M948" s="72" t="s">
        <v>206</v>
      </c>
      <c r="N948" s="3" t="str">
        <f t="shared" ca="1" si="214"/>
        <v xml:space="preserve">3 Tahun 10 bulan </v>
      </c>
      <c r="O948" s="35"/>
      <c r="P948" s="4" t="s">
        <v>35</v>
      </c>
      <c r="Q948" s="4" t="str">
        <f t="shared" si="209"/>
        <v>Perempuan</v>
      </c>
      <c r="R948" s="4">
        <f t="shared" si="212"/>
        <v>1</v>
      </c>
      <c r="S948" s="4" t="str">
        <f t="shared" si="206"/>
        <v>1</v>
      </c>
      <c r="T948" s="4">
        <f t="shared" si="213"/>
        <v>0</v>
      </c>
      <c r="U948" s="29"/>
      <c r="V948" s="30"/>
      <c r="W948" s="30"/>
      <c r="X948" s="30"/>
      <c r="Y948" s="30"/>
      <c r="Z948" s="30"/>
      <c r="AA948" s="30"/>
      <c r="AB948" s="29"/>
      <c r="AC948" s="29"/>
      <c r="AD948" s="37">
        <f t="shared" si="210"/>
        <v>27315</v>
      </c>
      <c r="AE948" s="3" t="str">
        <f t="shared" ca="1" si="208"/>
        <v>51 Tahun 10 bulan 19 Hari</v>
      </c>
      <c r="AF948" s="38">
        <f t="shared" si="211"/>
        <v>49249</v>
      </c>
      <c r="AG948" s="7"/>
    </row>
    <row r="949" spans="1:33" ht="32.15" customHeight="1" x14ac:dyDescent="0.35">
      <c r="A949" s="26">
        <f t="shared" si="205"/>
        <v>885</v>
      </c>
      <c r="B949" s="4" t="s">
        <v>2447</v>
      </c>
      <c r="C949" s="26"/>
      <c r="D949" s="111" t="s">
        <v>2594</v>
      </c>
      <c r="E949" s="24" t="s">
        <v>2595</v>
      </c>
      <c r="F949" s="24" t="s">
        <v>43</v>
      </c>
      <c r="G949" s="4" t="s">
        <v>2596</v>
      </c>
      <c r="H949" s="56" t="s">
        <v>687</v>
      </c>
      <c r="I949" s="25" t="s">
        <v>2489</v>
      </c>
      <c r="J949" s="136">
        <v>44413</v>
      </c>
      <c r="K949" s="3" t="str">
        <f t="shared" ca="1" si="207"/>
        <v xml:space="preserve">5 Tahun 0 bulan </v>
      </c>
      <c r="L949" s="56" t="s">
        <v>1749</v>
      </c>
      <c r="M949" s="136">
        <v>44413</v>
      </c>
      <c r="N949" s="3" t="str">
        <f t="shared" ca="1" si="214"/>
        <v xml:space="preserve">5 Tahun 0 bulan </v>
      </c>
      <c r="O949" s="35"/>
      <c r="P949" s="4" t="s">
        <v>35</v>
      </c>
      <c r="Q949" s="4" t="str">
        <f t="shared" si="209"/>
        <v>Perempuan</v>
      </c>
      <c r="R949" s="4">
        <f t="shared" si="212"/>
        <v>1</v>
      </c>
      <c r="S949" s="4" t="str">
        <f t="shared" si="206"/>
        <v>1</v>
      </c>
      <c r="T949" s="4">
        <f t="shared" si="213"/>
        <v>0</v>
      </c>
      <c r="U949" s="29"/>
      <c r="V949" s="30"/>
      <c r="W949" s="30"/>
      <c r="X949" s="30"/>
      <c r="Y949" s="30"/>
      <c r="Z949" s="30"/>
      <c r="AA949" s="30"/>
      <c r="AB949" s="29"/>
      <c r="AC949" s="29"/>
      <c r="AD949" s="37">
        <f t="shared" si="210"/>
        <v>30233</v>
      </c>
      <c r="AE949" s="3" t="str">
        <f t="shared" ca="1" si="208"/>
        <v>43 Tahun 10 bulan 23 Hari</v>
      </c>
      <c r="AF949" s="38">
        <f t="shared" si="211"/>
        <v>52171</v>
      </c>
      <c r="AG949" s="7"/>
    </row>
    <row r="950" spans="1:33" ht="32.15" customHeight="1" x14ac:dyDescent="0.35">
      <c r="A950" s="26">
        <f t="shared" si="205"/>
        <v>886</v>
      </c>
      <c r="B950" s="32" t="s">
        <v>2447</v>
      </c>
      <c r="C950" s="288" t="s">
        <v>2597</v>
      </c>
      <c r="D950" s="289"/>
      <c r="E950" s="71" t="s">
        <v>3128</v>
      </c>
      <c r="F950" s="24" t="s">
        <v>43</v>
      </c>
      <c r="G950" s="70" t="s">
        <v>2541</v>
      </c>
      <c r="H950" s="56" t="s">
        <v>3122</v>
      </c>
      <c r="I950" s="56"/>
      <c r="J950" s="109">
        <v>46260</v>
      </c>
      <c r="K950" s="3" t="str">
        <f t="shared" ca="1" si="207"/>
        <v xml:space="preserve">0 Tahun 0 bulan </v>
      </c>
      <c r="L950" s="25" t="s">
        <v>2452</v>
      </c>
      <c r="M950" s="109">
        <v>46260</v>
      </c>
      <c r="N950" s="3" t="str">
        <f t="shared" ca="1" si="214"/>
        <v xml:space="preserve">0 Tahun 0 bulan </v>
      </c>
      <c r="O950" s="35"/>
      <c r="P950" s="4" t="s">
        <v>35</v>
      </c>
      <c r="Q950" s="4" t="str">
        <f t="shared" si="209"/>
        <v>Perempuan</v>
      </c>
      <c r="R950" s="4">
        <f t="shared" si="212"/>
        <v>1</v>
      </c>
      <c r="S950" s="4" t="str">
        <f t="shared" si="206"/>
        <v>1</v>
      </c>
      <c r="T950" s="4">
        <f t="shared" si="213"/>
        <v>0</v>
      </c>
      <c r="U950" s="29"/>
      <c r="V950" s="30"/>
      <c r="W950" s="30"/>
      <c r="X950" s="30"/>
      <c r="Y950" s="30"/>
      <c r="Z950" s="30"/>
      <c r="AA950" s="30"/>
      <c r="AB950" s="29"/>
      <c r="AC950" s="29"/>
      <c r="AD950" s="37">
        <f t="shared" si="210"/>
        <v>27516</v>
      </c>
      <c r="AE950" s="3" t="str">
        <f t="shared" ca="1" si="208"/>
        <v>51 Tahun 3 bulan 30 Hari</v>
      </c>
      <c r="AF950" s="38">
        <f t="shared" si="211"/>
        <v>49461</v>
      </c>
      <c r="AG950" s="7"/>
    </row>
    <row r="951" spans="1:33" ht="32.15" customHeight="1" x14ac:dyDescent="0.35">
      <c r="A951" s="26">
        <f t="shared" si="205"/>
        <v>887</v>
      </c>
      <c r="B951" s="4" t="s">
        <v>2447</v>
      </c>
      <c r="C951" s="26"/>
      <c r="D951" s="111" t="s">
        <v>2598</v>
      </c>
      <c r="E951" s="71" t="s">
        <v>2599</v>
      </c>
      <c r="F951" s="24" t="s">
        <v>43</v>
      </c>
      <c r="G951" s="70" t="s">
        <v>2600</v>
      </c>
      <c r="H951" s="69" t="s">
        <v>1954</v>
      </c>
      <c r="I951" s="25" t="s">
        <v>2601</v>
      </c>
      <c r="J951" s="72" t="s">
        <v>338</v>
      </c>
      <c r="K951" s="3" t="str">
        <f t="shared" ca="1" si="207"/>
        <v xml:space="preserve">2 Tahun 11 bulan </v>
      </c>
      <c r="L951" s="56" t="s">
        <v>1749</v>
      </c>
      <c r="M951" s="72" t="s">
        <v>338</v>
      </c>
      <c r="N951" s="3" t="str">
        <f t="shared" ca="1" si="214"/>
        <v xml:space="preserve">2 Tahun 11 bulan </v>
      </c>
      <c r="O951" s="35"/>
      <c r="P951" s="4" t="s">
        <v>35</v>
      </c>
      <c r="Q951" s="4" t="str">
        <f t="shared" si="209"/>
        <v>Laki-Laki</v>
      </c>
      <c r="R951" s="4">
        <f t="shared" si="212"/>
        <v>1</v>
      </c>
      <c r="S951" s="4" t="str">
        <f t="shared" si="206"/>
        <v>1</v>
      </c>
      <c r="T951" s="4">
        <f t="shared" si="213"/>
        <v>0</v>
      </c>
      <c r="U951" s="29"/>
      <c r="V951" s="30" t="s">
        <v>50</v>
      </c>
      <c r="W951" s="30"/>
      <c r="X951" s="30"/>
      <c r="Y951" s="30"/>
      <c r="Z951" s="30"/>
      <c r="AA951" s="30"/>
      <c r="AB951" s="29"/>
      <c r="AC951" s="29"/>
      <c r="AD951" s="37">
        <f t="shared" si="210"/>
        <v>27829</v>
      </c>
      <c r="AE951" s="3" t="str">
        <f t="shared" ca="1" si="208"/>
        <v>50 Tahun 5 bulan 22 Hari</v>
      </c>
      <c r="AF951" s="38">
        <f t="shared" si="211"/>
        <v>49766</v>
      </c>
      <c r="AG951" s="7"/>
    </row>
    <row r="952" spans="1:33" ht="32.15" customHeight="1" x14ac:dyDescent="0.35">
      <c r="A952" s="26">
        <f t="shared" si="205"/>
        <v>888</v>
      </c>
      <c r="B952" s="32" t="s">
        <v>2447</v>
      </c>
      <c r="C952" s="288" t="s">
        <v>2602</v>
      </c>
      <c r="D952" s="289"/>
      <c r="E952" s="71" t="s">
        <v>2554</v>
      </c>
      <c r="F952" s="24" t="s">
        <v>43</v>
      </c>
      <c r="G952" s="3" t="s">
        <v>2555</v>
      </c>
      <c r="H952" s="56" t="s">
        <v>703</v>
      </c>
      <c r="I952" s="25" t="s">
        <v>46</v>
      </c>
      <c r="J952" s="109">
        <v>46260</v>
      </c>
      <c r="K952" s="3" t="str">
        <f t="shared" ca="1" si="207"/>
        <v xml:space="preserve">0 Tahun 0 bulan </v>
      </c>
      <c r="L952" s="25" t="s">
        <v>2452</v>
      </c>
      <c r="M952" s="109">
        <v>46260</v>
      </c>
      <c r="N952" s="3" t="str">
        <f t="shared" ca="1" si="214"/>
        <v xml:space="preserve">0 Tahun 0 bulan </v>
      </c>
      <c r="O952" s="35"/>
      <c r="P952" s="4" t="s">
        <v>35</v>
      </c>
      <c r="Q952" s="4" t="str">
        <f t="shared" si="209"/>
        <v>Perempuan</v>
      </c>
      <c r="R952" s="4">
        <f t="shared" si="212"/>
        <v>1</v>
      </c>
      <c r="S952" s="4" t="str">
        <f t="shared" si="206"/>
        <v>1</v>
      </c>
      <c r="T952" s="4">
        <f t="shared" si="213"/>
        <v>0</v>
      </c>
      <c r="U952" s="29"/>
      <c r="V952" s="30"/>
      <c r="W952" s="30"/>
      <c r="X952" s="30"/>
      <c r="Y952" s="30"/>
      <c r="Z952" s="30"/>
      <c r="AA952" s="30"/>
      <c r="AB952" s="29"/>
      <c r="AC952" s="29"/>
      <c r="AD952" s="37">
        <f t="shared" si="210"/>
        <v>30083</v>
      </c>
      <c r="AE952" s="3" t="str">
        <f t="shared" ca="1" si="208"/>
        <v>44 Tahun 3 bulan 20 Hari</v>
      </c>
      <c r="AF952" s="38">
        <f t="shared" si="211"/>
        <v>52018</v>
      </c>
      <c r="AG952" s="7"/>
    </row>
    <row r="953" spans="1:33" ht="32.15" customHeight="1" x14ac:dyDescent="0.35">
      <c r="A953" s="26">
        <f t="shared" si="205"/>
        <v>889</v>
      </c>
      <c r="B953" s="4" t="s">
        <v>2447</v>
      </c>
      <c r="C953" s="26"/>
      <c r="D953" s="111" t="s">
        <v>2604</v>
      </c>
      <c r="E953" s="24" t="s">
        <v>108</v>
      </c>
      <c r="F953" s="24"/>
      <c r="G953" s="4"/>
      <c r="H953" s="56"/>
      <c r="I953" s="25"/>
      <c r="J953" s="125"/>
      <c r="K953" s="3" t="str">
        <f t="shared" ca="1" si="207"/>
        <v/>
      </c>
      <c r="L953" s="25" t="s">
        <v>1749</v>
      </c>
      <c r="M953" s="125"/>
      <c r="N953" s="3" t="str">
        <f t="shared" ca="1" si="214"/>
        <v/>
      </c>
      <c r="O953" s="35"/>
      <c r="P953" s="4"/>
      <c r="Q953" s="4" t="str">
        <f t="shared" si="209"/>
        <v/>
      </c>
      <c r="R953" s="4">
        <f t="shared" si="212"/>
        <v>1</v>
      </c>
      <c r="S953" s="4" t="str">
        <f t="shared" si="206"/>
        <v>0</v>
      </c>
      <c r="T953" s="4">
        <f t="shared" si="213"/>
        <v>1</v>
      </c>
      <c r="U953" s="29"/>
      <c r="V953" s="30"/>
      <c r="W953" s="30"/>
      <c r="X953" s="30"/>
      <c r="Y953" s="30"/>
      <c r="Z953" s="30"/>
      <c r="AA953" s="30"/>
      <c r="AB953" s="29"/>
      <c r="AC953" s="29"/>
      <c r="AD953" s="37" t="str">
        <f t="shared" si="210"/>
        <v/>
      </c>
      <c r="AE953" s="3" t="str">
        <f t="shared" ca="1" si="208"/>
        <v/>
      </c>
      <c r="AF953" s="38" t="str">
        <f t="shared" si="211"/>
        <v/>
      </c>
      <c r="AG953" s="7"/>
    </row>
    <row r="954" spans="1:33" ht="25.5" customHeight="1" x14ac:dyDescent="0.35">
      <c r="A954" s="26"/>
      <c r="B954" s="32" t="s">
        <v>2605</v>
      </c>
      <c r="C954" s="280" t="s">
        <v>2606</v>
      </c>
      <c r="D954" s="281"/>
      <c r="E954" s="24"/>
      <c r="F954" s="24"/>
      <c r="G954" s="4"/>
      <c r="H954" s="4"/>
      <c r="I954" s="33"/>
      <c r="J954" s="5"/>
      <c r="K954" s="3" t="str">
        <f t="shared" ca="1" si="207"/>
        <v/>
      </c>
      <c r="L954" s="30"/>
      <c r="M954" s="5"/>
      <c r="N954" s="3" t="str">
        <f t="shared" ca="1" si="214"/>
        <v/>
      </c>
      <c r="O954" s="4"/>
      <c r="P954" s="4"/>
      <c r="Q954" s="4"/>
      <c r="R954" s="4"/>
      <c r="S954" s="4"/>
      <c r="T954" s="4"/>
      <c r="U954" s="29"/>
      <c r="V954" s="30"/>
      <c r="W954" s="30"/>
      <c r="X954" s="30"/>
      <c r="Y954" s="30"/>
      <c r="Z954" s="29"/>
      <c r="AA954" s="29"/>
      <c r="AB954" s="29"/>
      <c r="AC954" s="29"/>
      <c r="AD954" s="37" t="str">
        <f t="shared" si="210"/>
        <v/>
      </c>
      <c r="AE954" s="3" t="str">
        <f t="shared" ca="1" si="208"/>
        <v/>
      </c>
      <c r="AF954" s="38" t="str">
        <f t="shared" si="211"/>
        <v/>
      </c>
      <c r="AG954" s="7"/>
    </row>
    <row r="955" spans="1:33" ht="28.5" customHeight="1" x14ac:dyDescent="0.35">
      <c r="A955" s="26">
        <f>A953+1</f>
        <v>890</v>
      </c>
      <c r="B955" s="139" t="s">
        <v>2605</v>
      </c>
      <c r="C955" s="290" t="s">
        <v>2607</v>
      </c>
      <c r="D955" s="291"/>
      <c r="E955" s="24" t="s">
        <v>2608</v>
      </c>
      <c r="F955" s="24" t="s">
        <v>43</v>
      </c>
      <c r="G955" s="3" t="s">
        <v>2609</v>
      </c>
      <c r="H955" s="36" t="s">
        <v>427</v>
      </c>
      <c r="I955" s="36" t="s">
        <v>86</v>
      </c>
      <c r="J955" s="72" t="s">
        <v>2490</v>
      </c>
      <c r="K955" s="3" t="str">
        <f t="shared" ca="1" si="207"/>
        <v xml:space="preserve">8 Tahun 4 bulan </v>
      </c>
      <c r="L955" s="56" t="s">
        <v>1749</v>
      </c>
      <c r="M955" s="72" t="s">
        <v>2490</v>
      </c>
      <c r="N955" s="3" t="str">
        <f t="shared" ca="1" si="214"/>
        <v xml:space="preserve">8 Tahun 4 bulan </v>
      </c>
      <c r="O955" s="56"/>
      <c r="P955" s="4" t="s">
        <v>35</v>
      </c>
      <c r="Q955" s="4" t="str">
        <f t="shared" si="209"/>
        <v>Perempuan</v>
      </c>
      <c r="R955" s="4">
        <f>R949</f>
        <v>1</v>
      </c>
      <c r="S955" s="4" t="str">
        <f t="shared" ref="S955:S974" si="215">IF(E955="LOWONG","0","1")</f>
        <v>1</v>
      </c>
      <c r="T955" s="4">
        <f t="shared" si="213"/>
        <v>0</v>
      </c>
      <c r="U955" s="29"/>
      <c r="V955" s="30"/>
      <c r="W955" s="30"/>
      <c r="X955" s="30"/>
      <c r="Y955" s="30"/>
      <c r="Z955" s="30"/>
      <c r="AA955" s="30"/>
      <c r="AB955" s="29"/>
      <c r="AC955" s="29"/>
      <c r="AD955" s="37">
        <f t="shared" si="210"/>
        <v>27651</v>
      </c>
      <c r="AE955" s="3" t="str">
        <f t="shared" ca="1" si="208"/>
        <v>50 Tahun 11 bulan 18 Hari</v>
      </c>
      <c r="AF955" s="38">
        <f t="shared" si="211"/>
        <v>49583</v>
      </c>
      <c r="AG955" s="7"/>
    </row>
    <row r="956" spans="1:33" ht="28.5" customHeight="1" x14ac:dyDescent="0.35">
      <c r="A956" s="26">
        <f t="shared" si="205"/>
        <v>891</v>
      </c>
      <c r="B956" s="139" t="s">
        <v>2605</v>
      </c>
      <c r="C956" s="290" t="s">
        <v>2610</v>
      </c>
      <c r="D956" s="291"/>
      <c r="E956" s="45" t="s">
        <v>2611</v>
      </c>
      <c r="F956" s="24" t="s">
        <v>43</v>
      </c>
      <c r="G956" s="44" t="s">
        <v>2612</v>
      </c>
      <c r="H956" s="4" t="s">
        <v>2613</v>
      </c>
      <c r="I956" s="36" t="s">
        <v>86</v>
      </c>
      <c r="J956" s="72" t="s">
        <v>2490</v>
      </c>
      <c r="K956" s="3" t="str">
        <f t="shared" ca="1" si="207"/>
        <v xml:space="preserve">8 Tahun 4 bulan </v>
      </c>
      <c r="L956" s="56" t="s">
        <v>1749</v>
      </c>
      <c r="M956" s="72" t="s">
        <v>2490</v>
      </c>
      <c r="N956" s="3" t="str">
        <f t="shared" ca="1" si="214"/>
        <v xml:space="preserve">8 Tahun 4 bulan </v>
      </c>
      <c r="O956" s="56"/>
      <c r="P956" s="4" t="s">
        <v>35</v>
      </c>
      <c r="Q956" s="4" t="str">
        <f t="shared" si="209"/>
        <v>Laki-Laki</v>
      </c>
      <c r="R956" s="4">
        <f t="shared" si="212"/>
        <v>1</v>
      </c>
      <c r="S956" s="4" t="str">
        <f t="shared" si="215"/>
        <v>1</v>
      </c>
      <c r="T956" s="4">
        <f t="shared" si="213"/>
        <v>0</v>
      </c>
      <c r="U956" s="29"/>
      <c r="V956" s="30" t="s">
        <v>50</v>
      </c>
      <c r="W956" s="30"/>
      <c r="X956" s="30"/>
      <c r="Y956" s="30"/>
      <c r="Z956" s="30"/>
      <c r="AA956" s="30"/>
      <c r="AB956" s="29"/>
      <c r="AC956" s="29"/>
      <c r="AD956" s="37">
        <f t="shared" si="210"/>
        <v>28983</v>
      </c>
      <c r="AE956" s="3" t="str">
        <f t="shared" ca="1" si="208"/>
        <v>47 Tahun 3 bulan 24 Hari</v>
      </c>
      <c r="AF956" s="38">
        <f t="shared" si="211"/>
        <v>50922</v>
      </c>
      <c r="AG956" s="7"/>
    </row>
    <row r="957" spans="1:33" ht="28.5" customHeight="1" x14ac:dyDescent="0.35">
      <c r="A957" s="26">
        <f t="shared" si="205"/>
        <v>892</v>
      </c>
      <c r="B957" s="139" t="s">
        <v>2605</v>
      </c>
      <c r="C957" s="290" t="s">
        <v>2614</v>
      </c>
      <c r="D957" s="291"/>
      <c r="E957" s="45" t="s">
        <v>2615</v>
      </c>
      <c r="F957" s="24" t="s">
        <v>43</v>
      </c>
      <c r="G957" s="44" t="s">
        <v>2616</v>
      </c>
      <c r="H957" s="4" t="s">
        <v>2617</v>
      </c>
      <c r="I957" s="36" t="s">
        <v>86</v>
      </c>
      <c r="J957" s="72" t="s">
        <v>473</v>
      </c>
      <c r="K957" s="3" t="str">
        <f t="shared" ca="1" si="207"/>
        <v xml:space="preserve">5 Tahun 8 bulan </v>
      </c>
      <c r="L957" s="25" t="s">
        <v>1749</v>
      </c>
      <c r="M957" s="72" t="s">
        <v>473</v>
      </c>
      <c r="N957" s="3" t="str">
        <f t="shared" ca="1" si="214"/>
        <v xml:space="preserve">5 Tahun 8 bulan </v>
      </c>
      <c r="O957" s="44"/>
      <c r="P957" s="4" t="s">
        <v>35</v>
      </c>
      <c r="Q957" s="4" t="str">
        <f t="shared" si="209"/>
        <v>Laki-Laki</v>
      </c>
      <c r="R957" s="4">
        <f t="shared" si="212"/>
        <v>1</v>
      </c>
      <c r="S957" s="4" t="str">
        <f t="shared" si="215"/>
        <v>1</v>
      </c>
      <c r="T957" s="4">
        <f t="shared" si="213"/>
        <v>0</v>
      </c>
      <c r="U957" s="29"/>
      <c r="V957" s="30" t="s">
        <v>50</v>
      </c>
      <c r="W957" s="30"/>
      <c r="X957" s="30"/>
      <c r="Y957" s="30"/>
      <c r="Z957" s="30"/>
      <c r="AA957" s="30"/>
      <c r="AB957" s="29"/>
      <c r="AC957" s="29"/>
      <c r="AD957" s="37">
        <f t="shared" si="210"/>
        <v>25237</v>
      </c>
      <c r="AE957" s="3" t="str">
        <f t="shared" ca="1" si="208"/>
        <v>57 Tahun 6 bulan 29 Hari</v>
      </c>
      <c r="AF957" s="38">
        <f t="shared" si="211"/>
        <v>47178</v>
      </c>
      <c r="AG957" s="7"/>
    </row>
    <row r="958" spans="1:33" ht="33" customHeight="1" x14ac:dyDescent="0.35">
      <c r="A958" s="26">
        <f t="shared" si="205"/>
        <v>893</v>
      </c>
      <c r="B958" s="139" t="s">
        <v>2605</v>
      </c>
      <c r="C958" s="290" t="s">
        <v>2618</v>
      </c>
      <c r="D958" s="291"/>
      <c r="E958" s="45" t="s">
        <v>2959</v>
      </c>
      <c r="F958" s="45" t="s">
        <v>71</v>
      </c>
      <c r="G958" s="44" t="s">
        <v>2638</v>
      </c>
      <c r="H958" s="4" t="s">
        <v>1214</v>
      </c>
      <c r="I958" s="36" t="s">
        <v>2960</v>
      </c>
      <c r="J958" s="72" t="s">
        <v>2961</v>
      </c>
      <c r="K958" s="3" t="str">
        <f t="shared" ca="1" si="207"/>
        <v xml:space="preserve">0 Tahun 3 bulan </v>
      </c>
      <c r="L958" s="25" t="s">
        <v>1749</v>
      </c>
      <c r="M958" s="65" t="s">
        <v>2961</v>
      </c>
      <c r="N958" s="3" t="str">
        <f t="shared" ca="1" si="214"/>
        <v xml:space="preserve">0 Tahun 3 bulan </v>
      </c>
      <c r="O958" s="56"/>
      <c r="P958" s="4"/>
      <c r="Q958" s="4" t="str">
        <f t="shared" si="209"/>
        <v>Laki-Laki</v>
      </c>
      <c r="R958" s="4">
        <f t="shared" si="212"/>
        <v>1</v>
      </c>
      <c r="S958" s="4" t="str">
        <f t="shared" si="215"/>
        <v>1</v>
      </c>
      <c r="T958" s="4">
        <f t="shared" si="213"/>
        <v>0</v>
      </c>
      <c r="U958" s="29"/>
      <c r="V958" s="30" t="s">
        <v>50</v>
      </c>
      <c r="W958" s="30"/>
      <c r="X958" s="30"/>
      <c r="Y958" s="30"/>
      <c r="Z958" s="30"/>
      <c r="AA958" s="30"/>
      <c r="AB958" s="29"/>
      <c r="AC958" s="29"/>
      <c r="AD958" s="37">
        <f t="shared" si="210"/>
        <v>26233</v>
      </c>
      <c r="AE958" s="3" t="str">
        <f t="shared" ca="1" si="208"/>
        <v>54 Tahun 10 bulan 5 Hari</v>
      </c>
      <c r="AF958" s="38">
        <f t="shared" si="211"/>
        <v>48153</v>
      </c>
      <c r="AG958" s="7"/>
    </row>
    <row r="959" spans="1:33" ht="33" customHeight="1" x14ac:dyDescent="0.35">
      <c r="A959" s="26">
        <f t="shared" si="205"/>
        <v>894</v>
      </c>
      <c r="B959" s="139" t="s">
        <v>2605</v>
      </c>
      <c r="C959" s="290" t="s">
        <v>2619</v>
      </c>
      <c r="D959" s="291"/>
      <c r="E959" s="24" t="s">
        <v>2637</v>
      </c>
      <c r="F959" s="24" t="s">
        <v>43</v>
      </c>
      <c r="G959" s="44" t="s">
        <v>2638</v>
      </c>
      <c r="H959" s="4" t="s">
        <v>2639</v>
      </c>
      <c r="I959" s="36" t="s">
        <v>1814</v>
      </c>
      <c r="J959" s="72" t="s">
        <v>2620</v>
      </c>
      <c r="K959" s="3" t="str">
        <f t="shared" ca="1" si="207"/>
        <v xml:space="preserve">3 Tahun 0 bulan </v>
      </c>
      <c r="L959" s="25" t="s">
        <v>1749</v>
      </c>
      <c r="M959" s="47" t="s">
        <v>2620</v>
      </c>
      <c r="N959" s="3" t="str">
        <f t="shared" ca="1" si="214"/>
        <v xml:space="preserve">3 Tahun 0 bulan </v>
      </c>
      <c r="O959" s="56"/>
      <c r="P959" s="4" t="s">
        <v>35</v>
      </c>
      <c r="Q959" s="4" t="str">
        <f t="shared" si="209"/>
        <v>Laki-Laki</v>
      </c>
      <c r="R959" s="4">
        <f t="shared" si="212"/>
        <v>1</v>
      </c>
      <c r="S959" s="4" t="str">
        <f t="shared" si="215"/>
        <v>1</v>
      </c>
      <c r="T959" s="4">
        <f t="shared" si="213"/>
        <v>0</v>
      </c>
      <c r="U959" s="29"/>
      <c r="V959" s="30" t="s">
        <v>50</v>
      </c>
      <c r="W959" s="30"/>
      <c r="X959" s="30"/>
      <c r="Y959" s="30"/>
      <c r="Z959" s="30"/>
      <c r="AA959" s="30"/>
      <c r="AB959" s="29"/>
      <c r="AC959" s="29"/>
      <c r="AD959" s="37">
        <f t="shared" si="210"/>
        <v>26233</v>
      </c>
      <c r="AE959" s="3" t="str">
        <f t="shared" ca="1" si="208"/>
        <v>54 Tahun 10 bulan 5 Hari</v>
      </c>
      <c r="AF959" s="38">
        <f t="shared" si="211"/>
        <v>48153</v>
      </c>
      <c r="AG959" s="7"/>
    </row>
    <row r="960" spans="1:33" ht="33" customHeight="1" x14ac:dyDescent="0.35">
      <c r="A960" s="26">
        <f t="shared" si="205"/>
        <v>895</v>
      </c>
      <c r="B960" s="139" t="s">
        <v>2605</v>
      </c>
      <c r="C960" s="290" t="s">
        <v>2621</v>
      </c>
      <c r="D960" s="291"/>
      <c r="E960" s="24" t="s">
        <v>2622</v>
      </c>
      <c r="F960" s="24" t="s">
        <v>43</v>
      </c>
      <c r="G960" s="4" t="s">
        <v>2623</v>
      </c>
      <c r="H960" s="4" t="s">
        <v>574</v>
      </c>
      <c r="I960" s="36" t="s">
        <v>368</v>
      </c>
      <c r="J960" s="5" t="s">
        <v>2624</v>
      </c>
      <c r="K960" s="3" t="str">
        <f t="shared" ca="1" si="207"/>
        <v xml:space="preserve">2 Tahun 2 bulan </v>
      </c>
      <c r="L960" s="25" t="s">
        <v>1749</v>
      </c>
      <c r="M960" s="72"/>
      <c r="N960" s="3" t="str">
        <f t="shared" ca="1" si="214"/>
        <v/>
      </c>
      <c r="O960" s="4"/>
      <c r="P960" s="4" t="s">
        <v>35</v>
      </c>
      <c r="Q960" s="4" t="str">
        <f t="shared" si="209"/>
        <v>Perempuan</v>
      </c>
      <c r="R960" s="4">
        <f t="shared" si="212"/>
        <v>1</v>
      </c>
      <c r="S960" s="4" t="str">
        <f t="shared" si="215"/>
        <v>1</v>
      </c>
      <c r="T960" s="4">
        <f t="shared" si="213"/>
        <v>0</v>
      </c>
      <c r="U960" s="29"/>
      <c r="V960" s="30"/>
      <c r="W960" s="30"/>
      <c r="X960" s="30"/>
      <c r="Y960" s="30"/>
      <c r="Z960" s="30"/>
      <c r="AA960" s="30"/>
      <c r="AB960" s="29"/>
      <c r="AC960" s="29"/>
      <c r="AD960" s="37">
        <f t="shared" si="210"/>
        <v>28334</v>
      </c>
      <c r="AE960" s="3" t="str">
        <f t="shared" ca="1" si="208"/>
        <v>49 Tahun 1 bulan 4 Hari</v>
      </c>
      <c r="AF960" s="38">
        <f t="shared" si="211"/>
        <v>50253</v>
      </c>
      <c r="AG960" s="7"/>
    </row>
    <row r="961" spans="1:32" s="7" customFormat="1" ht="27.75" customHeight="1" x14ac:dyDescent="0.35">
      <c r="A961" s="26">
        <f t="shared" si="205"/>
        <v>896</v>
      </c>
      <c r="B961" s="139" t="s">
        <v>2605</v>
      </c>
      <c r="C961" s="290" t="s">
        <v>2625</v>
      </c>
      <c r="D961" s="291"/>
      <c r="E961" s="51" t="s">
        <v>2626</v>
      </c>
      <c r="F961" s="24" t="s">
        <v>43</v>
      </c>
      <c r="G961" s="59" t="s">
        <v>2627</v>
      </c>
      <c r="H961" s="4" t="s">
        <v>574</v>
      </c>
      <c r="I961" s="33" t="s">
        <v>107</v>
      </c>
      <c r="J961" s="47" t="s">
        <v>2620</v>
      </c>
      <c r="K961" s="3" t="str">
        <f t="shared" ca="1" si="207"/>
        <v xml:space="preserve">3 Tahun 0 bulan </v>
      </c>
      <c r="L961" s="25" t="s">
        <v>1749</v>
      </c>
      <c r="M961" s="47" t="s">
        <v>2620</v>
      </c>
      <c r="N961" s="3" t="str">
        <f t="shared" ca="1" si="214"/>
        <v xml:space="preserve">3 Tahun 0 bulan </v>
      </c>
      <c r="O961" s="4"/>
      <c r="P961" s="4" t="s">
        <v>35</v>
      </c>
      <c r="Q961" s="4" t="str">
        <f t="shared" si="209"/>
        <v>Laki-Laki</v>
      </c>
      <c r="R961" s="4">
        <f t="shared" si="212"/>
        <v>1</v>
      </c>
      <c r="S961" s="4" t="str">
        <f t="shared" si="215"/>
        <v>1</v>
      </c>
      <c r="T961" s="4">
        <f t="shared" si="213"/>
        <v>0</v>
      </c>
      <c r="U961" s="29"/>
      <c r="V961" s="30" t="s">
        <v>50</v>
      </c>
      <c r="W961" s="30"/>
      <c r="X961" s="30"/>
      <c r="Y961" s="30"/>
      <c r="Z961" s="30"/>
      <c r="AA961" s="30"/>
      <c r="AB961" s="29"/>
      <c r="AC961" s="29"/>
      <c r="AD961" s="37">
        <f t="shared" si="210"/>
        <v>27405</v>
      </c>
      <c r="AE961" s="3" t="str">
        <f t="shared" ca="1" si="208"/>
        <v>51 Tahun 7 bulan 21 Hari</v>
      </c>
      <c r="AF961" s="38">
        <f t="shared" si="211"/>
        <v>49341</v>
      </c>
    </row>
    <row r="962" spans="1:32" s="7" customFormat="1" ht="27.75" customHeight="1" x14ac:dyDescent="0.35">
      <c r="A962" s="26">
        <f t="shared" si="205"/>
        <v>897</v>
      </c>
      <c r="B962" s="139" t="s">
        <v>2605</v>
      </c>
      <c r="C962" s="290" t="s">
        <v>2628</v>
      </c>
      <c r="D962" s="291"/>
      <c r="E962" s="24" t="s">
        <v>2629</v>
      </c>
      <c r="F962" s="24" t="s">
        <v>43</v>
      </c>
      <c r="G962" s="4" t="s">
        <v>2630</v>
      </c>
      <c r="H962" s="56" t="s">
        <v>303</v>
      </c>
      <c r="I962" s="41" t="s">
        <v>2631</v>
      </c>
      <c r="J962" s="72" t="s">
        <v>206</v>
      </c>
      <c r="K962" s="3" t="str">
        <f t="shared" ca="1" si="207"/>
        <v xml:space="preserve">3 Tahun 10 bulan </v>
      </c>
      <c r="L962" s="25" t="s">
        <v>1749</v>
      </c>
      <c r="M962" s="72" t="s">
        <v>206</v>
      </c>
      <c r="N962" s="3" t="str">
        <f t="shared" ca="1" si="214"/>
        <v xml:space="preserve">3 Tahun 10 bulan </v>
      </c>
      <c r="O962" s="4"/>
      <c r="P962" s="4" t="s">
        <v>35</v>
      </c>
      <c r="Q962" s="4" t="str">
        <f t="shared" si="209"/>
        <v>Laki-Laki</v>
      </c>
      <c r="R962" s="4">
        <f t="shared" si="212"/>
        <v>1</v>
      </c>
      <c r="S962" s="4" t="str">
        <f t="shared" si="215"/>
        <v>1</v>
      </c>
      <c r="T962" s="4">
        <f t="shared" si="213"/>
        <v>0</v>
      </c>
      <c r="U962" s="29"/>
      <c r="V962" s="30" t="s">
        <v>50</v>
      </c>
      <c r="W962" s="30"/>
      <c r="X962" s="30"/>
      <c r="Y962" s="30"/>
      <c r="Z962" s="30"/>
      <c r="AA962" s="30"/>
      <c r="AB962" s="29"/>
      <c r="AC962" s="29"/>
      <c r="AD962" s="37">
        <f t="shared" si="210"/>
        <v>26458</v>
      </c>
      <c r="AE962" s="3" t="str">
        <f t="shared" ca="1" si="208"/>
        <v>54 Tahun 2 bulan 24 Hari</v>
      </c>
      <c r="AF962" s="38">
        <f t="shared" si="211"/>
        <v>48396</v>
      </c>
    </row>
    <row r="963" spans="1:32" s="7" customFormat="1" ht="27.75" customHeight="1" x14ac:dyDescent="0.35">
      <c r="A963" s="26">
        <f t="shared" ref="A963:A1005" si="216">A962+1</f>
        <v>898</v>
      </c>
      <c r="B963" s="139" t="s">
        <v>2605</v>
      </c>
      <c r="C963" s="290" t="s">
        <v>2632</v>
      </c>
      <c r="D963" s="291"/>
      <c r="E963" s="24" t="s">
        <v>2633</v>
      </c>
      <c r="F963" s="24" t="s">
        <v>43</v>
      </c>
      <c r="G963" s="4" t="s">
        <v>2634</v>
      </c>
      <c r="H963" s="4" t="s">
        <v>2635</v>
      </c>
      <c r="I963" s="41" t="s">
        <v>61</v>
      </c>
      <c r="J963" s="72" t="s">
        <v>473</v>
      </c>
      <c r="K963" s="3" t="str">
        <f t="shared" ca="1" si="207"/>
        <v xml:space="preserve">5 Tahun 8 bulan </v>
      </c>
      <c r="L963" s="25" t="s">
        <v>1749</v>
      </c>
      <c r="M963" s="72" t="s">
        <v>473</v>
      </c>
      <c r="N963" s="3" t="str">
        <f t="shared" ca="1" si="214"/>
        <v xml:space="preserve">5 Tahun 8 bulan </v>
      </c>
      <c r="O963" s="4"/>
      <c r="P963" s="4" t="s">
        <v>35</v>
      </c>
      <c r="Q963" s="4" t="str">
        <f t="shared" si="209"/>
        <v>Perempuan</v>
      </c>
      <c r="R963" s="4">
        <f t="shared" si="212"/>
        <v>1</v>
      </c>
      <c r="S963" s="4" t="str">
        <f t="shared" si="215"/>
        <v>1</v>
      </c>
      <c r="T963" s="4">
        <f t="shared" si="213"/>
        <v>0</v>
      </c>
      <c r="U963" s="29"/>
      <c r="V963" s="30" t="s">
        <v>50</v>
      </c>
      <c r="W963" s="30"/>
      <c r="X963" s="30"/>
      <c r="Y963" s="30"/>
      <c r="Z963" s="30"/>
      <c r="AA963" s="30"/>
      <c r="AB963" s="29"/>
      <c r="AC963" s="29"/>
      <c r="AD963" s="37">
        <f t="shared" si="210"/>
        <v>30202</v>
      </c>
      <c r="AE963" s="3" t="str">
        <f t="shared" ca="1" si="208"/>
        <v>43 Tahun 11 bulan 24 Hari</v>
      </c>
      <c r="AF963" s="38">
        <f t="shared" si="211"/>
        <v>52140</v>
      </c>
    </row>
    <row r="964" spans="1:32" s="7" customFormat="1" ht="27.75" customHeight="1" x14ac:dyDescent="0.35">
      <c r="A964" s="26">
        <f t="shared" si="216"/>
        <v>899</v>
      </c>
      <c r="B964" s="139" t="s">
        <v>2605</v>
      </c>
      <c r="C964" s="290" t="s">
        <v>2636</v>
      </c>
      <c r="D964" s="291"/>
      <c r="E964" s="45" t="s">
        <v>108</v>
      </c>
      <c r="F964" s="24"/>
      <c r="G964" s="44"/>
      <c r="H964" s="4"/>
      <c r="I964" s="36"/>
      <c r="J964" s="47"/>
      <c r="K964" s="3" t="str">
        <f t="shared" ca="1" si="207"/>
        <v/>
      </c>
      <c r="L964" s="25" t="s">
        <v>1749</v>
      </c>
      <c r="M964" s="47"/>
      <c r="N964" s="3" t="str">
        <f t="shared" ca="1" si="214"/>
        <v/>
      </c>
      <c r="O964" s="36"/>
      <c r="P964" s="4"/>
      <c r="Q964" s="4" t="str">
        <f t="shared" si="209"/>
        <v/>
      </c>
      <c r="R964" s="4">
        <f t="shared" si="212"/>
        <v>1</v>
      </c>
      <c r="S964" s="4" t="str">
        <f t="shared" si="215"/>
        <v>0</v>
      </c>
      <c r="T964" s="4">
        <f t="shared" si="213"/>
        <v>1</v>
      </c>
      <c r="U964" s="29"/>
      <c r="V964" s="30" t="s">
        <v>50</v>
      </c>
      <c r="W964" s="30"/>
      <c r="X964" s="30"/>
      <c r="Y964" s="30"/>
      <c r="Z964" s="30"/>
      <c r="AA964" s="30"/>
      <c r="AB964" s="29"/>
      <c r="AC964" s="29"/>
      <c r="AD964" s="37" t="str">
        <f t="shared" si="210"/>
        <v/>
      </c>
      <c r="AE964" s="3" t="str">
        <f t="shared" ca="1" si="208"/>
        <v/>
      </c>
      <c r="AF964" s="38" t="str">
        <f t="shared" si="211"/>
        <v/>
      </c>
    </row>
    <row r="965" spans="1:32" s="7" customFormat="1" ht="27.75" customHeight="1" x14ac:dyDescent="0.35">
      <c r="A965" s="26">
        <f t="shared" si="216"/>
        <v>900</v>
      </c>
      <c r="B965" s="139" t="s">
        <v>2605</v>
      </c>
      <c r="C965" s="290" t="s">
        <v>2640</v>
      </c>
      <c r="D965" s="291"/>
      <c r="E965" s="45" t="s">
        <v>2641</v>
      </c>
      <c r="F965" s="24" t="s">
        <v>43</v>
      </c>
      <c r="G965" s="44" t="s">
        <v>2642</v>
      </c>
      <c r="H965" s="4" t="s">
        <v>2643</v>
      </c>
      <c r="I965" s="36" t="s">
        <v>61</v>
      </c>
      <c r="J965" s="72" t="s">
        <v>473</v>
      </c>
      <c r="K965" s="3" t="str">
        <f t="shared" ca="1" si="207"/>
        <v xml:space="preserve">5 Tahun 8 bulan </v>
      </c>
      <c r="L965" s="25" t="s">
        <v>1749</v>
      </c>
      <c r="M965" s="72" t="s">
        <v>473</v>
      </c>
      <c r="N965" s="3" t="str">
        <f t="shared" ca="1" si="214"/>
        <v xml:space="preserve">5 Tahun 8 bulan </v>
      </c>
      <c r="O965" s="36"/>
      <c r="P965" s="4" t="s">
        <v>35</v>
      </c>
      <c r="Q965" s="4" t="str">
        <f t="shared" si="209"/>
        <v>Laki-Laki</v>
      </c>
      <c r="R965" s="4">
        <f t="shared" si="212"/>
        <v>1</v>
      </c>
      <c r="S965" s="4" t="str">
        <f t="shared" si="215"/>
        <v>1</v>
      </c>
      <c r="T965" s="4">
        <f t="shared" si="213"/>
        <v>0</v>
      </c>
      <c r="U965" s="29"/>
      <c r="V965" s="30" t="s">
        <v>50</v>
      </c>
      <c r="W965" s="30"/>
      <c r="X965" s="30"/>
      <c r="Y965" s="30"/>
      <c r="Z965" s="30"/>
      <c r="AA965" s="30"/>
      <c r="AB965" s="29"/>
      <c r="AC965" s="29"/>
      <c r="AD965" s="37">
        <f t="shared" si="210"/>
        <v>28491</v>
      </c>
      <c r="AE965" s="3" t="str">
        <f t="shared" ca="1" si="208"/>
        <v>48 Tahun 8 bulan 0 Hari</v>
      </c>
      <c r="AF965" s="38">
        <f t="shared" si="211"/>
        <v>50437</v>
      </c>
    </row>
    <row r="966" spans="1:32" s="7" customFormat="1" ht="27.75" customHeight="1" x14ac:dyDescent="0.35">
      <c r="A966" s="26">
        <f t="shared" si="216"/>
        <v>901</v>
      </c>
      <c r="B966" s="139" t="s">
        <v>2605</v>
      </c>
      <c r="C966" s="290" t="s">
        <v>2644</v>
      </c>
      <c r="D966" s="291"/>
      <c r="E966" s="45" t="s">
        <v>2645</v>
      </c>
      <c r="F966" s="24" t="s">
        <v>43</v>
      </c>
      <c r="G966" s="4" t="s">
        <v>2646</v>
      </c>
      <c r="H966" s="4" t="s">
        <v>379</v>
      </c>
      <c r="I966" s="48" t="s">
        <v>86</v>
      </c>
      <c r="J966" s="72" t="s">
        <v>2490</v>
      </c>
      <c r="K966" s="3" t="str">
        <f t="shared" ca="1" si="207"/>
        <v xml:space="preserve">8 Tahun 4 bulan </v>
      </c>
      <c r="L966" s="25" t="s">
        <v>1749</v>
      </c>
      <c r="M966" s="72" t="s">
        <v>2490</v>
      </c>
      <c r="N966" s="3" t="str">
        <f t="shared" ca="1" si="214"/>
        <v xml:space="preserve">8 Tahun 4 bulan </v>
      </c>
      <c r="O966" s="56"/>
      <c r="P966" s="4" t="s">
        <v>35</v>
      </c>
      <c r="Q966" s="4" t="str">
        <f t="shared" si="209"/>
        <v>Perempuan</v>
      </c>
      <c r="R966" s="4">
        <f t="shared" si="212"/>
        <v>1</v>
      </c>
      <c r="S966" s="4" t="str">
        <f t="shared" si="215"/>
        <v>1</v>
      </c>
      <c r="T966" s="4">
        <f t="shared" si="213"/>
        <v>0</v>
      </c>
      <c r="U966" s="29"/>
      <c r="V966" s="30"/>
      <c r="W966" s="30"/>
      <c r="X966" s="30"/>
      <c r="Y966" s="30"/>
      <c r="Z966" s="30"/>
      <c r="AA966" s="30"/>
      <c r="AB966" s="29"/>
      <c r="AC966" s="29"/>
      <c r="AD966" s="37">
        <f t="shared" si="210"/>
        <v>26513</v>
      </c>
      <c r="AE966" s="3" t="str">
        <f t="shared" ca="1" si="208"/>
        <v>54 Tahun 0 bulan 30 Hari</v>
      </c>
      <c r="AF966" s="38">
        <f t="shared" si="211"/>
        <v>48458</v>
      </c>
    </row>
    <row r="967" spans="1:32" s="7" customFormat="1" ht="29.25" customHeight="1" x14ac:dyDescent="0.35">
      <c r="A967" s="26">
        <f t="shared" si="216"/>
        <v>902</v>
      </c>
      <c r="B967" s="139" t="s">
        <v>2605</v>
      </c>
      <c r="C967" s="290" t="s">
        <v>2647</v>
      </c>
      <c r="D967" s="291"/>
      <c r="E967" s="24" t="s">
        <v>2615</v>
      </c>
      <c r="F967" s="24" t="s">
        <v>71</v>
      </c>
      <c r="G967" s="44" t="s">
        <v>2616</v>
      </c>
      <c r="H967" s="4" t="s">
        <v>2962</v>
      </c>
      <c r="I967" s="48" t="s">
        <v>2965</v>
      </c>
      <c r="J967" s="65" t="s">
        <v>2961</v>
      </c>
      <c r="K967" s="3" t="str">
        <f t="shared" ref="K967:K1026" ca="1" si="217">IF(J967="","",CONCATENATE(DATEDIF(J967,NOW(),"Y")," Tahun ",DATEDIF(J967,NOW(),"YM")," bulan "))</f>
        <v xml:space="preserve">0 Tahun 3 bulan </v>
      </c>
      <c r="L967" s="25" t="s">
        <v>1749</v>
      </c>
      <c r="M967" s="65" t="s">
        <v>2961</v>
      </c>
      <c r="N967" s="3" t="str">
        <f t="shared" ca="1" si="214"/>
        <v xml:space="preserve">0 Tahun 3 bulan </v>
      </c>
      <c r="O967" s="56"/>
      <c r="P967" s="4" t="s">
        <v>35</v>
      </c>
      <c r="Q967" s="4" t="str">
        <f t="shared" si="209"/>
        <v>Laki-Laki</v>
      </c>
      <c r="R967" s="4">
        <f t="shared" si="212"/>
        <v>1</v>
      </c>
      <c r="S967" s="4" t="str">
        <f t="shared" si="215"/>
        <v>1</v>
      </c>
      <c r="T967" s="4">
        <f t="shared" si="213"/>
        <v>0</v>
      </c>
      <c r="U967" s="29"/>
      <c r="V967" s="30"/>
      <c r="W967" s="30"/>
      <c r="X967" s="30"/>
      <c r="Y967" s="30"/>
      <c r="Z967" s="30"/>
      <c r="AA967" s="30"/>
      <c r="AB967" s="29"/>
      <c r="AC967" s="29"/>
      <c r="AD967" s="37">
        <f t="shared" si="210"/>
        <v>25237</v>
      </c>
      <c r="AE967" s="3" t="str">
        <f t="shared" ref="AE967:AE1026" ca="1" si="218">IF(TRIM(AD967)="", "", CONCATENATE(DATEDIF(AD967,NOW(),"Y")," Tahun ",DATEDIF(AD967,NOW(),"YM")," bulan ",DATEDIF(AD967,NOW(),"MD")," Hari"))</f>
        <v>57 Tahun 6 bulan 29 Hari</v>
      </c>
      <c r="AF967" s="38">
        <f t="shared" si="211"/>
        <v>47178</v>
      </c>
    </row>
    <row r="968" spans="1:32" s="7" customFormat="1" ht="29.25" customHeight="1" x14ac:dyDescent="0.35">
      <c r="A968" s="26">
        <f t="shared" si="216"/>
        <v>903</v>
      </c>
      <c r="B968" s="4" t="s">
        <v>2605</v>
      </c>
      <c r="C968" s="292" t="s">
        <v>2648</v>
      </c>
      <c r="D968" s="292"/>
      <c r="E968" s="24" t="s">
        <v>2656</v>
      </c>
      <c r="F968" s="24" t="s">
        <v>71</v>
      </c>
      <c r="G968" s="36" t="s">
        <v>2657</v>
      </c>
      <c r="H968" s="36" t="s">
        <v>159</v>
      </c>
      <c r="I968" s="36" t="s">
        <v>1556</v>
      </c>
      <c r="J968" s="65" t="s">
        <v>2961</v>
      </c>
      <c r="K968" s="3" t="str">
        <f t="shared" ca="1" si="217"/>
        <v xml:space="preserve">0 Tahun 3 bulan </v>
      </c>
      <c r="L968" s="25" t="s">
        <v>1749</v>
      </c>
      <c r="M968" s="65" t="s">
        <v>2961</v>
      </c>
      <c r="N968" s="3" t="str">
        <f t="shared" ca="1" si="214"/>
        <v xml:space="preserve">0 Tahun 3 bulan </v>
      </c>
      <c r="O968" s="36"/>
      <c r="P968" s="4" t="s">
        <v>35</v>
      </c>
      <c r="Q968" s="4" t="str">
        <f t="shared" ref="Q968:Q1026" si="219">CONCATENATE(IF(MID(G968,17,1)="1","Laki-Laki",IF(MID(G968,17,1)="2","Perempuan",)))</f>
        <v>Laki-Laki</v>
      </c>
      <c r="R968" s="4">
        <f t="shared" si="212"/>
        <v>1</v>
      </c>
      <c r="S968" s="4" t="str">
        <f t="shared" si="215"/>
        <v>1</v>
      </c>
      <c r="T968" s="4">
        <f t="shared" si="213"/>
        <v>0</v>
      </c>
      <c r="U968" s="29"/>
      <c r="V968" s="30"/>
      <c r="W968" s="30"/>
      <c r="X968" s="30"/>
      <c r="Y968" s="30"/>
      <c r="Z968" s="30"/>
      <c r="AA968" s="30"/>
      <c r="AB968" s="29"/>
      <c r="AC968" s="29"/>
      <c r="AD968" s="37">
        <f t="shared" ref="AD968:AD1026" si="220">IF(TRIM(G968)="", "", DATE(LEFT(G968,4),MID(G968,5,2),MID(G968,7,2)))</f>
        <v>26998</v>
      </c>
      <c r="AE968" s="3" t="str">
        <f t="shared" ca="1" si="218"/>
        <v>52 Tahun 9 bulan 2 Hari</v>
      </c>
      <c r="AF968" s="38">
        <f t="shared" ref="AF968:AF1026" si="221">IF(TRIM(AD968)="","",DATE(YEAR(AD968)+60,MONTH(AD968)+1,1))</f>
        <v>48914</v>
      </c>
    </row>
    <row r="969" spans="1:32" s="7" customFormat="1" ht="29.25" customHeight="1" x14ac:dyDescent="0.35">
      <c r="A969" s="26">
        <f t="shared" si="216"/>
        <v>904</v>
      </c>
      <c r="B969" s="139" t="s">
        <v>2605</v>
      </c>
      <c r="C969" s="290" t="s">
        <v>2649</v>
      </c>
      <c r="D969" s="291"/>
      <c r="E969" s="24" t="s">
        <v>2641</v>
      </c>
      <c r="F969" s="24" t="s">
        <v>71</v>
      </c>
      <c r="G969" s="25" t="s">
        <v>2642</v>
      </c>
      <c r="H969" s="4" t="s">
        <v>2643</v>
      </c>
      <c r="I969" s="33" t="s">
        <v>86</v>
      </c>
      <c r="J969" s="61" t="s">
        <v>2961</v>
      </c>
      <c r="K969" s="3" t="str">
        <f t="shared" ca="1" si="217"/>
        <v xml:space="preserve">0 Tahun 3 bulan </v>
      </c>
      <c r="L969" s="25" t="s">
        <v>1749</v>
      </c>
      <c r="M969" s="61" t="s">
        <v>2961</v>
      </c>
      <c r="N969" s="3" t="str">
        <f t="shared" ca="1" si="214"/>
        <v xml:space="preserve">0 Tahun 3 bulan </v>
      </c>
      <c r="O969" s="36"/>
      <c r="P969" s="4" t="s">
        <v>35</v>
      </c>
      <c r="Q969" s="4" t="str">
        <f t="shared" si="219"/>
        <v>Laki-Laki</v>
      </c>
      <c r="R969" s="4">
        <f t="shared" ref="R969:R1005" si="222">R968</f>
        <v>1</v>
      </c>
      <c r="S969" s="4" t="str">
        <f t="shared" si="215"/>
        <v>1</v>
      </c>
      <c r="T969" s="4">
        <f t="shared" si="213"/>
        <v>0</v>
      </c>
      <c r="U969" s="29"/>
      <c r="V969" s="30" t="s">
        <v>50</v>
      </c>
      <c r="W969" s="30"/>
      <c r="X969" s="30"/>
      <c r="Y969" s="30"/>
      <c r="Z969" s="30"/>
      <c r="AA969" s="30"/>
      <c r="AB969" s="29"/>
      <c r="AC969" s="29"/>
      <c r="AD969" s="37">
        <f t="shared" si="220"/>
        <v>28491</v>
      </c>
      <c r="AE969" s="3" t="str">
        <f t="shared" ca="1" si="218"/>
        <v>48 Tahun 8 bulan 0 Hari</v>
      </c>
      <c r="AF969" s="38">
        <f t="shared" si="221"/>
        <v>50437</v>
      </c>
    </row>
    <row r="970" spans="1:32" s="7" customFormat="1" ht="29.25" customHeight="1" x14ac:dyDescent="0.35">
      <c r="A970" s="26">
        <f t="shared" si="216"/>
        <v>905</v>
      </c>
      <c r="B970" s="139" t="s">
        <v>2605</v>
      </c>
      <c r="C970" s="290" t="s">
        <v>2650</v>
      </c>
      <c r="D970" s="291"/>
      <c r="E970" s="58" t="s">
        <v>2964</v>
      </c>
      <c r="F970" s="24" t="s">
        <v>71</v>
      </c>
      <c r="G970" s="25" t="s">
        <v>2630</v>
      </c>
      <c r="H970" s="4" t="s">
        <v>750</v>
      </c>
      <c r="I970" s="33" t="s">
        <v>46</v>
      </c>
      <c r="J970" s="47" t="s">
        <v>2961</v>
      </c>
      <c r="K970" s="3" t="str">
        <f t="shared" ca="1" si="217"/>
        <v xml:space="preserve">0 Tahun 3 bulan </v>
      </c>
      <c r="L970" s="25" t="s">
        <v>1749</v>
      </c>
      <c r="M970" s="47" t="s">
        <v>2961</v>
      </c>
      <c r="N970" s="3" t="str">
        <f t="shared" ca="1" si="214"/>
        <v xml:space="preserve">0 Tahun 3 bulan </v>
      </c>
      <c r="O970" s="36"/>
      <c r="P970" s="4" t="s">
        <v>35</v>
      </c>
      <c r="Q970" s="4" t="str">
        <f t="shared" si="219"/>
        <v>Laki-Laki</v>
      </c>
      <c r="R970" s="4">
        <f t="shared" si="222"/>
        <v>1</v>
      </c>
      <c r="S970" s="4" t="str">
        <f t="shared" si="215"/>
        <v>1</v>
      </c>
      <c r="T970" s="4">
        <f t="shared" si="213"/>
        <v>0</v>
      </c>
      <c r="U970" s="29"/>
      <c r="V970" s="30" t="s">
        <v>50</v>
      </c>
      <c r="W970" s="30"/>
      <c r="X970" s="30"/>
      <c r="Y970" s="30"/>
      <c r="Z970" s="30"/>
      <c r="AA970" s="30"/>
      <c r="AB970" s="29"/>
      <c r="AC970" s="29"/>
      <c r="AD970" s="37">
        <f t="shared" si="220"/>
        <v>26458</v>
      </c>
      <c r="AE970" s="3" t="str">
        <f t="shared" ca="1" si="218"/>
        <v>54 Tahun 2 bulan 24 Hari</v>
      </c>
      <c r="AF970" s="38">
        <f t="shared" si="221"/>
        <v>48396</v>
      </c>
    </row>
    <row r="971" spans="1:32" s="7" customFormat="1" ht="29.25" customHeight="1" x14ac:dyDescent="0.35">
      <c r="A971" s="26">
        <f t="shared" si="216"/>
        <v>906</v>
      </c>
      <c r="B971" s="139" t="s">
        <v>2605</v>
      </c>
      <c r="C971" s="290" t="s">
        <v>2651</v>
      </c>
      <c r="D971" s="291"/>
      <c r="E971" s="58" t="s">
        <v>2652</v>
      </c>
      <c r="F971" s="24" t="s">
        <v>43</v>
      </c>
      <c r="G971" s="25" t="s">
        <v>2653</v>
      </c>
      <c r="H971" s="4" t="s">
        <v>135</v>
      </c>
      <c r="I971" s="33" t="s">
        <v>86</v>
      </c>
      <c r="J971" s="47" t="s">
        <v>206</v>
      </c>
      <c r="K971" s="3" t="str">
        <f t="shared" ca="1" si="217"/>
        <v xml:space="preserve">3 Tahun 10 bulan </v>
      </c>
      <c r="L971" s="25" t="s">
        <v>1749</v>
      </c>
      <c r="M971" s="47" t="s">
        <v>206</v>
      </c>
      <c r="N971" s="3" t="str">
        <f t="shared" ca="1" si="214"/>
        <v xml:space="preserve">3 Tahun 10 bulan </v>
      </c>
      <c r="O971" s="36"/>
      <c r="P971" s="4" t="s">
        <v>35</v>
      </c>
      <c r="Q971" s="4" t="str">
        <f t="shared" si="219"/>
        <v>Laki-Laki</v>
      </c>
      <c r="R971" s="4">
        <f t="shared" si="222"/>
        <v>1</v>
      </c>
      <c r="S971" s="4" t="str">
        <f t="shared" si="215"/>
        <v>1</v>
      </c>
      <c r="T971" s="4">
        <f t="shared" si="213"/>
        <v>0</v>
      </c>
      <c r="U971" s="29"/>
      <c r="V971" s="30" t="s">
        <v>50</v>
      </c>
      <c r="W971" s="30"/>
      <c r="X971" s="30"/>
      <c r="Y971" s="30"/>
      <c r="Z971" s="30"/>
      <c r="AA971" s="30"/>
      <c r="AB971" s="29"/>
      <c r="AC971" s="29"/>
      <c r="AD971" s="37">
        <f t="shared" si="220"/>
        <v>28612</v>
      </c>
      <c r="AE971" s="3" t="str">
        <f t="shared" ca="1" si="218"/>
        <v>48 Tahun 3 bulan 30 Hari</v>
      </c>
      <c r="AF971" s="38">
        <f t="shared" si="221"/>
        <v>50557</v>
      </c>
    </row>
    <row r="972" spans="1:32" s="7" customFormat="1" ht="29.25" customHeight="1" x14ac:dyDescent="0.35">
      <c r="A972" s="26">
        <f t="shared" si="216"/>
        <v>907</v>
      </c>
      <c r="B972" s="139" t="s">
        <v>2605</v>
      </c>
      <c r="C972" s="290" t="s">
        <v>2654</v>
      </c>
      <c r="D972" s="291"/>
      <c r="E972" s="24" t="s">
        <v>2633</v>
      </c>
      <c r="F972" s="24" t="s">
        <v>71</v>
      </c>
      <c r="G972" s="4" t="s">
        <v>2634</v>
      </c>
      <c r="H972" s="4" t="s">
        <v>2962</v>
      </c>
      <c r="I972" s="33" t="s">
        <v>2963</v>
      </c>
      <c r="J972" s="65" t="s">
        <v>2961</v>
      </c>
      <c r="K972" s="3" t="str">
        <f t="shared" ca="1" si="217"/>
        <v xml:space="preserve">0 Tahun 3 bulan </v>
      </c>
      <c r="L972" s="25" t="s">
        <v>1749</v>
      </c>
      <c r="M972" s="65" t="s">
        <v>2961</v>
      </c>
      <c r="N972" s="3" t="str">
        <f t="shared" ca="1" si="214"/>
        <v xml:space="preserve">0 Tahun 3 bulan </v>
      </c>
      <c r="O972" s="4"/>
      <c r="P972" s="4" t="s">
        <v>35</v>
      </c>
      <c r="Q972" s="4" t="str">
        <f t="shared" si="219"/>
        <v>Perempuan</v>
      </c>
      <c r="R972" s="4">
        <f t="shared" si="222"/>
        <v>1</v>
      </c>
      <c r="S972" s="4" t="str">
        <f t="shared" si="215"/>
        <v>1</v>
      </c>
      <c r="T972" s="4">
        <f t="shared" si="213"/>
        <v>0</v>
      </c>
      <c r="U972" s="29"/>
      <c r="V972" s="30"/>
      <c r="W972" s="30"/>
      <c r="X972" s="30"/>
      <c r="Y972" s="30"/>
      <c r="Z972" s="30"/>
      <c r="AA972" s="30"/>
      <c r="AB972" s="29"/>
      <c r="AC972" s="29"/>
      <c r="AD972" s="37">
        <f t="shared" si="220"/>
        <v>30202</v>
      </c>
      <c r="AE972" s="3" t="str">
        <f t="shared" ca="1" si="218"/>
        <v>43 Tahun 11 bulan 24 Hari</v>
      </c>
      <c r="AF972" s="38">
        <f t="shared" si="221"/>
        <v>52140</v>
      </c>
    </row>
    <row r="973" spans="1:32" s="7" customFormat="1" ht="34.5" customHeight="1" x14ac:dyDescent="0.35">
      <c r="A973" s="26">
        <f t="shared" si="216"/>
        <v>908</v>
      </c>
      <c r="B973" s="139" t="s">
        <v>2605</v>
      </c>
      <c r="C973" s="290" t="s">
        <v>2655</v>
      </c>
      <c r="D973" s="291"/>
      <c r="E973" s="24" t="s">
        <v>2656</v>
      </c>
      <c r="F973" s="24" t="s">
        <v>43</v>
      </c>
      <c r="G973" s="3" t="s">
        <v>2657</v>
      </c>
      <c r="H973" s="4" t="s">
        <v>159</v>
      </c>
      <c r="I973" s="48" t="s">
        <v>86</v>
      </c>
      <c r="J973" s="72" t="s">
        <v>2490</v>
      </c>
      <c r="K973" s="3" t="str">
        <f t="shared" ca="1" si="217"/>
        <v xml:space="preserve">8 Tahun 4 bulan </v>
      </c>
      <c r="L973" s="25" t="s">
        <v>1749</v>
      </c>
      <c r="M973" s="72" t="s">
        <v>2490</v>
      </c>
      <c r="N973" s="3" t="str">
        <f t="shared" ca="1" si="214"/>
        <v xml:space="preserve">8 Tahun 4 bulan </v>
      </c>
      <c r="O973" s="56"/>
      <c r="P973" s="4" t="s">
        <v>35</v>
      </c>
      <c r="Q973" s="4" t="str">
        <f t="shared" si="219"/>
        <v>Laki-Laki</v>
      </c>
      <c r="R973" s="4">
        <f t="shared" si="222"/>
        <v>1</v>
      </c>
      <c r="S973" s="4" t="str">
        <f t="shared" si="215"/>
        <v>1</v>
      </c>
      <c r="T973" s="4">
        <f t="shared" si="213"/>
        <v>0</v>
      </c>
      <c r="U973" s="29"/>
      <c r="V973" s="30" t="s">
        <v>50</v>
      </c>
      <c r="W973" s="30"/>
      <c r="X973" s="30"/>
      <c r="Y973" s="30"/>
      <c r="Z973" s="30"/>
      <c r="AA973" s="30"/>
      <c r="AB973" s="29"/>
      <c r="AC973" s="29"/>
      <c r="AD973" s="37">
        <f t="shared" si="220"/>
        <v>26998</v>
      </c>
      <c r="AE973" s="3" t="str">
        <f t="shared" ca="1" si="218"/>
        <v>52 Tahun 9 bulan 2 Hari</v>
      </c>
      <c r="AF973" s="38">
        <f t="shared" si="221"/>
        <v>48914</v>
      </c>
    </row>
    <row r="974" spans="1:32" s="7" customFormat="1" ht="29.25" customHeight="1" x14ac:dyDescent="0.35">
      <c r="A974" s="26">
        <f t="shared" si="216"/>
        <v>909</v>
      </c>
      <c r="B974" s="139" t="s">
        <v>2605</v>
      </c>
      <c r="C974" s="290" t="s">
        <v>2658</v>
      </c>
      <c r="D974" s="291"/>
      <c r="E974" s="24" t="s">
        <v>2645</v>
      </c>
      <c r="F974" s="24" t="s">
        <v>71</v>
      </c>
      <c r="G974" s="3" t="s">
        <v>2646</v>
      </c>
      <c r="H974" s="4" t="s">
        <v>379</v>
      </c>
      <c r="I974" s="48" t="s">
        <v>1556</v>
      </c>
      <c r="J974" s="72" t="s">
        <v>2961</v>
      </c>
      <c r="K974" s="3" t="str">
        <f t="shared" ca="1" si="217"/>
        <v xml:space="preserve">0 Tahun 3 bulan </v>
      </c>
      <c r="L974" s="25" t="s">
        <v>1749</v>
      </c>
      <c r="M974" s="72" t="s">
        <v>2961</v>
      </c>
      <c r="N974" s="3" t="str">
        <f t="shared" ca="1" si="214"/>
        <v xml:space="preserve">0 Tahun 3 bulan </v>
      </c>
      <c r="O974" s="56"/>
      <c r="P974" s="4" t="s">
        <v>35</v>
      </c>
      <c r="Q974" s="4" t="str">
        <f t="shared" si="219"/>
        <v>Perempuan</v>
      </c>
      <c r="R974" s="4">
        <f t="shared" si="222"/>
        <v>1</v>
      </c>
      <c r="S974" s="4" t="str">
        <f t="shared" si="215"/>
        <v>1</v>
      </c>
      <c r="T974" s="4">
        <f t="shared" si="213"/>
        <v>0</v>
      </c>
      <c r="U974" s="29"/>
      <c r="V974" s="30" t="s">
        <v>50</v>
      </c>
      <c r="W974" s="30"/>
      <c r="X974" s="30"/>
      <c r="Y974" s="30"/>
      <c r="Z974" s="30"/>
      <c r="AA974" s="30"/>
      <c r="AB974" s="29"/>
      <c r="AC974" s="29"/>
      <c r="AD974" s="37">
        <f t="shared" si="220"/>
        <v>26513</v>
      </c>
      <c r="AE974" s="3" t="str">
        <f t="shared" ca="1" si="218"/>
        <v>54 Tahun 0 bulan 30 Hari</v>
      </c>
      <c r="AF974" s="38">
        <f t="shared" si="221"/>
        <v>48458</v>
      </c>
    </row>
    <row r="975" spans="1:32" s="7" customFormat="1" ht="24.75" customHeight="1" x14ac:dyDescent="0.35">
      <c r="A975" s="26"/>
      <c r="B975" s="27" t="s">
        <v>2659</v>
      </c>
      <c r="C975" s="280" t="s">
        <v>2660</v>
      </c>
      <c r="D975" s="281"/>
      <c r="E975" s="24"/>
      <c r="F975" s="24"/>
      <c r="G975" s="4"/>
      <c r="H975" s="4"/>
      <c r="I975" s="33"/>
      <c r="J975" s="5"/>
      <c r="K975" s="3" t="str">
        <f t="shared" ca="1" si="217"/>
        <v/>
      </c>
      <c r="L975" s="30"/>
      <c r="M975" s="5"/>
      <c r="N975" s="3" t="str">
        <f t="shared" ca="1" si="214"/>
        <v/>
      </c>
      <c r="O975" s="4"/>
      <c r="P975" s="4"/>
      <c r="Q975" s="4"/>
      <c r="R975" s="4"/>
      <c r="S975" s="4"/>
      <c r="T975" s="4"/>
      <c r="U975" s="29"/>
      <c r="V975" s="30"/>
      <c r="W975" s="30"/>
      <c r="X975" s="30"/>
      <c r="Y975" s="30"/>
      <c r="Z975" s="29"/>
      <c r="AA975" s="29"/>
      <c r="AB975" s="29"/>
      <c r="AC975" s="29"/>
      <c r="AD975" s="37" t="str">
        <f t="shared" si="220"/>
        <v/>
      </c>
      <c r="AE975" s="3" t="str">
        <f t="shared" ca="1" si="218"/>
        <v/>
      </c>
      <c r="AF975" s="38" t="str">
        <f t="shared" si="221"/>
        <v/>
      </c>
    </row>
    <row r="976" spans="1:32" s="7" customFormat="1" ht="44.25" customHeight="1" x14ac:dyDescent="0.35">
      <c r="A976" s="26">
        <f>A974+1</f>
        <v>910</v>
      </c>
      <c r="B976" s="27" t="s">
        <v>2659</v>
      </c>
      <c r="C976" s="288" t="s">
        <v>2661</v>
      </c>
      <c r="D976" s="289"/>
      <c r="E976" s="71" t="s">
        <v>2917</v>
      </c>
      <c r="F976" s="71" t="s">
        <v>43</v>
      </c>
      <c r="G976" s="3" t="s">
        <v>2918</v>
      </c>
      <c r="H976" s="4" t="s">
        <v>197</v>
      </c>
      <c r="I976" s="33" t="s">
        <v>2919</v>
      </c>
      <c r="J976" s="110">
        <v>46087</v>
      </c>
      <c r="K976" s="3" t="str">
        <f t="shared" ca="1" si="217"/>
        <v xml:space="preserve">0 Tahun 5 bulan </v>
      </c>
      <c r="L976" s="4" t="s">
        <v>200</v>
      </c>
      <c r="M976" s="82">
        <v>46087</v>
      </c>
      <c r="N976" s="3" t="str">
        <f t="shared" ca="1" si="214"/>
        <v xml:space="preserve">0 Tahun 5 bulan </v>
      </c>
      <c r="O976" s="4"/>
      <c r="P976" s="4" t="s">
        <v>35</v>
      </c>
      <c r="Q976" s="4" t="str">
        <f t="shared" si="219"/>
        <v>Perempuan</v>
      </c>
      <c r="R976" s="4">
        <f>R1005</f>
        <v>1</v>
      </c>
      <c r="S976" s="4" t="str">
        <f>IF(E976="LOWONG","0","1")</f>
        <v>1</v>
      </c>
      <c r="T976" s="4">
        <f>R976-S976</f>
        <v>0</v>
      </c>
      <c r="U976" s="29"/>
      <c r="V976" s="30" t="s">
        <v>50</v>
      </c>
      <c r="W976" s="30"/>
      <c r="X976" s="30"/>
      <c r="Y976" s="30"/>
      <c r="Z976" s="30"/>
      <c r="AA976" s="30"/>
      <c r="AB976" s="29"/>
      <c r="AC976" s="29"/>
      <c r="AD976" s="37">
        <f t="shared" si="220"/>
        <v>28277</v>
      </c>
      <c r="AE976" s="3" t="str">
        <f t="shared" ca="1" si="218"/>
        <v>49 Tahun 3 bulan 0 Hari</v>
      </c>
      <c r="AF976" s="38">
        <f t="shared" si="221"/>
        <v>50222</v>
      </c>
    </row>
    <row r="977" spans="1:33" ht="44.25" customHeight="1" x14ac:dyDescent="0.35">
      <c r="A977" s="26">
        <f>A976+1</f>
        <v>911</v>
      </c>
      <c r="B977" s="27" t="s">
        <v>2659</v>
      </c>
      <c r="C977" s="26"/>
      <c r="D977" s="137" t="s">
        <v>2663</v>
      </c>
      <c r="E977" s="71" t="s">
        <v>2664</v>
      </c>
      <c r="F977" s="24" t="s">
        <v>43</v>
      </c>
      <c r="G977" s="70"/>
      <c r="H977" s="36"/>
      <c r="I977" s="48"/>
      <c r="J977" s="140">
        <v>45993</v>
      </c>
      <c r="K977" s="3" t="str">
        <f t="shared" ca="1" si="217"/>
        <v xml:space="preserve">0 Tahun 8 bulan </v>
      </c>
      <c r="L977" s="56" t="s">
        <v>1749</v>
      </c>
      <c r="M977" s="82"/>
      <c r="N977" s="3" t="str">
        <f t="shared" ca="1" si="214"/>
        <v/>
      </c>
      <c r="O977" s="4"/>
      <c r="P977" s="4" t="s">
        <v>35</v>
      </c>
      <c r="Q977" s="4" t="str">
        <f t="shared" si="219"/>
        <v/>
      </c>
      <c r="R977" s="4">
        <f>R976</f>
        <v>1</v>
      </c>
      <c r="S977" s="4" t="str">
        <f>IF(E977="LOWONG","0","1")</f>
        <v>1</v>
      </c>
      <c r="T977" s="4">
        <f>R977-S977</f>
        <v>0</v>
      </c>
      <c r="U977" s="29"/>
      <c r="V977" s="30" t="s">
        <v>50</v>
      </c>
      <c r="W977" s="30"/>
      <c r="X977" s="30"/>
      <c r="Y977" s="30"/>
      <c r="Z977" s="30"/>
      <c r="AA977" s="30"/>
      <c r="AB977" s="29"/>
      <c r="AC977" s="29"/>
      <c r="AD977" s="37" t="str">
        <f t="shared" si="220"/>
        <v/>
      </c>
      <c r="AE977" s="3" t="str">
        <f t="shared" ca="1" si="218"/>
        <v/>
      </c>
      <c r="AF977" s="38" t="str">
        <f t="shared" si="221"/>
        <v/>
      </c>
      <c r="AG977" s="7"/>
    </row>
    <row r="978" spans="1:33" ht="28.5" customHeight="1" x14ac:dyDescent="0.35">
      <c r="A978" s="26"/>
      <c r="B978" s="27" t="s">
        <v>3095</v>
      </c>
      <c r="C978" s="295" t="s">
        <v>3096</v>
      </c>
      <c r="D978" s="296"/>
      <c r="E978" s="71"/>
      <c r="F978" s="24"/>
      <c r="G978" s="70"/>
      <c r="H978" s="36"/>
      <c r="I978" s="48"/>
      <c r="J978" s="140"/>
      <c r="K978" s="3"/>
      <c r="L978" s="56"/>
      <c r="M978" s="82"/>
      <c r="N978" s="3"/>
      <c r="O978" s="4"/>
      <c r="P978" s="4"/>
      <c r="Q978" s="4"/>
      <c r="R978" s="4"/>
      <c r="S978" s="4"/>
      <c r="T978" s="4"/>
      <c r="U978" s="29"/>
      <c r="V978" s="30"/>
      <c r="W978" s="30"/>
      <c r="X978" s="30"/>
      <c r="Y978" s="30"/>
      <c r="Z978" s="30"/>
      <c r="AA978" s="30"/>
      <c r="AB978" s="29"/>
      <c r="AC978" s="29"/>
      <c r="AD978" s="37"/>
      <c r="AE978" s="3"/>
      <c r="AF978" s="38"/>
      <c r="AG978" s="7"/>
    </row>
    <row r="979" spans="1:33" ht="45.5" customHeight="1" x14ac:dyDescent="0.35">
      <c r="A979" s="26">
        <v>912</v>
      </c>
      <c r="B979" s="27" t="s">
        <v>3095</v>
      </c>
      <c r="C979" s="297" t="s">
        <v>3097</v>
      </c>
      <c r="D979" s="298"/>
      <c r="E979" s="71" t="s">
        <v>907</v>
      </c>
      <c r="F979" s="24" t="s">
        <v>43</v>
      </c>
      <c r="G979" s="70" t="s">
        <v>908</v>
      </c>
      <c r="H979" s="36" t="s">
        <v>106</v>
      </c>
      <c r="I979" s="48" t="s">
        <v>107</v>
      </c>
      <c r="J979" s="140">
        <v>46260</v>
      </c>
      <c r="K979" s="3" t="str">
        <f t="shared" ca="1" si="217"/>
        <v xml:space="preserve">0 Tahun 0 bulan </v>
      </c>
      <c r="L979" s="56" t="s">
        <v>200</v>
      </c>
      <c r="M979" s="82">
        <v>46260</v>
      </c>
      <c r="N979" s="3" t="str">
        <f t="shared" ca="1" si="214"/>
        <v xml:space="preserve">0 Tahun 0 bulan </v>
      </c>
      <c r="O979" s="4"/>
      <c r="P979" s="4" t="s">
        <v>35</v>
      </c>
      <c r="Q979" s="4" t="str">
        <f t="shared" si="219"/>
        <v>Laki-Laki</v>
      </c>
      <c r="R979" s="4">
        <v>1</v>
      </c>
      <c r="S979" s="4" t="s">
        <v>3098</v>
      </c>
      <c r="T979" s="4">
        <v>0</v>
      </c>
      <c r="U979" s="29"/>
      <c r="V979" s="30" t="s">
        <v>50</v>
      </c>
      <c r="W979" s="30"/>
      <c r="X979" s="30"/>
      <c r="Y979" s="30"/>
      <c r="Z979" s="30"/>
      <c r="AA979" s="30"/>
      <c r="AB979" s="29"/>
      <c r="AC979" s="29"/>
      <c r="AD979" s="37">
        <v>28277</v>
      </c>
      <c r="AE979" s="3" t="s">
        <v>3099</v>
      </c>
      <c r="AF979" s="38">
        <v>50222</v>
      </c>
      <c r="AG979" s="7"/>
    </row>
    <row r="980" spans="1:33" ht="22.5" customHeight="1" x14ac:dyDescent="0.35">
      <c r="A980" s="26"/>
      <c r="B980" s="68" t="s">
        <v>2665</v>
      </c>
      <c r="C980" s="280" t="s">
        <v>2666</v>
      </c>
      <c r="D980" s="281"/>
      <c r="E980" s="24"/>
      <c r="F980" s="24"/>
      <c r="G980" s="4"/>
      <c r="H980" s="4"/>
      <c r="I980" s="33"/>
      <c r="J980" s="5"/>
      <c r="K980" s="3" t="str">
        <f t="shared" ca="1" si="217"/>
        <v/>
      </c>
      <c r="L980" s="30"/>
      <c r="M980" s="5"/>
      <c r="N980" s="3" t="str">
        <f t="shared" ca="1" si="214"/>
        <v/>
      </c>
      <c r="O980" s="4"/>
      <c r="P980" s="4"/>
      <c r="Q980" s="4"/>
      <c r="R980" s="4"/>
      <c r="S980" s="4"/>
      <c r="T980" s="4"/>
      <c r="U980" s="29"/>
      <c r="V980" s="30"/>
      <c r="W980" s="30"/>
      <c r="X980" s="30"/>
      <c r="Y980" s="30"/>
      <c r="Z980" s="29"/>
      <c r="AA980" s="29"/>
      <c r="AB980" s="29"/>
      <c r="AC980" s="29"/>
      <c r="AD980" s="37" t="str">
        <f t="shared" si="220"/>
        <v/>
      </c>
      <c r="AE980" s="3" t="str">
        <f t="shared" ca="1" si="218"/>
        <v/>
      </c>
      <c r="AF980" s="38" t="str">
        <f t="shared" si="221"/>
        <v/>
      </c>
      <c r="AG980" s="7"/>
    </row>
    <row r="981" spans="1:33" ht="27" customHeight="1" x14ac:dyDescent="0.35">
      <c r="A981" s="26">
        <v>913</v>
      </c>
      <c r="B981" s="139" t="s">
        <v>2665</v>
      </c>
      <c r="C981" s="293" t="s">
        <v>2667</v>
      </c>
      <c r="D981" s="294"/>
      <c r="E981" s="42" t="s">
        <v>2668</v>
      </c>
      <c r="F981" s="42" t="s">
        <v>43</v>
      </c>
      <c r="G981" s="141" t="s">
        <v>2669</v>
      </c>
      <c r="H981" s="135" t="s">
        <v>554</v>
      </c>
      <c r="I981" s="48" t="s">
        <v>86</v>
      </c>
      <c r="J981" s="110" t="s">
        <v>2670</v>
      </c>
      <c r="K981" s="3" t="str">
        <f t="shared" ca="1" si="217"/>
        <v xml:space="preserve">3 Tahun 0 bulan </v>
      </c>
      <c r="L981" s="4" t="s">
        <v>2452</v>
      </c>
      <c r="M981" s="110" t="s">
        <v>2670</v>
      </c>
      <c r="N981" s="3" t="str">
        <f t="shared" ca="1" si="214"/>
        <v xml:space="preserve">3 Tahun 0 bulan </v>
      </c>
      <c r="O981" s="56" t="s">
        <v>2671</v>
      </c>
      <c r="P981" s="4" t="s">
        <v>35</v>
      </c>
      <c r="Q981" s="4" t="str">
        <f t="shared" si="219"/>
        <v>Perempuan</v>
      </c>
      <c r="R981" s="4">
        <v>1</v>
      </c>
      <c r="S981" s="4" t="str">
        <f t="shared" ref="S981:S1000" si="223">IF(E981="LOWONG","0","1")</f>
        <v>1</v>
      </c>
      <c r="T981" s="4">
        <f t="shared" si="213"/>
        <v>0</v>
      </c>
      <c r="U981" s="29"/>
      <c r="V981" s="30"/>
      <c r="W981" s="30"/>
      <c r="X981" s="30"/>
      <c r="Y981" s="30"/>
      <c r="Z981" s="30"/>
      <c r="AA981" s="30"/>
      <c r="AB981" s="29"/>
      <c r="AC981" s="29"/>
      <c r="AD981" s="37">
        <f t="shared" si="220"/>
        <v>29964</v>
      </c>
      <c r="AE981" s="3" t="str">
        <f t="shared" ca="1" si="218"/>
        <v>44 Tahun 7 bulan 19 Hari</v>
      </c>
      <c r="AF981" s="38">
        <f t="shared" si="221"/>
        <v>51898</v>
      </c>
      <c r="AG981" s="7"/>
    </row>
    <row r="982" spans="1:33" ht="27" customHeight="1" x14ac:dyDescent="0.35">
      <c r="A982" s="26">
        <v>914</v>
      </c>
      <c r="B982" s="139" t="s">
        <v>2665</v>
      </c>
      <c r="C982" s="293" t="s">
        <v>2672</v>
      </c>
      <c r="D982" s="294"/>
      <c r="E982" s="39" t="s">
        <v>2673</v>
      </c>
      <c r="F982" s="42" t="s">
        <v>43</v>
      </c>
      <c r="G982" s="25" t="s">
        <v>2674</v>
      </c>
      <c r="H982" s="135" t="s">
        <v>554</v>
      </c>
      <c r="I982" s="25" t="s">
        <v>362</v>
      </c>
      <c r="J982" s="110" t="s">
        <v>2377</v>
      </c>
      <c r="K982" s="3" t="str">
        <f t="shared" ca="1" si="217"/>
        <v xml:space="preserve">3 Tahun 7 bulan </v>
      </c>
      <c r="L982" s="4" t="s">
        <v>2452</v>
      </c>
      <c r="M982" s="110" t="s">
        <v>2377</v>
      </c>
      <c r="N982" s="3" t="str">
        <f t="shared" ca="1" si="214"/>
        <v xml:space="preserve">3 Tahun 7 bulan </v>
      </c>
      <c r="O982" s="56" t="s">
        <v>2671</v>
      </c>
      <c r="P982" s="4" t="s">
        <v>35</v>
      </c>
      <c r="Q982" s="4" t="str">
        <f t="shared" si="219"/>
        <v>Laki-Laki</v>
      </c>
      <c r="R982" s="4">
        <f t="shared" si="222"/>
        <v>1</v>
      </c>
      <c r="S982" s="4" t="str">
        <f t="shared" si="223"/>
        <v>1</v>
      </c>
      <c r="T982" s="4">
        <f t="shared" si="213"/>
        <v>0</v>
      </c>
      <c r="U982" s="29"/>
      <c r="V982" s="30" t="s">
        <v>50</v>
      </c>
      <c r="W982" s="30"/>
      <c r="X982" s="30"/>
      <c r="Y982" s="30"/>
      <c r="Z982" s="30"/>
      <c r="AA982" s="30"/>
      <c r="AB982" s="29"/>
      <c r="AC982" s="29"/>
      <c r="AD982" s="37">
        <f t="shared" si="220"/>
        <v>29000</v>
      </c>
      <c r="AE982" s="3" t="str">
        <f t="shared" ca="1" si="218"/>
        <v>47 Tahun 3 bulan 7 Hari</v>
      </c>
      <c r="AF982" s="38">
        <f t="shared" si="221"/>
        <v>50922</v>
      </c>
      <c r="AG982" s="7"/>
    </row>
    <row r="983" spans="1:33" ht="27" customHeight="1" x14ac:dyDescent="0.35">
      <c r="A983" s="26">
        <v>915</v>
      </c>
      <c r="B983" s="139" t="s">
        <v>2665</v>
      </c>
      <c r="C983" s="293" t="s">
        <v>2675</v>
      </c>
      <c r="D983" s="294"/>
      <c r="E983" s="24" t="s">
        <v>108</v>
      </c>
      <c r="F983" s="24"/>
      <c r="G983" s="3"/>
      <c r="H983" s="69"/>
      <c r="I983" s="25"/>
      <c r="J983" s="125"/>
      <c r="K983" s="3" t="str">
        <f t="shared" ca="1" si="217"/>
        <v/>
      </c>
      <c r="L983" s="4" t="s">
        <v>2452</v>
      </c>
      <c r="M983" s="125"/>
      <c r="N983" s="3" t="str">
        <f t="shared" ca="1" si="214"/>
        <v/>
      </c>
      <c r="O983" s="56"/>
      <c r="P983" s="4"/>
      <c r="Q983" s="4" t="str">
        <f t="shared" si="219"/>
        <v/>
      </c>
      <c r="R983" s="4">
        <f t="shared" si="222"/>
        <v>1</v>
      </c>
      <c r="S983" s="4" t="str">
        <f t="shared" si="223"/>
        <v>0</v>
      </c>
      <c r="T983" s="4">
        <f t="shared" si="213"/>
        <v>1</v>
      </c>
      <c r="U983" s="29"/>
      <c r="V983" s="30"/>
      <c r="W983" s="30"/>
      <c r="X983" s="30"/>
      <c r="Y983" s="30"/>
      <c r="Z983" s="30"/>
      <c r="AA983" s="30"/>
      <c r="AB983" s="29"/>
      <c r="AC983" s="29"/>
      <c r="AD983" s="37" t="str">
        <f t="shared" si="220"/>
        <v/>
      </c>
      <c r="AE983" s="3" t="str">
        <f t="shared" ca="1" si="218"/>
        <v/>
      </c>
      <c r="AF983" s="38" t="str">
        <f t="shared" si="221"/>
        <v/>
      </c>
      <c r="AG983" s="7"/>
    </row>
    <row r="984" spans="1:33" ht="27" customHeight="1" x14ac:dyDescent="0.35">
      <c r="A984" s="26">
        <v>916</v>
      </c>
      <c r="B984" s="139" t="s">
        <v>2665</v>
      </c>
      <c r="C984" s="293" t="s">
        <v>2676</v>
      </c>
      <c r="D984" s="294"/>
      <c r="E984" s="24" t="s">
        <v>108</v>
      </c>
      <c r="F984" s="24"/>
      <c r="G984" s="56"/>
      <c r="H984" s="135"/>
      <c r="I984" s="25"/>
      <c r="J984" s="125"/>
      <c r="K984" s="3" t="str">
        <f t="shared" ca="1" si="217"/>
        <v/>
      </c>
      <c r="L984" s="4" t="s">
        <v>2452</v>
      </c>
      <c r="M984" s="125"/>
      <c r="N984" s="3" t="str">
        <f t="shared" ca="1" si="214"/>
        <v/>
      </c>
      <c r="O984" s="56"/>
      <c r="P984" s="4"/>
      <c r="Q984" s="4" t="str">
        <f t="shared" si="219"/>
        <v/>
      </c>
      <c r="R984" s="4">
        <f t="shared" si="222"/>
        <v>1</v>
      </c>
      <c r="S984" s="4" t="str">
        <f t="shared" si="223"/>
        <v>0</v>
      </c>
      <c r="T984" s="4">
        <f t="shared" si="213"/>
        <v>1</v>
      </c>
      <c r="U984" s="29"/>
      <c r="V984" s="30"/>
      <c r="W984" s="30"/>
      <c r="X984" s="30"/>
      <c r="Y984" s="30"/>
      <c r="Z984" s="30"/>
      <c r="AA984" s="30"/>
      <c r="AB984" s="29"/>
      <c r="AC984" s="29"/>
      <c r="AD984" s="37" t="str">
        <f t="shared" si="220"/>
        <v/>
      </c>
      <c r="AE984" s="3" t="str">
        <f t="shared" ca="1" si="218"/>
        <v/>
      </c>
      <c r="AF984" s="38" t="str">
        <f t="shared" si="221"/>
        <v/>
      </c>
      <c r="AG984" s="7"/>
    </row>
    <row r="985" spans="1:33" ht="27" customHeight="1" x14ac:dyDescent="0.35">
      <c r="A985" s="26">
        <v>917</v>
      </c>
      <c r="B985" s="139" t="s">
        <v>2665</v>
      </c>
      <c r="C985" s="293" t="s">
        <v>2677</v>
      </c>
      <c r="D985" s="294"/>
      <c r="E985" s="24" t="s">
        <v>108</v>
      </c>
      <c r="F985" s="24"/>
      <c r="G985" s="70"/>
      <c r="H985" s="135"/>
      <c r="I985" s="25"/>
      <c r="J985" s="125"/>
      <c r="K985" s="3" t="str">
        <f t="shared" ca="1" si="217"/>
        <v/>
      </c>
      <c r="L985" s="4" t="s">
        <v>2452</v>
      </c>
      <c r="M985" s="125"/>
      <c r="N985" s="3" t="str">
        <f t="shared" ca="1" si="214"/>
        <v/>
      </c>
      <c r="O985" s="56"/>
      <c r="P985" s="4"/>
      <c r="Q985" s="4" t="str">
        <f t="shared" si="219"/>
        <v/>
      </c>
      <c r="R985" s="4">
        <f t="shared" si="222"/>
        <v>1</v>
      </c>
      <c r="S985" s="4" t="str">
        <f t="shared" si="223"/>
        <v>0</v>
      </c>
      <c r="T985" s="4">
        <f t="shared" si="213"/>
        <v>1</v>
      </c>
      <c r="U985" s="29"/>
      <c r="V985" s="30"/>
      <c r="W985" s="30"/>
      <c r="X985" s="30"/>
      <c r="Y985" s="30"/>
      <c r="Z985" s="30"/>
      <c r="AA985" s="30"/>
      <c r="AB985" s="29"/>
      <c r="AC985" s="29"/>
      <c r="AD985" s="37" t="str">
        <f t="shared" si="220"/>
        <v/>
      </c>
      <c r="AE985" s="3" t="str">
        <f t="shared" ca="1" si="218"/>
        <v/>
      </c>
      <c r="AF985" s="38" t="str">
        <f t="shared" si="221"/>
        <v/>
      </c>
      <c r="AG985" s="7"/>
    </row>
    <row r="986" spans="1:33" ht="27" customHeight="1" x14ac:dyDescent="0.35">
      <c r="A986" s="26">
        <v>918</v>
      </c>
      <c r="B986" s="139" t="s">
        <v>2665</v>
      </c>
      <c r="C986" s="293" t="s">
        <v>2678</v>
      </c>
      <c r="D986" s="294"/>
      <c r="E986" s="24" t="s">
        <v>108</v>
      </c>
      <c r="F986" s="24"/>
      <c r="G986" s="70"/>
      <c r="H986" s="135"/>
      <c r="I986" s="25"/>
      <c r="J986" s="125"/>
      <c r="K986" s="3" t="str">
        <f t="shared" ca="1" si="217"/>
        <v/>
      </c>
      <c r="L986" s="4" t="s">
        <v>2452</v>
      </c>
      <c r="M986" s="125"/>
      <c r="N986" s="3" t="str">
        <f t="shared" ca="1" si="214"/>
        <v/>
      </c>
      <c r="O986" s="56"/>
      <c r="P986" s="4"/>
      <c r="Q986" s="4" t="str">
        <f t="shared" si="219"/>
        <v/>
      </c>
      <c r="R986" s="4">
        <f t="shared" si="222"/>
        <v>1</v>
      </c>
      <c r="S986" s="4" t="str">
        <f t="shared" si="223"/>
        <v>0</v>
      </c>
      <c r="T986" s="4">
        <f t="shared" si="213"/>
        <v>1</v>
      </c>
      <c r="U986" s="29"/>
      <c r="V986" s="30"/>
      <c r="W986" s="30"/>
      <c r="X986" s="30"/>
      <c r="Y986" s="30"/>
      <c r="Z986" s="30"/>
      <c r="AA986" s="30"/>
      <c r="AB986" s="29"/>
      <c r="AC986" s="29"/>
      <c r="AD986" s="37" t="str">
        <f t="shared" si="220"/>
        <v/>
      </c>
      <c r="AE986" s="3" t="str">
        <f t="shared" ca="1" si="218"/>
        <v/>
      </c>
      <c r="AF986" s="38" t="str">
        <f t="shared" si="221"/>
        <v/>
      </c>
      <c r="AG986" s="7"/>
    </row>
    <row r="987" spans="1:33" ht="27" customHeight="1" x14ac:dyDescent="0.35">
      <c r="A987" s="26">
        <v>919</v>
      </c>
      <c r="B987" s="139" t="s">
        <v>2665</v>
      </c>
      <c r="C987" s="293" t="s">
        <v>2679</v>
      </c>
      <c r="D987" s="294"/>
      <c r="E987" s="24" t="s">
        <v>108</v>
      </c>
      <c r="F987" s="24"/>
      <c r="G987" s="141"/>
      <c r="H987" s="135"/>
      <c r="I987" s="25"/>
      <c r="J987" s="125"/>
      <c r="K987" s="3" t="str">
        <f t="shared" ca="1" si="217"/>
        <v/>
      </c>
      <c r="L987" s="4" t="s">
        <v>2452</v>
      </c>
      <c r="M987" s="125"/>
      <c r="N987" s="3" t="str">
        <f t="shared" ca="1" si="214"/>
        <v/>
      </c>
      <c r="O987" s="56"/>
      <c r="P987" s="4"/>
      <c r="Q987" s="4" t="str">
        <f t="shared" si="219"/>
        <v/>
      </c>
      <c r="R987" s="4">
        <f t="shared" si="222"/>
        <v>1</v>
      </c>
      <c r="S987" s="4" t="str">
        <f t="shared" si="223"/>
        <v>0</v>
      </c>
      <c r="T987" s="4">
        <f t="shared" si="213"/>
        <v>1</v>
      </c>
      <c r="U987" s="29"/>
      <c r="V987" s="30"/>
      <c r="W987" s="30"/>
      <c r="X987" s="30"/>
      <c r="Y987" s="30"/>
      <c r="Z987" s="30"/>
      <c r="AA987" s="30"/>
      <c r="AB987" s="29"/>
      <c r="AC987" s="29"/>
      <c r="AD987" s="37" t="str">
        <f t="shared" si="220"/>
        <v/>
      </c>
      <c r="AE987" s="3" t="str">
        <f t="shared" ca="1" si="218"/>
        <v/>
      </c>
      <c r="AF987" s="38" t="str">
        <f t="shared" si="221"/>
        <v/>
      </c>
      <c r="AG987" s="7"/>
    </row>
    <row r="988" spans="1:33" ht="27" customHeight="1" x14ac:dyDescent="0.35">
      <c r="A988" s="26">
        <v>920</v>
      </c>
      <c r="B988" s="139" t="s">
        <v>2665</v>
      </c>
      <c r="C988" s="293" t="s">
        <v>2680</v>
      </c>
      <c r="D988" s="294"/>
      <c r="E988" s="71" t="s">
        <v>490</v>
      </c>
      <c r="F988" s="71" t="s">
        <v>43</v>
      </c>
      <c r="G988" s="70" t="s">
        <v>491</v>
      </c>
      <c r="H988" s="135" t="s">
        <v>542</v>
      </c>
      <c r="I988" s="25" t="s">
        <v>86</v>
      </c>
      <c r="J988" s="110" t="s">
        <v>2670</v>
      </c>
      <c r="K988" s="3" t="str">
        <f t="shared" ca="1" si="217"/>
        <v xml:space="preserve">3 Tahun 0 bulan </v>
      </c>
      <c r="L988" s="4" t="s">
        <v>2452</v>
      </c>
      <c r="M988" s="110" t="s">
        <v>2670</v>
      </c>
      <c r="N988" s="3" t="str">
        <f t="shared" ca="1" si="214"/>
        <v xml:space="preserve">3 Tahun 0 bulan </v>
      </c>
      <c r="O988" s="56" t="s">
        <v>2671</v>
      </c>
      <c r="P988" s="4" t="s">
        <v>35</v>
      </c>
      <c r="Q988" s="4" t="str">
        <f t="shared" si="219"/>
        <v>Laki-Laki</v>
      </c>
      <c r="R988" s="4">
        <f t="shared" si="222"/>
        <v>1</v>
      </c>
      <c r="S988" s="4" t="str">
        <f t="shared" si="223"/>
        <v>1</v>
      </c>
      <c r="T988" s="4">
        <f t="shared" si="213"/>
        <v>0</v>
      </c>
      <c r="U988" s="29"/>
      <c r="V988" s="30" t="s">
        <v>50</v>
      </c>
      <c r="W988" s="30"/>
      <c r="X988" s="30"/>
      <c r="Y988" s="30"/>
      <c r="Z988" s="30"/>
      <c r="AA988" s="30"/>
      <c r="AB988" s="29"/>
      <c r="AC988" s="29"/>
      <c r="AD988" s="37">
        <f t="shared" si="220"/>
        <v>28321</v>
      </c>
      <c r="AE988" s="3" t="str">
        <f t="shared" ca="1" si="218"/>
        <v>49 Tahun 1 bulan 17 Hari</v>
      </c>
      <c r="AF988" s="38">
        <f t="shared" si="221"/>
        <v>50253</v>
      </c>
      <c r="AG988" s="7"/>
    </row>
    <row r="989" spans="1:33" ht="30" customHeight="1" x14ac:dyDescent="0.35">
      <c r="A989" s="26">
        <v>921</v>
      </c>
      <c r="B989" s="139" t="s">
        <v>2665</v>
      </c>
      <c r="C989" s="293" t="s">
        <v>2681</v>
      </c>
      <c r="D989" s="294"/>
      <c r="E989" s="71" t="s">
        <v>2682</v>
      </c>
      <c r="F989" s="71"/>
      <c r="G989" s="70" t="s">
        <v>2683</v>
      </c>
      <c r="H989" s="4" t="s">
        <v>345</v>
      </c>
      <c r="I989" s="25" t="s">
        <v>1814</v>
      </c>
      <c r="J989" s="110" t="s">
        <v>2490</v>
      </c>
      <c r="K989" s="3" t="str">
        <f t="shared" ca="1" si="217"/>
        <v xml:space="preserve">8 Tahun 4 bulan </v>
      </c>
      <c r="L989" s="4" t="s">
        <v>2452</v>
      </c>
      <c r="M989" s="110" t="s">
        <v>2490</v>
      </c>
      <c r="N989" s="3" t="str">
        <f t="shared" ca="1" si="214"/>
        <v xml:space="preserve">8 Tahun 4 bulan </v>
      </c>
      <c r="O989" s="56" t="s">
        <v>2671</v>
      </c>
      <c r="P989" s="4" t="s">
        <v>35</v>
      </c>
      <c r="Q989" s="4" t="str">
        <f t="shared" si="219"/>
        <v>Laki-Laki</v>
      </c>
      <c r="R989" s="4">
        <f t="shared" si="222"/>
        <v>1</v>
      </c>
      <c r="S989" s="4" t="str">
        <f t="shared" si="223"/>
        <v>1</v>
      </c>
      <c r="T989" s="4">
        <f t="shared" si="213"/>
        <v>0</v>
      </c>
      <c r="U989" s="29"/>
      <c r="V989" s="30" t="s">
        <v>50</v>
      </c>
      <c r="W989" s="30"/>
      <c r="X989" s="30"/>
      <c r="Y989" s="30"/>
      <c r="Z989" s="30"/>
      <c r="AA989" s="30"/>
      <c r="AB989" s="29"/>
      <c r="AC989" s="29"/>
      <c r="AD989" s="37">
        <f t="shared" si="220"/>
        <v>25297</v>
      </c>
      <c r="AE989" s="3" t="str">
        <f t="shared" ca="1" si="218"/>
        <v>57 Tahun 4 bulan 28 Hari</v>
      </c>
      <c r="AF989" s="38">
        <f t="shared" si="221"/>
        <v>47239</v>
      </c>
      <c r="AG989" s="7"/>
    </row>
    <row r="990" spans="1:33" ht="30" customHeight="1" x14ac:dyDescent="0.35">
      <c r="A990" s="26">
        <v>922</v>
      </c>
      <c r="B990" s="139" t="s">
        <v>2665</v>
      </c>
      <c r="C990" s="293" t="s">
        <v>2684</v>
      </c>
      <c r="D990" s="294"/>
      <c r="E990" s="24" t="s">
        <v>2685</v>
      </c>
      <c r="F990" s="24"/>
      <c r="G990" s="43" t="s">
        <v>2686</v>
      </c>
      <c r="H990" s="135" t="s">
        <v>687</v>
      </c>
      <c r="I990" s="25" t="s">
        <v>1814</v>
      </c>
      <c r="J990" s="110" t="s">
        <v>2670</v>
      </c>
      <c r="K990" s="3" t="str">
        <f t="shared" ca="1" si="217"/>
        <v xml:space="preserve">3 Tahun 0 bulan </v>
      </c>
      <c r="L990" s="4" t="s">
        <v>2452</v>
      </c>
      <c r="M990" s="110" t="s">
        <v>2670</v>
      </c>
      <c r="N990" s="3" t="str">
        <f t="shared" ca="1" si="214"/>
        <v xml:space="preserve">3 Tahun 0 bulan </v>
      </c>
      <c r="O990" s="56" t="s">
        <v>2687</v>
      </c>
      <c r="P990" s="4" t="s">
        <v>506</v>
      </c>
      <c r="Q990" s="4" t="str">
        <f t="shared" si="219"/>
        <v>Laki-Laki</v>
      </c>
      <c r="R990" s="4">
        <f t="shared" si="222"/>
        <v>1</v>
      </c>
      <c r="S990" s="4" t="str">
        <f t="shared" si="223"/>
        <v>1</v>
      </c>
      <c r="T990" s="4">
        <f t="shared" si="213"/>
        <v>0</v>
      </c>
      <c r="U990" s="29"/>
      <c r="V990" s="30" t="s">
        <v>50</v>
      </c>
      <c r="W990" s="30"/>
      <c r="X990" s="30"/>
      <c r="Y990" s="30"/>
      <c r="Z990" s="30"/>
      <c r="AA990" s="30"/>
      <c r="AB990" s="29"/>
      <c r="AC990" s="29"/>
      <c r="AD990" s="37">
        <f t="shared" si="220"/>
        <v>26899</v>
      </c>
      <c r="AE990" s="3" t="str">
        <f t="shared" ca="1" si="218"/>
        <v>53 Tahun 0 bulan 9 Hari</v>
      </c>
      <c r="AF990" s="38">
        <f t="shared" si="221"/>
        <v>48823</v>
      </c>
      <c r="AG990" s="7"/>
    </row>
    <row r="991" spans="1:33" ht="30" customHeight="1" x14ac:dyDescent="0.35">
      <c r="A991" s="26">
        <v>923</v>
      </c>
      <c r="B991" s="139" t="s">
        <v>2665</v>
      </c>
      <c r="C991" s="293" t="s">
        <v>2688</v>
      </c>
      <c r="D991" s="294"/>
      <c r="E991" s="220" t="s">
        <v>2689</v>
      </c>
      <c r="F991" s="24"/>
      <c r="G991" s="3" t="s">
        <v>2690</v>
      </c>
      <c r="H991" s="69" t="s">
        <v>598</v>
      </c>
      <c r="I991" s="25" t="s">
        <v>1814</v>
      </c>
      <c r="J991" s="110" t="s">
        <v>2691</v>
      </c>
      <c r="K991" s="3" t="str">
        <f t="shared" ca="1" si="217"/>
        <v xml:space="preserve">7 Tahun 1 bulan </v>
      </c>
      <c r="L991" s="4" t="s">
        <v>2452</v>
      </c>
      <c r="M991" s="110" t="s">
        <v>2691</v>
      </c>
      <c r="N991" s="3" t="str">
        <f t="shared" ca="1" si="214"/>
        <v xml:space="preserve">7 Tahun 1 bulan </v>
      </c>
      <c r="O991" s="56" t="s">
        <v>2692</v>
      </c>
      <c r="P991" s="4" t="s">
        <v>35</v>
      </c>
      <c r="Q991" s="4" t="str">
        <f t="shared" si="219"/>
        <v>Laki-Laki</v>
      </c>
      <c r="R991" s="4">
        <f t="shared" si="222"/>
        <v>1</v>
      </c>
      <c r="S991" s="4" t="str">
        <f t="shared" si="223"/>
        <v>1</v>
      </c>
      <c r="T991" s="4">
        <f t="shared" si="213"/>
        <v>0</v>
      </c>
      <c r="U991" s="29"/>
      <c r="V991" s="30" t="s">
        <v>50</v>
      </c>
      <c r="W991" s="30"/>
      <c r="X991" s="30"/>
      <c r="Y991" s="30"/>
      <c r="Z991" s="30"/>
      <c r="AA991" s="30"/>
      <c r="AB991" s="29"/>
      <c r="AC991" s="29"/>
      <c r="AD991" s="37">
        <f t="shared" si="220"/>
        <v>25094</v>
      </c>
      <c r="AE991" s="3" t="str">
        <f t="shared" ca="1" si="218"/>
        <v>57 Tahun 11 bulan 19 Hari</v>
      </c>
      <c r="AF991" s="38">
        <f t="shared" si="221"/>
        <v>47027</v>
      </c>
      <c r="AG991" s="11" t="s">
        <v>3148</v>
      </c>
    </row>
    <row r="992" spans="1:33" ht="30" customHeight="1" x14ac:dyDescent="0.35">
      <c r="A992" s="26">
        <v>924</v>
      </c>
      <c r="B992" s="139" t="s">
        <v>2665</v>
      </c>
      <c r="C992" s="293" t="s">
        <v>2693</v>
      </c>
      <c r="D992" s="294"/>
      <c r="E992" s="24" t="s">
        <v>2694</v>
      </c>
      <c r="F992" s="24"/>
      <c r="G992" s="70" t="s">
        <v>2695</v>
      </c>
      <c r="H992" s="135" t="s">
        <v>687</v>
      </c>
      <c r="I992" s="25" t="s">
        <v>107</v>
      </c>
      <c r="J992" s="110" t="s">
        <v>2670</v>
      </c>
      <c r="K992" s="3" t="str">
        <f t="shared" ca="1" si="217"/>
        <v xml:space="preserve">3 Tahun 0 bulan </v>
      </c>
      <c r="L992" s="4" t="s">
        <v>2452</v>
      </c>
      <c r="M992" s="110" t="s">
        <v>2670</v>
      </c>
      <c r="N992" s="3" t="str">
        <f t="shared" ca="1" si="214"/>
        <v xml:space="preserve">3 Tahun 0 bulan </v>
      </c>
      <c r="O992" s="56" t="s">
        <v>2671</v>
      </c>
      <c r="P992" s="4" t="s">
        <v>35</v>
      </c>
      <c r="Q992" s="4" t="str">
        <f t="shared" si="219"/>
        <v>Laki-Laki</v>
      </c>
      <c r="R992" s="4">
        <f t="shared" si="222"/>
        <v>1</v>
      </c>
      <c r="S992" s="4" t="str">
        <f t="shared" si="223"/>
        <v>1</v>
      </c>
      <c r="T992" s="4">
        <f t="shared" ref="T992:T1005" si="224">R992-S992</f>
        <v>0</v>
      </c>
      <c r="U992" s="29"/>
      <c r="V992" s="30" t="s">
        <v>50</v>
      </c>
      <c r="W992" s="30"/>
      <c r="X992" s="30"/>
      <c r="Y992" s="30"/>
      <c r="Z992" s="30"/>
      <c r="AA992" s="30"/>
      <c r="AB992" s="29"/>
      <c r="AC992" s="29"/>
      <c r="AD992" s="37">
        <f t="shared" si="220"/>
        <v>27944</v>
      </c>
      <c r="AE992" s="3" t="str">
        <f t="shared" ca="1" si="218"/>
        <v>50 Tahun 1 bulan 29 Hari</v>
      </c>
      <c r="AF992" s="38">
        <f t="shared" si="221"/>
        <v>49888</v>
      </c>
      <c r="AG992" s="7"/>
    </row>
    <row r="993" spans="1:32" s="7" customFormat="1" ht="30" customHeight="1" x14ac:dyDescent="0.35">
      <c r="A993" s="26">
        <v>925</v>
      </c>
      <c r="B993" s="139" t="s">
        <v>2665</v>
      </c>
      <c r="C993" s="293" t="s">
        <v>2696</v>
      </c>
      <c r="D993" s="294"/>
      <c r="E993" s="71" t="s">
        <v>2697</v>
      </c>
      <c r="F993" s="71"/>
      <c r="G993" s="43" t="s">
        <v>2698</v>
      </c>
      <c r="H993" s="135" t="s">
        <v>2699</v>
      </c>
      <c r="I993" s="25" t="s">
        <v>362</v>
      </c>
      <c r="J993" s="110" t="s">
        <v>2377</v>
      </c>
      <c r="K993" s="3" t="str">
        <f t="shared" ca="1" si="217"/>
        <v xml:space="preserve">3 Tahun 7 bulan </v>
      </c>
      <c r="L993" s="4" t="s">
        <v>2452</v>
      </c>
      <c r="M993" s="110" t="s">
        <v>2377</v>
      </c>
      <c r="N993" s="3" t="str">
        <f t="shared" ca="1" si="214"/>
        <v xml:space="preserve">3 Tahun 7 bulan </v>
      </c>
      <c r="O993" s="56" t="s">
        <v>2671</v>
      </c>
      <c r="P993" s="4" t="s">
        <v>35</v>
      </c>
      <c r="Q993" s="4" t="str">
        <f t="shared" si="219"/>
        <v>Perempuan</v>
      </c>
      <c r="R993" s="4">
        <f t="shared" si="222"/>
        <v>1</v>
      </c>
      <c r="S993" s="4" t="str">
        <f t="shared" si="223"/>
        <v>1</v>
      </c>
      <c r="T993" s="4">
        <f t="shared" si="224"/>
        <v>0</v>
      </c>
      <c r="U993" s="29"/>
      <c r="V993" s="30"/>
      <c r="W993" s="30"/>
      <c r="X993" s="30"/>
      <c r="Y993" s="30"/>
      <c r="Z993" s="30"/>
      <c r="AA993" s="30"/>
      <c r="AB993" s="29"/>
      <c r="AC993" s="29"/>
      <c r="AD993" s="37">
        <f t="shared" si="220"/>
        <v>29079</v>
      </c>
      <c r="AE993" s="3" t="str">
        <f t="shared" ca="1" si="218"/>
        <v>47 Tahun 0 bulan 20 Hari</v>
      </c>
      <c r="AF993" s="38">
        <f t="shared" si="221"/>
        <v>51014</v>
      </c>
    </row>
    <row r="994" spans="1:32" s="7" customFormat="1" ht="30" customHeight="1" x14ac:dyDescent="0.35">
      <c r="A994" s="26">
        <v>926</v>
      </c>
      <c r="B994" s="139" t="s">
        <v>2665</v>
      </c>
      <c r="C994" s="293" t="s">
        <v>2700</v>
      </c>
      <c r="D994" s="294"/>
      <c r="E994" s="42" t="s">
        <v>2701</v>
      </c>
      <c r="F994" s="42"/>
      <c r="G994" s="141" t="s">
        <v>2702</v>
      </c>
      <c r="H994" s="135" t="s">
        <v>1586</v>
      </c>
      <c r="I994" s="25" t="s">
        <v>2058</v>
      </c>
      <c r="J994" s="110" t="s">
        <v>2670</v>
      </c>
      <c r="K994" s="3" t="str">
        <f t="shared" ca="1" si="217"/>
        <v xml:space="preserve">3 Tahun 0 bulan </v>
      </c>
      <c r="L994" s="4" t="s">
        <v>2452</v>
      </c>
      <c r="M994" s="110" t="s">
        <v>2670</v>
      </c>
      <c r="N994" s="3" t="str">
        <f t="shared" ca="1" si="214"/>
        <v xml:space="preserve">3 Tahun 0 bulan </v>
      </c>
      <c r="O994" s="56" t="s">
        <v>2671</v>
      </c>
      <c r="P994" s="4" t="s">
        <v>35</v>
      </c>
      <c r="Q994" s="4" t="str">
        <f t="shared" si="219"/>
        <v>Laki-Laki</v>
      </c>
      <c r="R994" s="4">
        <f t="shared" si="222"/>
        <v>1</v>
      </c>
      <c r="S994" s="4" t="str">
        <f t="shared" si="223"/>
        <v>1</v>
      </c>
      <c r="T994" s="4">
        <f t="shared" si="224"/>
        <v>0</v>
      </c>
      <c r="U994" s="29"/>
      <c r="V994" s="30" t="s">
        <v>50</v>
      </c>
      <c r="W994" s="30"/>
      <c r="X994" s="30"/>
      <c r="Y994" s="30"/>
      <c r="Z994" s="30"/>
      <c r="AA994" s="30"/>
      <c r="AB994" s="29"/>
      <c r="AC994" s="29"/>
      <c r="AD994" s="37">
        <f t="shared" si="220"/>
        <v>25970</v>
      </c>
      <c r="AE994" s="3" t="str">
        <f t="shared" ca="1" si="218"/>
        <v>55 Tahun 6 bulan 26 Hari</v>
      </c>
      <c r="AF994" s="38">
        <f t="shared" si="221"/>
        <v>47908</v>
      </c>
    </row>
    <row r="995" spans="1:32" s="7" customFormat="1" ht="30" customHeight="1" x14ac:dyDescent="0.35">
      <c r="A995" s="26">
        <v>927</v>
      </c>
      <c r="B995" s="32" t="s">
        <v>2665</v>
      </c>
      <c r="C995" s="299" t="s">
        <v>2703</v>
      </c>
      <c r="D995" s="300"/>
      <c r="E995" s="71" t="s">
        <v>108</v>
      </c>
      <c r="F995" s="71"/>
      <c r="G995" s="70"/>
      <c r="H995" s="135"/>
      <c r="I995" s="25"/>
      <c r="J995" s="125"/>
      <c r="K995" s="3" t="str">
        <f t="shared" ca="1" si="217"/>
        <v/>
      </c>
      <c r="L995" s="4" t="s">
        <v>2452</v>
      </c>
      <c r="M995" s="125"/>
      <c r="N995" s="3" t="str">
        <f t="shared" ca="1" si="214"/>
        <v/>
      </c>
      <c r="O995" s="56" t="s">
        <v>2704</v>
      </c>
      <c r="P995" s="4" t="s">
        <v>35</v>
      </c>
      <c r="Q995" s="4" t="str">
        <f t="shared" si="219"/>
        <v/>
      </c>
      <c r="R995" s="4">
        <f t="shared" si="222"/>
        <v>1</v>
      </c>
      <c r="S995" s="4" t="str">
        <f t="shared" si="223"/>
        <v>0</v>
      </c>
      <c r="T995" s="4">
        <f t="shared" si="224"/>
        <v>1</v>
      </c>
      <c r="U995" s="29"/>
      <c r="V995" s="30" t="s">
        <v>50</v>
      </c>
      <c r="W995" s="30"/>
      <c r="X995" s="30"/>
      <c r="Y995" s="30"/>
      <c r="Z995" s="30"/>
      <c r="AA995" s="30"/>
      <c r="AB995" s="29"/>
      <c r="AC995" s="29"/>
      <c r="AD995" s="37" t="str">
        <f t="shared" si="220"/>
        <v/>
      </c>
      <c r="AE995" s="3" t="str">
        <f t="shared" ca="1" si="218"/>
        <v/>
      </c>
      <c r="AF995" s="38" t="str">
        <f t="shared" si="221"/>
        <v/>
      </c>
    </row>
    <row r="996" spans="1:32" s="7" customFormat="1" ht="27" customHeight="1" x14ac:dyDescent="0.35">
      <c r="A996" s="26">
        <v>928</v>
      </c>
      <c r="B996" s="32" t="s">
        <v>2665</v>
      </c>
      <c r="C996" s="299" t="s">
        <v>2705</v>
      </c>
      <c r="D996" s="300"/>
      <c r="E996" s="71" t="s">
        <v>2706</v>
      </c>
      <c r="F996" s="71"/>
      <c r="G996" s="70" t="s">
        <v>2707</v>
      </c>
      <c r="H996" s="135" t="s">
        <v>414</v>
      </c>
      <c r="I996" s="25" t="s">
        <v>184</v>
      </c>
      <c r="J996" s="110" t="s">
        <v>2670</v>
      </c>
      <c r="K996" s="3" t="str">
        <f t="shared" ca="1" si="217"/>
        <v xml:space="preserve">3 Tahun 0 bulan </v>
      </c>
      <c r="L996" s="4" t="s">
        <v>2452</v>
      </c>
      <c r="M996" s="110" t="s">
        <v>2670</v>
      </c>
      <c r="N996" s="3" t="str">
        <f t="shared" ca="1" si="214"/>
        <v xml:space="preserve">3 Tahun 0 bulan </v>
      </c>
      <c r="O996" s="56" t="s">
        <v>2671</v>
      </c>
      <c r="P996" s="4" t="s">
        <v>35</v>
      </c>
      <c r="Q996" s="4" t="str">
        <f t="shared" si="219"/>
        <v>Laki-Laki</v>
      </c>
      <c r="R996" s="4">
        <f t="shared" si="222"/>
        <v>1</v>
      </c>
      <c r="S996" s="4" t="str">
        <f t="shared" si="223"/>
        <v>1</v>
      </c>
      <c r="T996" s="4">
        <f t="shared" si="224"/>
        <v>0</v>
      </c>
      <c r="U996" s="29"/>
      <c r="V996" s="30" t="s">
        <v>50</v>
      </c>
      <c r="W996" s="30"/>
      <c r="X996" s="30"/>
      <c r="Y996" s="30"/>
      <c r="Z996" s="30"/>
      <c r="AA996" s="30"/>
      <c r="AB996" s="29"/>
      <c r="AC996" s="29"/>
      <c r="AD996" s="37">
        <f t="shared" si="220"/>
        <v>28995</v>
      </c>
      <c r="AE996" s="3" t="str">
        <f t="shared" ca="1" si="218"/>
        <v>47 Tahun 3 bulan 12 Hari</v>
      </c>
      <c r="AF996" s="38">
        <f t="shared" si="221"/>
        <v>50922</v>
      </c>
    </row>
    <row r="997" spans="1:32" s="7" customFormat="1" ht="27" customHeight="1" x14ac:dyDescent="0.35">
      <c r="A997" s="26">
        <v>929</v>
      </c>
      <c r="B997" s="139" t="s">
        <v>2665</v>
      </c>
      <c r="C997" s="293" t="s">
        <v>2708</v>
      </c>
      <c r="D997" s="294"/>
      <c r="E997" s="42" t="s">
        <v>2709</v>
      </c>
      <c r="F997" s="42"/>
      <c r="G997" s="141" t="s">
        <v>2710</v>
      </c>
      <c r="H997" s="135" t="s">
        <v>598</v>
      </c>
      <c r="I997" s="25" t="s">
        <v>1814</v>
      </c>
      <c r="J997" s="110" t="s">
        <v>2377</v>
      </c>
      <c r="K997" s="3" t="str">
        <f t="shared" ca="1" si="217"/>
        <v xml:space="preserve">3 Tahun 7 bulan </v>
      </c>
      <c r="L997" s="4" t="s">
        <v>2452</v>
      </c>
      <c r="M997" s="110" t="s">
        <v>2377</v>
      </c>
      <c r="N997" s="3" t="str">
        <f t="shared" ca="1" si="214"/>
        <v xml:space="preserve">3 Tahun 7 bulan </v>
      </c>
      <c r="O997" s="56" t="s">
        <v>2687</v>
      </c>
      <c r="P997" s="4" t="s">
        <v>35</v>
      </c>
      <c r="Q997" s="4" t="str">
        <f t="shared" si="219"/>
        <v>Laki-Laki</v>
      </c>
      <c r="R997" s="4">
        <f t="shared" si="222"/>
        <v>1</v>
      </c>
      <c r="S997" s="4" t="str">
        <f t="shared" si="223"/>
        <v>1</v>
      </c>
      <c r="T997" s="4">
        <f t="shared" si="224"/>
        <v>0</v>
      </c>
      <c r="U997" s="29"/>
      <c r="V997" s="30" t="s">
        <v>50</v>
      </c>
      <c r="W997" s="30"/>
      <c r="X997" s="30"/>
      <c r="Y997" s="30"/>
      <c r="Z997" s="30"/>
      <c r="AA997" s="30"/>
      <c r="AB997" s="29"/>
      <c r="AC997" s="29"/>
      <c r="AD997" s="37">
        <f t="shared" si="220"/>
        <v>25399</v>
      </c>
      <c r="AE997" s="3" t="str">
        <f t="shared" ca="1" si="218"/>
        <v>57 Tahun 1 bulan 17 Hari</v>
      </c>
      <c r="AF997" s="38">
        <f t="shared" si="221"/>
        <v>47331</v>
      </c>
    </row>
    <row r="998" spans="1:32" s="7" customFormat="1" ht="27" customHeight="1" x14ac:dyDescent="0.35">
      <c r="A998" s="26">
        <v>930</v>
      </c>
      <c r="B998" s="4" t="s">
        <v>2665</v>
      </c>
      <c r="C998" s="301" t="s">
        <v>2711</v>
      </c>
      <c r="D998" s="301"/>
      <c r="E998" s="24" t="s">
        <v>108</v>
      </c>
      <c r="F998" s="24"/>
      <c r="G998" s="43"/>
      <c r="H998" s="135"/>
      <c r="I998" s="25"/>
      <c r="J998" s="125"/>
      <c r="K998" s="3" t="str">
        <f t="shared" ca="1" si="217"/>
        <v/>
      </c>
      <c r="L998" s="4" t="s">
        <v>2452</v>
      </c>
      <c r="M998" s="125"/>
      <c r="N998" s="3" t="str">
        <f t="shared" ca="1" si="214"/>
        <v/>
      </c>
      <c r="O998" s="25"/>
      <c r="P998" s="4" t="s">
        <v>35</v>
      </c>
      <c r="Q998" s="4" t="str">
        <f t="shared" si="219"/>
        <v/>
      </c>
      <c r="R998" s="4">
        <f t="shared" si="222"/>
        <v>1</v>
      </c>
      <c r="S998" s="4" t="str">
        <f t="shared" si="223"/>
        <v>0</v>
      </c>
      <c r="T998" s="4">
        <f t="shared" si="224"/>
        <v>1</v>
      </c>
      <c r="U998" s="29"/>
      <c r="V998" s="30" t="s">
        <v>50</v>
      </c>
      <c r="W998" s="30"/>
      <c r="X998" s="30"/>
      <c r="Y998" s="30"/>
      <c r="Z998" s="30"/>
      <c r="AA998" s="30"/>
      <c r="AB998" s="29"/>
      <c r="AC998" s="29"/>
      <c r="AD998" s="37" t="str">
        <f t="shared" si="220"/>
        <v/>
      </c>
      <c r="AE998" s="3" t="str">
        <f t="shared" ca="1" si="218"/>
        <v/>
      </c>
      <c r="AF998" s="38" t="str">
        <f t="shared" si="221"/>
        <v/>
      </c>
    </row>
    <row r="999" spans="1:32" s="7" customFormat="1" ht="27" customHeight="1" x14ac:dyDescent="0.35">
      <c r="A999" s="26">
        <v>931</v>
      </c>
      <c r="B999" s="139" t="s">
        <v>2665</v>
      </c>
      <c r="C999" s="293" t="s">
        <v>2712</v>
      </c>
      <c r="D999" s="294"/>
      <c r="E999" s="71" t="s">
        <v>2713</v>
      </c>
      <c r="F999" s="71"/>
      <c r="G999" s="70" t="s">
        <v>2714</v>
      </c>
      <c r="H999" s="135" t="s">
        <v>1954</v>
      </c>
      <c r="I999" s="25" t="s">
        <v>2715</v>
      </c>
      <c r="J999" s="110" t="s">
        <v>2377</v>
      </c>
      <c r="K999" s="3" t="str">
        <f t="shared" ca="1" si="217"/>
        <v xml:space="preserve">3 Tahun 7 bulan </v>
      </c>
      <c r="L999" s="4" t="s">
        <v>2452</v>
      </c>
      <c r="M999" s="110" t="s">
        <v>2377</v>
      </c>
      <c r="N999" s="3" t="str">
        <f t="shared" ca="1" si="214"/>
        <v xml:space="preserve">3 Tahun 7 bulan </v>
      </c>
      <c r="O999" s="56" t="s">
        <v>2687</v>
      </c>
      <c r="P999" s="4" t="s">
        <v>35</v>
      </c>
      <c r="Q999" s="4" t="str">
        <f t="shared" si="219"/>
        <v>Laki-Laki</v>
      </c>
      <c r="R999" s="4">
        <f t="shared" si="222"/>
        <v>1</v>
      </c>
      <c r="S999" s="4" t="str">
        <f t="shared" si="223"/>
        <v>1</v>
      </c>
      <c r="T999" s="4">
        <f t="shared" si="224"/>
        <v>0</v>
      </c>
      <c r="U999" s="29"/>
      <c r="V999" s="30" t="s">
        <v>50</v>
      </c>
      <c r="W999" s="30"/>
      <c r="X999" s="30"/>
      <c r="Y999" s="30"/>
      <c r="Z999" s="30"/>
      <c r="AA999" s="30"/>
      <c r="AB999" s="29"/>
      <c r="AC999" s="29"/>
      <c r="AD999" s="37">
        <f t="shared" si="220"/>
        <v>31237</v>
      </c>
      <c r="AE999" s="3" t="str">
        <f t="shared" ca="1" si="218"/>
        <v>41 Tahun 1 bulan 23 Hari</v>
      </c>
      <c r="AF999" s="38">
        <f t="shared" si="221"/>
        <v>53175</v>
      </c>
    </row>
    <row r="1000" spans="1:32" s="7" customFormat="1" ht="29.25" customHeight="1" x14ac:dyDescent="0.35">
      <c r="A1000" s="26">
        <v>932</v>
      </c>
      <c r="B1000" s="139" t="s">
        <v>2665</v>
      </c>
      <c r="C1000" s="293" t="s">
        <v>2716</v>
      </c>
      <c r="D1000" s="294"/>
      <c r="E1000" s="42" t="s">
        <v>2717</v>
      </c>
      <c r="F1000" s="42"/>
      <c r="G1000" s="142" t="s">
        <v>2718</v>
      </c>
      <c r="H1000" s="135" t="s">
        <v>2719</v>
      </c>
      <c r="I1000" s="25" t="s">
        <v>86</v>
      </c>
      <c r="J1000" s="110" t="s">
        <v>2720</v>
      </c>
      <c r="K1000" s="3" t="str">
        <f t="shared" ca="1" si="217"/>
        <v xml:space="preserve">8 Tahun 2 bulan </v>
      </c>
      <c r="L1000" s="4" t="s">
        <v>2452</v>
      </c>
      <c r="M1000" s="110" t="s">
        <v>2720</v>
      </c>
      <c r="N1000" s="3" t="str">
        <f t="shared" ca="1" si="214"/>
        <v xml:space="preserve">8 Tahun 2 bulan </v>
      </c>
      <c r="O1000" s="56" t="s">
        <v>2671</v>
      </c>
      <c r="P1000" s="4" t="s">
        <v>35</v>
      </c>
      <c r="Q1000" s="4" t="str">
        <f t="shared" si="219"/>
        <v>Laki-Laki</v>
      </c>
      <c r="R1000" s="4">
        <f t="shared" si="222"/>
        <v>1</v>
      </c>
      <c r="S1000" s="4" t="str">
        <f t="shared" si="223"/>
        <v>1</v>
      </c>
      <c r="T1000" s="4">
        <f t="shared" si="224"/>
        <v>0</v>
      </c>
      <c r="U1000" s="29"/>
      <c r="V1000" s="30" t="s">
        <v>50</v>
      </c>
      <c r="W1000" s="30"/>
      <c r="X1000" s="30"/>
      <c r="Y1000" s="30"/>
      <c r="Z1000" s="30"/>
      <c r="AA1000" s="30"/>
      <c r="AB1000" s="29"/>
      <c r="AC1000" s="29"/>
      <c r="AD1000" s="37">
        <f t="shared" si="220"/>
        <v>29485</v>
      </c>
      <c r="AE1000" s="3" t="str">
        <f t="shared" ca="1" si="218"/>
        <v>45 Tahun 11 bulan 11 Hari</v>
      </c>
      <c r="AF1000" s="38">
        <f t="shared" si="221"/>
        <v>51410</v>
      </c>
    </row>
    <row r="1001" spans="1:32" s="7" customFormat="1" ht="23.25" customHeight="1" x14ac:dyDescent="0.35">
      <c r="A1001" s="26"/>
      <c r="B1001" s="32" t="s">
        <v>2721</v>
      </c>
      <c r="C1001" s="280" t="s">
        <v>2722</v>
      </c>
      <c r="D1001" s="281"/>
      <c r="E1001" s="24"/>
      <c r="F1001" s="24"/>
      <c r="G1001" s="4"/>
      <c r="H1001" s="4"/>
      <c r="I1001" s="33"/>
      <c r="J1001" s="5"/>
      <c r="K1001" s="3" t="str">
        <f t="shared" ca="1" si="217"/>
        <v/>
      </c>
      <c r="L1001" s="30"/>
      <c r="M1001" s="5"/>
      <c r="N1001" s="3" t="str">
        <f t="shared" ca="1" si="214"/>
        <v/>
      </c>
      <c r="O1001" s="30"/>
      <c r="P1001" s="30"/>
      <c r="Q1001" s="4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7" t="str">
        <f t="shared" si="220"/>
        <v/>
      </c>
      <c r="AE1001" s="3" t="str">
        <f t="shared" ca="1" si="218"/>
        <v/>
      </c>
      <c r="AF1001" s="38" t="str">
        <f t="shared" si="221"/>
        <v/>
      </c>
    </row>
    <row r="1002" spans="1:32" s="7" customFormat="1" ht="24.75" customHeight="1" x14ac:dyDescent="0.35">
      <c r="A1002" s="26">
        <f>A1000+1</f>
        <v>933</v>
      </c>
      <c r="B1002" s="32" t="s">
        <v>2721</v>
      </c>
      <c r="C1002" s="299" t="s">
        <v>2723</v>
      </c>
      <c r="D1002" s="300"/>
      <c r="E1002" s="24" t="s">
        <v>2724</v>
      </c>
      <c r="F1002" s="24"/>
      <c r="G1002" s="3" t="s">
        <v>2725</v>
      </c>
      <c r="H1002" s="4" t="s">
        <v>2726</v>
      </c>
      <c r="I1002" s="25" t="s">
        <v>86</v>
      </c>
      <c r="J1002" s="82" t="s">
        <v>338</v>
      </c>
      <c r="K1002" s="3" t="str">
        <f t="shared" ca="1" si="217"/>
        <v xml:space="preserve">2 Tahun 11 bulan </v>
      </c>
      <c r="L1002" s="4" t="s">
        <v>2452</v>
      </c>
      <c r="M1002" s="82" t="s">
        <v>338</v>
      </c>
      <c r="N1002" s="3" t="str">
        <f t="shared" ca="1" si="214"/>
        <v xml:space="preserve">2 Tahun 11 bulan </v>
      </c>
      <c r="O1002" s="56" t="s">
        <v>2671</v>
      </c>
      <c r="P1002" s="4" t="s">
        <v>35</v>
      </c>
      <c r="Q1002" s="4" t="str">
        <f t="shared" si="219"/>
        <v>Laki-Laki</v>
      </c>
      <c r="R1002" s="4">
        <f>R1000</f>
        <v>1</v>
      </c>
      <c r="S1002" s="4" t="str">
        <f>IF(E1002="LOWONG","0","1")</f>
        <v>1</v>
      </c>
      <c r="T1002" s="4">
        <f t="shared" si="224"/>
        <v>0</v>
      </c>
      <c r="U1002" s="29"/>
      <c r="V1002" s="30" t="s">
        <v>50</v>
      </c>
      <c r="W1002" s="30"/>
      <c r="X1002" s="30"/>
      <c r="Y1002" s="30"/>
      <c r="Z1002" s="30"/>
      <c r="AA1002" s="30"/>
      <c r="AB1002" s="29"/>
      <c r="AC1002" s="29"/>
      <c r="AD1002" s="37">
        <f t="shared" si="220"/>
        <v>28065</v>
      </c>
      <c r="AE1002" s="3" t="str">
        <f t="shared" ca="1" si="218"/>
        <v>49 Tahun 10 bulan 0 Hari</v>
      </c>
      <c r="AF1002" s="38">
        <f t="shared" si="221"/>
        <v>50010</v>
      </c>
    </row>
    <row r="1003" spans="1:32" s="7" customFormat="1" ht="20" x14ac:dyDescent="0.35">
      <c r="A1003" s="26">
        <f t="shared" si="216"/>
        <v>934</v>
      </c>
      <c r="B1003" s="139" t="s">
        <v>2721</v>
      </c>
      <c r="C1003" s="293" t="s">
        <v>2727</v>
      </c>
      <c r="D1003" s="294"/>
      <c r="E1003" s="71" t="s">
        <v>2728</v>
      </c>
      <c r="F1003" s="71"/>
      <c r="G1003" s="70" t="s">
        <v>2729</v>
      </c>
      <c r="H1003" s="36" t="s">
        <v>2730</v>
      </c>
      <c r="I1003" s="48" t="s">
        <v>86</v>
      </c>
      <c r="J1003" s="82" t="s">
        <v>1741</v>
      </c>
      <c r="K1003" s="3" t="str">
        <f t="shared" ca="1" si="217"/>
        <v xml:space="preserve">8 Tahun 2 bulan </v>
      </c>
      <c r="L1003" s="4" t="s">
        <v>2452</v>
      </c>
      <c r="M1003" s="82" t="s">
        <v>1741</v>
      </c>
      <c r="N1003" s="3" t="str">
        <f t="shared" ca="1" si="214"/>
        <v xml:space="preserve">8 Tahun 2 bulan </v>
      </c>
      <c r="O1003" s="56" t="s">
        <v>2671</v>
      </c>
      <c r="P1003" s="4" t="s">
        <v>35</v>
      </c>
      <c r="Q1003" s="4" t="str">
        <f t="shared" si="219"/>
        <v/>
      </c>
      <c r="R1003" s="4">
        <f t="shared" si="222"/>
        <v>1</v>
      </c>
      <c r="S1003" s="4" t="str">
        <f>IF(E1003="LOWONG","0","1")</f>
        <v>1</v>
      </c>
      <c r="T1003" s="4">
        <f t="shared" si="224"/>
        <v>0</v>
      </c>
      <c r="U1003" s="29"/>
      <c r="V1003" s="30" t="s">
        <v>50</v>
      </c>
      <c r="W1003" s="30"/>
      <c r="X1003" s="30"/>
      <c r="Y1003" s="30"/>
      <c r="Z1003" s="30"/>
      <c r="AA1003" s="30"/>
      <c r="AB1003" s="29"/>
      <c r="AC1003" s="29"/>
      <c r="AD1003" s="37">
        <f t="shared" si="220"/>
        <v>29544</v>
      </c>
      <c r="AE1003" s="3" t="str">
        <f t="shared" ca="1" si="218"/>
        <v>45 Tahun 9 bulan 13 Hari</v>
      </c>
      <c r="AF1003" s="38">
        <f t="shared" si="221"/>
        <v>51471</v>
      </c>
    </row>
    <row r="1004" spans="1:32" s="7" customFormat="1" ht="27.75" customHeight="1" x14ac:dyDescent="0.35">
      <c r="A1004" s="26">
        <f t="shared" si="216"/>
        <v>935</v>
      </c>
      <c r="B1004" s="139" t="s">
        <v>2721</v>
      </c>
      <c r="C1004" s="293" t="s">
        <v>2731</v>
      </c>
      <c r="D1004" s="294"/>
      <c r="E1004" s="24" t="s">
        <v>2732</v>
      </c>
      <c r="F1004" s="24"/>
      <c r="G1004" s="3" t="s">
        <v>2733</v>
      </c>
      <c r="H1004" s="4" t="s">
        <v>1954</v>
      </c>
      <c r="I1004" s="33" t="s">
        <v>107</v>
      </c>
      <c r="J1004" s="3" t="s">
        <v>2734</v>
      </c>
      <c r="K1004" s="3" t="str">
        <f t="shared" ca="1" si="217"/>
        <v xml:space="preserve">6 Tahun 4 bulan </v>
      </c>
      <c r="L1004" s="4" t="s">
        <v>2452</v>
      </c>
      <c r="M1004" s="3" t="s">
        <v>2734</v>
      </c>
      <c r="N1004" s="3" t="str">
        <f t="shared" ca="1" si="214"/>
        <v xml:space="preserve">6 Tahun 4 bulan </v>
      </c>
      <c r="O1004" s="56" t="s">
        <v>2671</v>
      </c>
      <c r="P1004" s="4" t="s">
        <v>35</v>
      </c>
      <c r="Q1004" s="4" t="str">
        <f t="shared" si="219"/>
        <v>Laki-Laki</v>
      </c>
      <c r="R1004" s="4">
        <f t="shared" si="222"/>
        <v>1</v>
      </c>
      <c r="S1004" s="4" t="str">
        <f>IF(E1004="LOWONG","0","1")</f>
        <v>1</v>
      </c>
      <c r="T1004" s="4">
        <f t="shared" si="224"/>
        <v>0</v>
      </c>
      <c r="U1004" s="29"/>
      <c r="V1004" s="30" t="s">
        <v>50</v>
      </c>
      <c r="W1004" s="30"/>
      <c r="X1004" s="30"/>
      <c r="Y1004" s="30"/>
      <c r="Z1004" s="30"/>
      <c r="AA1004" s="30"/>
      <c r="AB1004" s="29"/>
      <c r="AC1004" s="29"/>
      <c r="AD1004" s="37">
        <f t="shared" si="220"/>
        <v>27140</v>
      </c>
      <c r="AE1004" s="3" t="str">
        <f t="shared" ca="1" si="218"/>
        <v>52 Tahun 4 bulan 11 Hari</v>
      </c>
      <c r="AF1004" s="38">
        <f t="shared" si="221"/>
        <v>49065</v>
      </c>
    </row>
    <row r="1005" spans="1:32" s="7" customFormat="1" ht="29.25" customHeight="1" x14ac:dyDescent="0.35">
      <c r="A1005" s="26">
        <f t="shared" si="216"/>
        <v>936</v>
      </c>
      <c r="B1005" s="32" t="s">
        <v>2721</v>
      </c>
      <c r="C1005" s="299" t="s">
        <v>2735</v>
      </c>
      <c r="D1005" s="300"/>
      <c r="E1005" s="24" t="s">
        <v>2736</v>
      </c>
      <c r="F1005" s="24"/>
      <c r="G1005" s="44" t="s">
        <v>2737</v>
      </c>
      <c r="H1005" s="36" t="s">
        <v>2738</v>
      </c>
      <c r="I1005" s="4" t="s">
        <v>1782</v>
      </c>
      <c r="J1005" s="82" t="s">
        <v>338</v>
      </c>
      <c r="K1005" s="3" t="str">
        <f t="shared" ca="1" si="217"/>
        <v xml:space="preserve">2 Tahun 11 bulan </v>
      </c>
      <c r="L1005" s="4" t="s">
        <v>2452</v>
      </c>
      <c r="M1005" s="82" t="s">
        <v>338</v>
      </c>
      <c r="N1005" s="3" t="str">
        <f t="shared" ca="1" si="214"/>
        <v xml:space="preserve">2 Tahun 11 bulan </v>
      </c>
      <c r="O1005" s="56" t="s">
        <v>2671</v>
      </c>
      <c r="P1005" s="4" t="s">
        <v>35</v>
      </c>
      <c r="Q1005" s="4" t="str">
        <f t="shared" si="219"/>
        <v>Laki-Laki</v>
      </c>
      <c r="R1005" s="4">
        <f t="shared" si="222"/>
        <v>1</v>
      </c>
      <c r="S1005" s="4" t="str">
        <f>IF(E1005="LOWONG","0","1")</f>
        <v>1</v>
      </c>
      <c r="T1005" s="4">
        <f t="shared" si="224"/>
        <v>0</v>
      </c>
      <c r="U1005" s="29"/>
      <c r="V1005" s="30" t="s">
        <v>50</v>
      </c>
      <c r="W1005" s="30"/>
      <c r="X1005" s="30"/>
      <c r="Y1005" s="30"/>
      <c r="Z1005" s="30"/>
      <c r="AA1005" s="30"/>
      <c r="AB1005" s="29"/>
      <c r="AC1005" s="29"/>
      <c r="AD1005" s="37">
        <f t="shared" si="220"/>
        <v>26666</v>
      </c>
      <c r="AE1005" s="3" t="str">
        <f t="shared" ca="1" si="218"/>
        <v>53 Tahun 7 bulan 30 Hari</v>
      </c>
      <c r="AF1005" s="38">
        <f t="shared" si="221"/>
        <v>48611</v>
      </c>
    </row>
    <row r="1006" spans="1:32" s="7" customFormat="1" ht="23.25" customHeight="1" x14ac:dyDescent="0.35">
      <c r="A1006" s="26"/>
      <c r="B1006" s="27" t="s">
        <v>2739</v>
      </c>
      <c r="C1006" s="280" t="s">
        <v>2740</v>
      </c>
      <c r="D1006" s="281"/>
      <c r="E1006" s="24"/>
      <c r="F1006" s="24"/>
      <c r="G1006" s="4"/>
      <c r="H1006" s="4"/>
      <c r="I1006" s="33"/>
      <c r="J1006" s="5"/>
      <c r="K1006" s="3" t="str">
        <f t="shared" ca="1" si="217"/>
        <v/>
      </c>
      <c r="L1006" s="30"/>
      <c r="M1006" s="5"/>
      <c r="N1006" s="3" t="str">
        <f t="shared" ca="1" si="214"/>
        <v/>
      </c>
      <c r="O1006" s="4"/>
      <c r="P1006" s="4"/>
      <c r="Q1006" s="4" t="str">
        <f t="shared" si="219"/>
        <v/>
      </c>
      <c r="R1006" s="4"/>
      <c r="S1006" s="4"/>
      <c r="T1006" s="4"/>
      <c r="U1006" s="4"/>
      <c r="V1006" s="4"/>
      <c r="W1006" s="4"/>
      <c r="X1006" s="4"/>
      <c r="Y1006" s="4"/>
      <c r="Z1006" s="29"/>
      <c r="AA1006" s="29"/>
      <c r="AB1006" s="29"/>
      <c r="AC1006" s="29"/>
      <c r="AD1006" s="37" t="str">
        <f t="shared" si="220"/>
        <v/>
      </c>
      <c r="AE1006" s="3" t="str">
        <f t="shared" ca="1" si="218"/>
        <v/>
      </c>
      <c r="AF1006" s="38" t="str">
        <f t="shared" si="221"/>
        <v/>
      </c>
    </row>
    <row r="1007" spans="1:32" s="7" customFormat="1" ht="24.75" customHeight="1" x14ac:dyDescent="0.35">
      <c r="A1007" s="26">
        <f>A1005+1</f>
        <v>937</v>
      </c>
      <c r="B1007" s="27" t="s">
        <v>2739</v>
      </c>
      <c r="C1007" s="299" t="s">
        <v>2741</v>
      </c>
      <c r="D1007" s="300"/>
      <c r="E1007" s="24" t="s">
        <v>2742</v>
      </c>
      <c r="F1007" s="24"/>
      <c r="G1007" s="3" t="s">
        <v>2743</v>
      </c>
      <c r="H1007" s="36" t="s">
        <v>947</v>
      </c>
      <c r="I1007" s="48" t="s">
        <v>2744</v>
      </c>
      <c r="J1007" s="82" t="s">
        <v>2745</v>
      </c>
      <c r="K1007" s="3" t="str">
        <f t="shared" ca="1" si="217"/>
        <v xml:space="preserve">3 Tahun 0 bulan </v>
      </c>
      <c r="L1007" s="4" t="s">
        <v>2452</v>
      </c>
      <c r="M1007" s="82" t="s">
        <v>2745</v>
      </c>
      <c r="N1007" s="3" t="str">
        <f t="shared" ca="1" si="214"/>
        <v xml:space="preserve">3 Tahun 0 bulan </v>
      </c>
      <c r="O1007" s="56" t="s">
        <v>2746</v>
      </c>
      <c r="P1007" s="4" t="s">
        <v>35</v>
      </c>
      <c r="Q1007" s="4" t="str">
        <f t="shared" si="219"/>
        <v>Perempuan</v>
      </c>
      <c r="R1007" s="4">
        <f>R1005</f>
        <v>1</v>
      </c>
      <c r="S1007" s="4" t="str">
        <f t="shared" ref="S1007:S1026" si="225">IF(E1007="LOWONG","0","1")</f>
        <v>1</v>
      </c>
      <c r="T1007" s="4">
        <f t="shared" ref="T1007:T1026" si="226">R1007-S1007</f>
        <v>0</v>
      </c>
      <c r="U1007" s="29"/>
      <c r="V1007" s="30" t="s">
        <v>50</v>
      </c>
      <c r="W1007" s="30"/>
      <c r="X1007" s="30"/>
      <c r="Y1007" s="30"/>
      <c r="Z1007" s="30"/>
      <c r="AA1007" s="30"/>
      <c r="AB1007" s="29"/>
      <c r="AC1007" s="29"/>
      <c r="AD1007" s="37">
        <f t="shared" si="220"/>
        <v>29942</v>
      </c>
      <c r="AE1007" s="3" t="str">
        <f t="shared" ca="1" si="218"/>
        <v>44 Tahun 8 bulan 10 Hari</v>
      </c>
      <c r="AF1007" s="38">
        <f t="shared" si="221"/>
        <v>51867</v>
      </c>
    </row>
    <row r="1008" spans="1:32" s="7" customFormat="1" ht="24" customHeight="1" x14ac:dyDescent="0.35">
      <c r="A1008" s="26">
        <f t="shared" ref="A1008:A1026" si="227">A1007+1</f>
        <v>938</v>
      </c>
      <c r="B1008" s="27" t="s">
        <v>2739</v>
      </c>
      <c r="C1008" s="299" t="s">
        <v>2747</v>
      </c>
      <c r="D1008" s="300"/>
      <c r="E1008" s="71" t="s">
        <v>2748</v>
      </c>
      <c r="F1008" s="71"/>
      <c r="G1008" s="70" t="s">
        <v>2749</v>
      </c>
      <c r="H1008" s="36" t="s">
        <v>621</v>
      </c>
      <c r="I1008" s="48" t="s">
        <v>441</v>
      </c>
      <c r="J1008" s="82" t="s">
        <v>2745</v>
      </c>
      <c r="K1008" s="3" t="str">
        <f t="shared" ca="1" si="217"/>
        <v xml:space="preserve">3 Tahun 0 bulan </v>
      </c>
      <c r="L1008" s="4" t="s">
        <v>2452</v>
      </c>
      <c r="M1008" s="82" t="s">
        <v>2745</v>
      </c>
      <c r="N1008" s="3" t="str">
        <f t="shared" ca="1" si="214"/>
        <v xml:space="preserve">3 Tahun 0 bulan </v>
      </c>
      <c r="O1008" s="56" t="s">
        <v>2746</v>
      </c>
      <c r="P1008" s="4" t="s">
        <v>35</v>
      </c>
      <c r="Q1008" s="4" t="str">
        <f t="shared" si="219"/>
        <v>Laki-Laki</v>
      </c>
      <c r="R1008" s="4">
        <f t="shared" ref="R1008:R1026" si="228">R1007</f>
        <v>1</v>
      </c>
      <c r="S1008" s="4" t="str">
        <f t="shared" si="225"/>
        <v>1</v>
      </c>
      <c r="T1008" s="4">
        <f t="shared" si="226"/>
        <v>0</v>
      </c>
      <c r="U1008" s="29"/>
      <c r="V1008" s="30" t="s">
        <v>50</v>
      </c>
      <c r="W1008" s="30"/>
      <c r="X1008" s="30"/>
      <c r="Y1008" s="30"/>
      <c r="Z1008" s="30"/>
      <c r="AA1008" s="30"/>
      <c r="AB1008" s="29"/>
      <c r="AC1008" s="29"/>
      <c r="AD1008" s="37">
        <f t="shared" si="220"/>
        <v>27890</v>
      </c>
      <c r="AE1008" s="3" t="str">
        <f t="shared" ca="1" si="218"/>
        <v>50 Tahun 3 bulan 22 Hari</v>
      </c>
      <c r="AF1008" s="38">
        <f t="shared" si="221"/>
        <v>49827</v>
      </c>
    </row>
    <row r="1009" spans="1:32" s="7" customFormat="1" ht="27.75" customHeight="1" x14ac:dyDescent="0.35">
      <c r="A1009" s="26">
        <f t="shared" si="227"/>
        <v>939</v>
      </c>
      <c r="B1009" s="27" t="s">
        <v>2739</v>
      </c>
      <c r="C1009" s="299" t="s">
        <v>2750</v>
      </c>
      <c r="D1009" s="300"/>
      <c r="E1009" s="24" t="s">
        <v>2751</v>
      </c>
      <c r="F1009" s="24"/>
      <c r="G1009" s="3" t="s">
        <v>2752</v>
      </c>
      <c r="H1009" s="36" t="s">
        <v>2753</v>
      </c>
      <c r="I1009" s="48" t="s">
        <v>441</v>
      </c>
      <c r="J1009" s="82" t="s">
        <v>2745</v>
      </c>
      <c r="K1009" s="3" t="str">
        <f t="shared" ca="1" si="217"/>
        <v xml:space="preserve">3 Tahun 0 bulan </v>
      </c>
      <c r="L1009" s="4" t="s">
        <v>2452</v>
      </c>
      <c r="M1009" s="82" t="s">
        <v>2745</v>
      </c>
      <c r="N1009" s="3" t="str">
        <f t="shared" ref="N1009:N1026" ca="1" si="229">IF(M1009="","",CONCATENATE(DATEDIF(M1009,NOW(),"Y")," Tahun ",DATEDIF(M1009,NOW(),"YM")," bulan "))</f>
        <v xml:space="preserve">3 Tahun 0 bulan </v>
      </c>
      <c r="O1009" s="56" t="s">
        <v>2746</v>
      </c>
      <c r="P1009" s="4" t="s">
        <v>35</v>
      </c>
      <c r="Q1009" s="4" t="str">
        <f t="shared" si="219"/>
        <v>Laki-Laki</v>
      </c>
      <c r="R1009" s="4">
        <f t="shared" si="228"/>
        <v>1</v>
      </c>
      <c r="S1009" s="4" t="str">
        <f t="shared" si="225"/>
        <v>1</v>
      </c>
      <c r="T1009" s="4">
        <f t="shared" si="226"/>
        <v>0</v>
      </c>
      <c r="U1009" s="29"/>
      <c r="V1009" s="30" t="s">
        <v>50</v>
      </c>
      <c r="W1009" s="30"/>
      <c r="X1009" s="30"/>
      <c r="Y1009" s="30"/>
      <c r="Z1009" s="30"/>
      <c r="AA1009" s="30"/>
      <c r="AB1009" s="29"/>
      <c r="AC1009" s="29"/>
      <c r="AD1009" s="37">
        <f t="shared" si="220"/>
        <v>31138</v>
      </c>
      <c r="AE1009" s="3" t="str">
        <f t="shared" ca="1" si="218"/>
        <v>41 Tahun 5 bulan 0 Hari</v>
      </c>
      <c r="AF1009" s="38">
        <f t="shared" si="221"/>
        <v>53083</v>
      </c>
    </row>
    <row r="1010" spans="1:32" s="7" customFormat="1" ht="29.25" customHeight="1" x14ac:dyDescent="0.35">
      <c r="A1010" s="26">
        <f t="shared" si="227"/>
        <v>940</v>
      </c>
      <c r="B1010" s="27" t="s">
        <v>2739</v>
      </c>
      <c r="C1010" s="299" t="s">
        <v>2754</v>
      </c>
      <c r="D1010" s="300"/>
      <c r="E1010" s="24" t="s">
        <v>2755</v>
      </c>
      <c r="F1010" s="24"/>
      <c r="G1010" s="44" t="s">
        <v>2756</v>
      </c>
      <c r="H1010" s="36" t="s">
        <v>2753</v>
      </c>
      <c r="I1010" s="48" t="s">
        <v>2757</v>
      </c>
      <c r="J1010" s="82" t="s">
        <v>2745</v>
      </c>
      <c r="K1010" s="3" t="str">
        <f t="shared" ca="1" si="217"/>
        <v xml:space="preserve">3 Tahun 0 bulan </v>
      </c>
      <c r="L1010" s="4" t="s">
        <v>2452</v>
      </c>
      <c r="M1010" s="82" t="s">
        <v>2745</v>
      </c>
      <c r="N1010" s="3" t="str">
        <f t="shared" ca="1" si="229"/>
        <v xml:space="preserve">3 Tahun 0 bulan </v>
      </c>
      <c r="O1010" s="56" t="s">
        <v>2746</v>
      </c>
      <c r="P1010" s="4" t="s">
        <v>35</v>
      </c>
      <c r="Q1010" s="4" t="str">
        <f t="shared" si="219"/>
        <v>Perempuan</v>
      </c>
      <c r="R1010" s="4">
        <f t="shared" si="228"/>
        <v>1</v>
      </c>
      <c r="S1010" s="4" t="str">
        <f t="shared" si="225"/>
        <v>1</v>
      </c>
      <c r="T1010" s="4">
        <f t="shared" si="226"/>
        <v>0</v>
      </c>
      <c r="U1010" s="29"/>
      <c r="V1010" s="30" t="s">
        <v>50</v>
      </c>
      <c r="W1010" s="30"/>
      <c r="X1010" s="30"/>
      <c r="Y1010" s="30"/>
      <c r="Z1010" s="30"/>
      <c r="AA1010" s="30"/>
      <c r="AB1010" s="29"/>
      <c r="AC1010" s="29"/>
      <c r="AD1010" s="37">
        <f t="shared" si="220"/>
        <v>30833</v>
      </c>
      <c r="AE1010" s="3" t="str">
        <f t="shared" ca="1" si="218"/>
        <v>42 Tahun 3 bulan 1 Hari</v>
      </c>
      <c r="AF1010" s="38">
        <f t="shared" si="221"/>
        <v>52749</v>
      </c>
    </row>
    <row r="1011" spans="1:32" s="7" customFormat="1" ht="24.75" customHeight="1" x14ac:dyDescent="0.35">
      <c r="A1011" s="26">
        <f t="shared" si="227"/>
        <v>941</v>
      </c>
      <c r="B1011" s="27" t="s">
        <v>2739</v>
      </c>
      <c r="C1011" s="299" t="s">
        <v>2758</v>
      </c>
      <c r="D1011" s="300"/>
      <c r="E1011" s="24" t="s">
        <v>2759</v>
      </c>
      <c r="F1011" s="24"/>
      <c r="G1011" s="3" t="s">
        <v>2760</v>
      </c>
      <c r="H1011" s="36" t="s">
        <v>2753</v>
      </c>
      <c r="I1011" s="48" t="s">
        <v>2757</v>
      </c>
      <c r="J1011" s="82" t="s">
        <v>2745</v>
      </c>
      <c r="K1011" s="3" t="str">
        <f t="shared" ca="1" si="217"/>
        <v xml:space="preserve">3 Tahun 0 bulan </v>
      </c>
      <c r="L1011" s="4" t="s">
        <v>2452</v>
      </c>
      <c r="M1011" s="82" t="s">
        <v>2745</v>
      </c>
      <c r="N1011" s="3" t="str">
        <f t="shared" ca="1" si="229"/>
        <v xml:space="preserve">3 Tahun 0 bulan </v>
      </c>
      <c r="O1011" s="56" t="s">
        <v>2746</v>
      </c>
      <c r="P1011" s="4" t="s">
        <v>35</v>
      </c>
      <c r="Q1011" s="4" t="str">
        <f t="shared" si="219"/>
        <v>Laki-Laki</v>
      </c>
      <c r="R1011" s="4">
        <f>R1009</f>
        <v>1</v>
      </c>
      <c r="S1011" s="4" t="str">
        <f t="shared" si="225"/>
        <v>1</v>
      </c>
      <c r="T1011" s="4">
        <f t="shared" si="226"/>
        <v>0</v>
      </c>
      <c r="U1011" s="29"/>
      <c r="V1011" s="30" t="s">
        <v>50</v>
      </c>
      <c r="W1011" s="30"/>
      <c r="X1011" s="30"/>
      <c r="Y1011" s="30"/>
      <c r="Z1011" s="30"/>
      <c r="AA1011" s="30"/>
      <c r="AB1011" s="29"/>
      <c r="AC1011" s="29"/>
      <c r="AD1011" s="37">
        <f t="shared" si="220"/>
        <v>30232</v>
      </c>
      <c r="AE1011" s="3" t="str">
        <f t="shared" ca="1" si="218"/>
        <v>43 Tahun 10 bulan 24 Hari</v>
      </c>
      <c r="AF1011" s="38">
        <f t="shared" si="221"/>
        <v>52171</v>
      </c>
    </row>
    <row r="1012" spans="1:32" s="7" customFormat="1" ht="24" customHeight="1" x14ac:dyDescent="0.35">
      <c r="A1012" s="26">
        <f t="shared" si="227"/>
        <v>942</v>
      </c>
      <c r="B1012" s="27" t="s">
        <v>2739</v>
      </c>
      <c r="C1012" s="299" t="s">
        <v>2761</v>
      </c>
      <c r="D1012" s="300"/>
      <c r="E1012" s="71" t="s">
        <v>2762</v>
      </c>
      <c r="F1012" s="71"/>
      <c r="G1012" s="70" t="s">
        <v>2763</v>
      </c>
      <c r="H1012" s="36" t="s">
        <v>2753</v>
      </c>
      <c r="I1012" s="48" t="s">
        <v>441</v>
      </c>
      <c r="J1012" s="82" t="s">
        <v>2745</v>
      </c>
      <c r="K1012" s="3" t="str">
        <f t="shared" ca="1" si="217"/>
        <v xml:space="preserve">3 Tahun 0 bulan </v>
      </c>
      <c r="L1012" s="4" t="s">
        <v>2452</v>
      </c>
      <c r="M1012" s="82" t="s">
        <v>2745</v>
      </c>
      <c r="N1012" s="3" t="str">
        <f t="shared" ca="1" si="229"/>
        <v xml:space="preserve">3 Tahun 0 bulan </v>
      </c>
      <c r="O1012" s="56" t="s">
        <v>2746</v>
      </c>
      <c r="P1012" s="4" t="s">
        <v>35</v>
      </c>
      <c r="Q1012" s="4" t="str">
        <f t="shared" si="219"/>
        <v>Laki-Laki</v>
      </c>
      <c r="R1012" s="4">
        <f t="shared" si="228"/>
        <v>1</v>
      </c>
      <c r="S1012" s="4" t="str">
        <f t="shared" si="225"/>
        <v>1</v>
      </c>
      <c r="T1012" s="4">
        <f t="shared" si="226"/>
        <v>0</v>
      </c>
      <c r="U1012" s="29"/>
      <c r="V1012" s="30" t="s">
        <v>50</v>
      </c>
      <c r="W1012" s="30"/>
      <c r="X1012" s="30"/>
      <c r="Y1012" s="30"/>
      <c r="Z1012" s="30"/>
      <c r="AA1012" s="30"/>
      <c r="AB1012" s="29"/>
      <c r="AC1012" s="29"/>
      <c r="AD1012" s="37">
        <f t="shared" si="220"/>
        <v>30615</v>
      </c>
      <c r="AE1012" s="3" t="str">
        <f t="shared" ca="1" si="218"/>
        <v>42 Tahun 10 bulan 6 Hari</v>
      </c>
      <c r="AF1012" s="38">
        <f t="shared" si="221"/>
        <v>52536</v>
      </c>
    </row>
    <row r="1013" spans="1:32" s="7" customFormat="1" ht="27.75" customHeight="1" x14ac:dyDescent="0.35">
      <c r="A1013" s="26">
        <f t="shared" si="227"/>
        <v>943</v>
      </c>
      <c r="B1013" s="27" t="s">
        <v>2739</v>
      </c>
      <c r="C1013" s="299" t="s">
        <v>2764</v>
      </c>
      <c r="D1013" s="300"/>
      <c r="E1013" s="24" t="s">
        <v>2765</v>
      </c>
      <c r="F1013" s="24"/>
      <c r="G1013" s="3" t="s">
        <v>2766</v>
      </c>
      <c r="H1013" s="36" t="s">
        <v>2753</v>
      </c>
      <c r="I1013" s="48" t="s">
        <v>2767</v>
      </c>
      <c r="J1013" s="82" t="s">
        <v>2745</v>
      </c>
      <c r="K1013" s="3" t="str">
        <f t="shared" ca="1" si="217"/>
        <v xml:space="preserve">3 Tahun 0 bulan </v>
      </c>
      <c r="L1013" s="4" t="s">
        <v>2452</v>
      </c>
      <c r="M1013" s="82" t="s">
        <v>2745</v>
      </c>
      <c r="N1013" s="3" t="str">
        <f t="shared" ca="1" si="229"/>
        <v xml:space="preserve">3 Tahun 0 bulan </v>
      </c>
      <c r="O1013" s="56" t="s">
        <v>2746</v>
      </c>
      <c r="P1013" s="4" t="s">
        <v>35</v>
      </c>
      <c r="Q1013" s="4" t="str">
        <f t="shared" si="219"/>
        <v>Laki-Laki</v>
      </c>
      <c r="R1013" s="4">
        <f t="shared" si="228"/>
        <v>1</v>
      </c>
      <c r="S1013" s="4" t="str">
        <f t="shared" si="225"/>
        <v>1</v>
      </c>
      <c r="T1013" s="4">
        <f t="shared" si="226"/>
        <v>0</v>
      </c>
      <c r="U1013" s="29"/>
      <c r="V1013" s="30" t="s">
        <v>50</v>
      </c>
      <c r="W1013" s="30"/>
      <c r="X1013" s="30"/>
      <c r="Y1013" s="30"/>
      <c r="Z1013" s="30"/>
      <c r="AA1013" s="30"/>
      <c r="AB1013" s="29"/>
      <c r="AC1013" s="29"/>
      <c r="AD1013" s="37">
        <f t="shared" si="220"/>
        <v>32051</v>
      </c>
      <c r="AE1013" s="3" t="str">
        <f t="shared" ca="1" si="218"/>
        <v>38 Tahun 11 bulan 0 Hari</v>
      </c>
      <c r="AF1013" s="38">
        <f t="shared" si="221"/>
        <v>53997</v>
      </c>
    </row>
    <row r="1014" spans="1:32" s="7" customFormat="1" ht="29.25" customHeight="1" x14ac:dyDescent="0.35">
      <c r="A1014" s="26">
        <f t="shared" si="227"/>
        <v>944</v>
      </c>
      <c r="B1014" s="27" t="s">
        <v>2739</v>
      </c>
      <c r="C1014" s="299" t="s">
        <v>2768</v>
      </c>
      <c r="D1014" s="300"/>
      <c r="E1014" s="24" t="s">
        <v>2769</v>
      </c>
      <c r="F1014" s="24"/>
      <c r="G1014" s="44" t="s">
        <v>2770</v>
      </c>
      <c r="H1014" s="36" t="s">
        <v>2427</v>
      </c>
      <c r="I1014" s="48" t="s">
        <v>441</v>
      </c>
      <c r="J1014" s="82" t="s">
        <v>2745</v>
      </c>
      <c r="K1014" s="3" t="str">
        <f t="shared" ca="1" si="217"/>
        <v xml:space="preserve">3 Tahun 0 bulan </v>
      </c>
      <c r="L1014" s="4" t="s">
        <v>2452</v>
      </c>
      <c r="M1014" s="82" t="s">
        <v>2745</v>
      </c>
      <c r="N1014" s="3" t="str">
        <f t="shared" ca="1" si="229"/>
        <v xml:space="preserve">3 Tahun 0 bulan </v>
      </c>
      <c r="O1014" s="56" t="s">
        <v>2746</v>
      </c>
      <c r="P1014" s="4" t="s">
        <v>35</v>
      </c>
      <c r="Q1014" s="4" t="str">
        <f t="shared" si="219"/>
        <v>Perempuan</v>
      </c>
      <c r="R1014" s="4">
        <f t="shared" si="228"/>
        <v>1</v>
      </c>
      <c r="S1014" s="4" t="str">
        <f t="shared" si="225"/>
        <v>1</v>
      </c>
      <c r="T1014" s="4">
        <f t="shared" si="226"/>
        <v>0</v>
      </c>
      <c r="U1014" s="29"/>
      <c r="V1014" s="30" t="s">
        <v>50</v>
      </c>
      <c r="W1014" s="30"/>
      <c r="X1014" s="30"/>
      <c r="Y1014" s="30"/>
      <c r="Z1014" s="30"/>
      <c r="AA1014" s="30"/>
      <c r="AB1014" s="29"/>
      <c r="AC1014" s="29"/>
      <c r="AD1014" s="37">
        <f t="shared" si="220"/>
        <v>28418</v>
      </c>
      <c r="AE1014" s="3" t="str">
        <f t="shared" ca="1" si="218"/>
        <v>48 Tahun 10 bulan 12 Hari</v>
      </c>
      <c r="AF1014" s="38">
        <f t="shared" si="221"/>
        <v>50345</v>
      </c>
    </row>
    <row r="1015" spans="1:32" s="7" customFormat="1" ht="24" customHeight="1" x14ac:dyDescent="0.35">
      <c r="A1015" s="26">
        <f t="shared" si="227"/>
        <v>945</v>
      </c>
      <c r="B1015" s="27" t="s">
        <v>2739</v>
      </c>
      <c r="C1015" s="299" t="s">
        <v>2771</v>
      </c>
      <c r="D1015" s="300"/>
      <c r="E1015" s="71" t="s">
        <v>2772</v>
      </c>
      <c r="F1015" s="71"/>
      <c r="G1015" s="70" t="s">
        <v>2773</v>
      </c>
      <c r="H1015" s="36" t="s">
        <v>2753</v>
      </c>
      <c r="I1015" s="48" t="s">
        <v>441</v>
      </c>
      <c r="J1015" s="82" t="s">
        <v>2745</v>
      </c>
      <c r="K1015" s="3" t="str">
        <f t="shared" ca="1" si="217"/>
        <v xml:space="preserve">3 Tahun 0 bulan </v>
      </c>
      <c r="L1015" s="4" t="s">
        <v>2452</v>
      </c>
      <c r="M1015" s="82" t="s">
        <v>2745</v>
      </c>
      <c r="N1015" s="3" t="str">
        <f t="shared" ca="1" si="229"/>
        <v xml:space="preserve">3 Tahun 0 bulan </v>
      </c>
      <c r="O1015" s="56" t="s">
        <v>2746</v>
      </c>
      <c r="P1015" s="4" t="s">
        <v>35</v>
      </c>
      <c r="Q1015" s="4" t="str">
        <f t="shared" si="219"/>
        <v>Laki-Laki</v>
      </c>
      <c r="R1015" s="4">
        <f t="shared" si="228"/>
        <v>1</v>
      </c>
      <c r="S1015" s="4" t="str">
        <f t="shared" si="225"/>
        <v>1</v>
      </c>
      <c r="T1015" s="4">
        <f t="shared" si="226"/>
        <v>0</v>
      </c>
      <c r="U1015" s="29"/>
      <c r="V1015" s="30" t="s">
        <v>50</v>
      </c>
      <c r="W1015" s="30"/>
      <c r="X1015" s="30"/>
      <c r="Y1015" s="30"/>
      <c r="Z1015" s="30"/>
      <c r="AA1015" s="30"/>
      <c r="AB1015" s="29"/>
      <c r="AC1015" s="29"/>
      <c r="AD1015" s="37">
        <f t="shared" si="220"/>
        <v>30441</v>
      </c>
      <c r="AE1015" s="3" t="str">
        <f t="shared" ca="1" si="218"/>
        <v>43 Tahun 3 bulan 27 Hari</v>
      </c>
      <c r="AF1015" s="38">
        <f t="shared" si="221"/>
        <v>52383</v>
      </c>
    </row>
    <row r="1016" spans="1:32" s="7" customFormat="1" ht="27.75" customHeight="1" x14ac:dyDescent="0.35">
      <c r="A1016" s="26">
        <f t="shared" si="227"/>
        <v>946</v>
      </c>
      <c r="B1016" s="27" t="s">
        <v>2739</v>
      </c>
      <c r="C1016" s="299" t="s">
        <v>2774</v>
      </c>
      <c r="D1016" s="300"/>
      <c r="E1016" s="24" t="s">
        <v>2775</v>
      </c>
      <c r="F1016" s="24"/>
      <c r="G1016" s="3" t="s">
        <v>2776</v>
      </c>
      <c r="H1016" s="4" t="s">
        <v>159</v>
      </c>
      <c r="I1016" s="48" t="s">
        <v>441</v>
      </c>
      <c r="J1016" s="82" t="s">
        <v>2745</v>
      </c>
      <c r="K1016" s="3" t="str">
        <f t="shared" ca="1" si="217"/>
        <v xml:space="preserve">3 Tahun 0 bulan </v>
      </c>
      <c r="L1016" s="4" t="s">
        <v>2452</v>
      </c>
      <c r="M1016" s="82" t="s">
        <v>2745</v>
      </c>
      <c r="N1016" s="3" t="str">
        <f t="shared" ca="1" si="229"/>
        <v xml:space="preserve">3 Tahun 0 bulan </v>
      </c>
      <c r="O1016" s="56" t="s">
        <v>2746</v>
      </c>
      <c r="P1016" s="4" t="s">
        <v>35</v>
      </c>
      <c r="Q1016" s="4" t="str">
        <f t="shared" si="219"/>
        <v>Laki-Laki</v>
      </c>
      <c r="R1016" s="4">
        <f t="shared" si="228"/>
        <v>1</v>
      </c>
      <c r="S1016" s="4" t="str">
        <f t="shared" si="225"/>
        <v>1</v>
      </c>
      <c r="T1016" s="4">
        <f t="shared" si="226"/>
        <v>0</v>
      </c>
      <c r="U1016" s="29"/>
      <c r="V1016" s="30" t="s">
        <v>50</v>
      </c>
      <c r="W1016" s="30"/>
      <c r="X1016" s="30"/>
      <c r="Y1016" s="30"/>
      <c r="Z1016" s="30"/>
      <c r="AA1016" s="30"/>
      <c r="AB1016" s="29"/>
      <c r="AC1016" s="29"/>
      <c r="AD1016" s="37">
        <f t="shared" si="220"/>
        <v>27322</v>
      </c>
      <c r="AE1016" s="3" t="str">
        <f t="shared" ca="1" si="218"/>
        <v>51 Tahun 10 bulan 12 Hari</v>
      </c>
      <c r="AF1016" s="38">
        <f t="shared" si="221"/>
        <v>49249</v>
      </c>
    </row>
    <row r="1017" spans="1:32" s="7" customFormat="1" ht="29.25" customHeight="1" x14ac:dyDescent="0.35">
      <c r="A1017" s="26">
        <f t="shared" si="227"/>
        <v>947</v>
      </c>
      <c r="B1017" s="27" t="s">
        <v>2739</v>
      </c>
      <c r="C1017" s="299" t="s">
        <v>2777</v>
      </c>
      <c r="D1017" s="300"/>
      <c r="E1017" s="24" t="s">
        <v>2778</v>
      </c>
      <c r="F1017" s="24"/>
      <c r="G1017" s="44" t="s">
        <v>2779</v>
      </c>
      <c r="H1017" s="4" t="s">
        <v>2780</v>
      </c>
      <c r="I1017" s="25" t="s">
        <v>2781</v>
      </c>
      <c r="J1017" s="82" t="s">
        <v>2782</v>
      </c>
      <c r="K1017" s="3" t="str">
        <f t="shared" ca="1" si="217"/>
        <v xml:space="preserve">5 Tahun 7 bulan </v>
      </c>
      <c r="L1017" s="4" t="s">
        <v>2452</v>
      </c>
      <c r="M1017" s="82" t="s">
        <v>2782</v>
      </c>
      <c r="N1017" s="3" t="str">
        <f t="shared" ca="1" si="229"/>
        <v xml:space="preserve">5 Tahun 7 bulan </v>
      </c>
      <c r="O1017" s="56" t="s">
        <v>2746</v>
      </c>
      <c r="P1017" s="4" t="s">
        <v>35</v>
      </c>
      <c r="Q1017" s="4" t="str">
        <f t="shared" si="219"/>
        <v>Perempuan</v>
      </c>
      <c r="R1017" s="4">
        <f t="shared" si="228"/>
        <v>1</v>
      </c>
      <c r="S1017" s="4" t="str">
        <f t="shared" si="225"/>
        <v>1</v>
      </c>
      <c r="T1017" s="4">
        <f t="shared" si="226"/>
        <v>0</v>
      </c>
      <c r="U1017" s="29"/>
      <c r="V1017" s="30" t="s">
        <v>50</v>
      </c>
      <c r="W1017" s="30"/>
      <c r="X1017" s="30"/>
      <c r="Y1017" s="30"/>
      <c r="Z1017" s="30"/>
      <c r="AA1017" s="30"/>
      <c r="AB1017" s="29"/>
      <c r="AC1017" s="29"/>
      <c r="AD1017" s="37">
        <f t="shared" si="220"/>
        <v>30053</v>
      </c>
      <c r="AE1017" s="3" t="str">
        <f t="shared" ca="1" si="218"/>
        <v>44 Tahun 4 bulan 20 Hari</v>
      </c>
      <c r="AF1017" s="38">
        <f t="shared" si="221"/>
        <v>51987</v>
      </c>
    </row>
    <row r="1018" spans="1:32" s="7" customFormat="1" ht="24.75" customHeight="1" x14ac:dyDescent="0.35">
      <c r="A1018" s="26">
        <f t="shared" si="227"/>
        <v>948</v>
      </c>
      <c r="B1018" s="27" t="s">
        <v>2739</v>
      </c>
      <c r="C1018" s="299" t="s">
        <v>2783</v>
      </c>
      <c r="D1018" s="300"/>
      <c r="E1018" s="24" t="s">
        <v>2784</v>
      </c>
      <c r="F1018" s="24"/>
      <c r="G1018" s="3" t="s">
        <v>2785</v>
      </c>
      <c r="H1018" s="36" t="s">
        <v>2753</v>
      </c>
      <c r="I1018" s="48" t="s">
        <v>441</v>
      </c>
      <c r="J1018" s="82" t="s">
        <v>2745</v>
      </c>
      <c r="K1018" s="3" t="str">
        <f t="shared" ca="1" si="217"/>
        <v xml:space="preserve">3 Tahun 0 bulan </v>
      </c>
      <c r="L1018" s="4" t="s">
        <v>2452</v>
      </c>
      <c r="M1018" s="82" t="s">
        <v>2745</v>
      </c>
      <c r="N1018" s="3" t="str">
        <f t="shared" ca="1" si="229"/>
        <v xml:space="preserve">3 Tahun 0 bulan </v>
      </c>
      <c r="O1018" s="56" t="s">
        <v>2746</v>
      </c>
      <c r="P1018" s="4" t="s">
        <v>35</v>
      </c>
      <c r="Q1018" s="4" t="str">
        <f t="shared" si="219"/>
        <v>Laki-Laki</v>
      </c>
      <c r="R1018" s="4">
        <f>R1016</f>
        <v>1</v>
      </c>
      <c r="S1018" s="4" t="str">
        <f t="shared" si="225"/>
        <v>1</v>
      </c>
      <c r="T1018" s="4">
        <f t="shared" si="226"/>
        <v>0</v>
      </c>
      <c r="U1018" s="29"/>
      <c r="V1018" s="30" t="s">
        <v>50</v>
      </c>
      <c r="W1018" s="30"/>
      <c r="X1018" s="30"/>
      <c r="Y1018" s="30"/>
      <c r="Z1018" s="30"/>
      <c r="AA1018" s="30"/>
      <c r="AB1018" s="29"/>
      <c r="AC1018" s="29"/>
      <c r="AD1018" s="37">
        <f t="shared" si="220"/>
        <v>30288</v>
      </c>
      <c r="AE1018" s="3" t="str">
        <f t="shared" ca="1" si="218"/>
        <v>43 Tahun 8 bulan 29 Hari</v>
      </c>
      <c r="AF1018" s="38">
        <f t="shared" si="221"/>
        <v>52232</v>
      </c>
    </row>
    <row r="1019" spans="1:32" s="7" customFormat="1" ht="24" customHeight="1" x14ac:dyDescent="0.35">
      <c r="A1019" s="26">
        <f t="shared" si="227"/>
        <v>949</v>
      </c>
      <c r="B1019" s="27" t="s">
        <v>2739</v>
      </c>
      <c r="C1019" s="299" t="s">
        <v>2786</v>
      </c>
      <c r="D1019" s="300"/>
      <c r="E1019" s="71" t="s">
        <v>2787</v>
      </c>
      <c r="F1019" s="71"/>
      <c r="G1019" s="70" t="s">
        <v>2788</v>
      </c>
      <c r="H1019" s="36" t="s">
        <v>2753</v>
      </c>
      <c r="I1019" s="48" t="s">
        <v>2789</v>
      </c>
      <c r="J1019" s="82" t="s">
        <v>2745</v>
      </c>
      <c r="K1019" s="3" t="str">
        <f t="shared" ca="1" si="217"/>
        <v xml:space="preserve">3 Tahun 0 bulan </v>
      </c>
      <c r="L1019" s="4" t="s">
        <v>2452</v>
      </c>
      <c r="M1019" s="82" t="s">
        <v>2745</v>
      </c>
      <c r="N1019" s="3" t="str">
        <f t="shared" ca="1" si="229"/>
        <v xml:space="preserve">3 Tahun 0 bulan </v>
      </c>
      <c r="O1019" s="56" t="s">
        <v>2746</v>
      </c>
      <c r="P1019" s="4" t="s">
        <v>35</v>
      </c>
      <c r="Q1019" s="4" t="str">
        <f t="shared" si="219"/>
        <v>Perempuan</v>
      </c>
      <c r="R1019" s="4">
        <f t="shared" si="228"/>
        <v>1</v>
      </c>
      <c r="S1019" s="4" t="str">
        <f t="shared" si="225"/>
        <v>1</v>
      </c>
      <c r="T1019" s="4">
        <f t="shared" si="226"/>
        <v>0</v>
      </c>
      <c r="U1019" s="29"/>
      <c r="V1019" s="30" t="s">
        <v>50</v>
      </c>
      <c r="W1019" s="30"/>
      <c r="X1019" s="30"/>
      <c r="Y1019" s="30"/>
      <c r="Z1019" s="30"/>
      <c r="AA1019" s="30"/>
      <c r="AB1019" s="29"/>
      <c r="AC1019" s="29"/>
      <c r="AD1019" s="37">
        <f t="shared" si="220"/>
        <v>30805</v>
      </c>
      <c r="AE1019" s="3" t="str">
        <f t="shared" ca="1" si="218"/>
        <v>42 Tahun 3 bulan 29 Hari</v>
      </c>
      <c r="AF1019" s="38">
        <f t="shared" si="221"/>
        <v>52749</v>
      </c>
    </row>
    <row r="1020" spans="1:32" s="7" customFormat="1" ht="27.75" customHeight="1" x14ac:dyDescent="0.35">
      <c r="A1020" s="26">
        <f t="shared" si="227"/>
        <v>950</v>
      </c>
      <c r="B1020" s="27" t="s">
        <v>2739</v>
      </c>
      <c r="C1020" s="299" t="s">
        <v>2790</v>
      </c>
      <c r="D1020" s="300"/>
      <c r="E1020" s="24" t="s">
        <v>2791</v>
      </c>
      <c r="F1020" s="24"/>
      <c r="G1020" s="3" t="s">
        <v>2792</v>
      </c>
      <c r="H1020" s="36" t="s">
        <v>2753</v>
      </c>
      <c r="I1020" s="48" t="s">
        <v>441</v>
      </c>
      <c r="J1020" s="82" t="s">
        <v>2745</v>
      </c>
      <c r="K1020" s="3" t="str">
        <f t="shared" ca="1" si="217"/>
        <v xml:space="preserve">3 Tahun 0 bulan </v>
      </c>
      <c r="L1020" s="4" t="s">
        <v>2452</v>
      </c>
      <c r="M1020" s="82" t="s">
        <v>2745</v>
      </c>
      <c r="N1020" s="3" t="str">
        <f t="shared" ca="1" si="229"/>
        <v xml:space="preserve">3 Tahun 0 bulan </v>
      </c>
      <c r="O1020" s="56" t="s">
        <v>2746</v>
      </c>
      <c r="P1020" s="4" t="s">
        <v>35</v>
      </c>
      <c r="Q1020" s="4" t="str">
        <f t="shared" si="219"/>
        <v>Perempuan</v>
      </c>
      <c r="R1020" s="4">
        <f t="shared" si="228"/>
        <v>1</v>
      </c>
      <c r="S1020" s="4" t="str">
        <f t="shared" si="225"/>
        <v>1</v>
      </c>
      <c r="T1020" s="4">
        <f t="shared" si="226"/>
        <v>0</v>
      </c>
      <c r="U1020" s="29"/>
      <c r="V1020" s="30" t="s">
        <v>50</v>
      </c>
      <c r="W1020" s="30"/>
      <c r="X1020" s="30"/>
      <c r="Y1020" s="30"/>
      <c r="Z1020" s="30"/>
      <c r="AA1020" s="30"/>
      <c r="AB1020" s="29"/>
      <c r="AC1020" s="29"/>
      <c r="AD1020" s="37">
        <f t="shared" si="220"/>
        <v>31264</v>
      </c>
      <c r="AE1020" s="3" t="str">
        <f t="shared" ca="1" si="218"/>
        <v>41 Tahun 0 bulan 27 Hari</v>
      </c>
      <c r="AF1020" s="38">
        <f t="shared" si="221"/>
        <v>53206</v>
      </c>
    </row>
    <row r="1021" spans="1:32" s="7" customFormat="1" ht="29.25" customHeight="1" x14ac:dyDescent="0.35">
      <c r="A1021" s="26">
        <f t="shared" si="227"/>
        <v>951</v>
      </c>
      <c r="B1021" s="27" t="s">
        <v>2739</v>
      </c>
      <c r="C1021" s="299" t="s">
        <v>2793</v>
      </c>
      <c r="D1021" s="300"/>
      <c r="E1021" s="24" t="s">
        <v>2794</v>
      </c>
      <c r="F1021" s="24"/>
      <c r="G1021" s="3" t="s">
        <v>2795</v>
      </c>
      <c r="H1021" s="36" t="s">
        <v>2753</v>
      </c>
      <c r="I1021" s="48" t="s">
        <v>441</v>
      </c>
      <c r="J1021" s="82" t="s">
        <v>2745</v>
      </c>
      <c r="K1021" s="3" t="str">
        <f t="shared" ca="1" si="217"/>
        <v xml:space="preserve">3 Tahun 0 bulan </v>
      </c>
      <c r="L1021" s="4" t="s">
        <v>2452</v>
      </c>
      <c r="M1021" s="82" t="s">
        <v>2745</v>
      </c>
      <c r="N1021" s="3" t="str">
        <f t="shared" ca="1" si="229"/>
        <v xml:space="preserve">3 Tahun 0 bulan </v>
      </c>
      <c r="O1021" s="56" t="s">
        <v>2746</v>
      </c>
      <c r="P1021" s="4" t="s">
        <v>35</v>
      </c>
      <c r="Q1021" s="4" t="str">
        <f t="shared" si="219"/>
        <v>Perempuan</v>
      </c>
      <c r="R1021" s="4">
        <f t="shared" si="228"/>
        <v>1</v>
      </c>
      <c r="S1021" s="4" t="str">
        <f t="shared" si="225"/>
        <v>1</v>
      </c>
      <c r="T1021" s="4">
        <f t="shared" si="226"/>
        <v>0</v>
      </c>
      <c r="U1021" s="29"/>
      <c r="V1021" s="30" t="s">
        <v>50</v>
      </c>
      <c r="W1021" s="30"/>
      <c r="X1021" s="30"/>
      <c r="Y1021" s="30"/>
      <c r="Z1021" s="30"/>
      <c r="AA1021" s="30"/>
      <c r="AB1021" s="29"/>
      <c r="AC1021" s="29"/>
      <c r="AD1021" s="37">
        <f t="shared" si="220"/>
        <v>30050</v>
      </c>
      <c r="AE1021" s="3" t="str">
        <f t="shared" ca="1" si="218"/>
        <v>44 Tahun 4 bulan 23 Hari</v>
      </c>
      <c r="AF1021" s="38">
        <f t="shared" si="221"/>
        <v>51987</v>
      </c>
    </row>
    <row r="1022" spans="1:32" s="7" customFormat="1" ht="29.25" customHeight="1" x14ac:dyDescent="0.35">
      <c r="A1022" s="26">
        <f t="shared" si="227"/>
        <v>952</v>
      </c>
      <c r="B1022" s="27" t="s">
        <v>2739</v>
      </c>
      <c r="C1022" s="299" t="s">
        <v>2796</v>
      </c>
      <c r="D1022" s="300"/>
      <c r="E1022" s="24" t="s">
        <v>2797</v>
      </c>
      <c r="F1022" s="24"/>
      <c r="G1022" s="44" t="s">
        <v>2798</v>
      </c>
      <c r="H1022" s="36" t="s">
        <v>2753</v>
      </c>
      <c r="I1022" s="48" t="s">
        <v>441</v>
      </c>
      <c r="J1022" s="82" t="s">
        <v>2782</v>
      </c>
      <c r="K1022" s="3" t="str">
        <f t="shared" ca="1" si="217"/>
        <v xml:space="preserve">5 Tahun 7 bulan </v>
      </c>
      <c r="L1022" s="4" t="s">
        <v>2452</v>
      </c>
      <c r="M1022" s="82" t="s">
        <v>2782</v>
      </c>
      <c r="N1022" s="3" t="str">
        <f t="shared" ca="1" si="229"/>
        <v xml:space="preserve">5 Tahun 7 bulan </v>
      </c>
      <c r="O1022" s="56" t="s">
        <v>2746</v>
      </c>
      <c r="P1022" s="4" t="s">
        <v>35</v>
      </c>
      <c r="Q1022" s="4" t="str">
        <f t="shared" si="219"/>
        <v>Laki-Laki</v>
      </c>
      <c r="R1022" s="4">
        <f t="shared" si="228"/>
        <v>1</v>
      </c>
      <c r="S1022" s="4" t="str">
        <f t="shared" si="225"/>
        <v>1</v>
      </c>
      <c r="T1022" s="4">
        <f t="shared" si="226"/>
        <v>0</v>
      </c>
      <c r="U1022" s="29"/>
      <c r="V1022" s="30" t="s">
        <v>50</v>
      </c>
      <c r="W1022" s="30"/>
      <c r="X1022" s="30"/>
      <c r="Y1022" s="30"/>
      <c r="Z1022" s="30"/>
      <c r="AA1022" s="30"/>
      <c r="AB1022" s="29"/>
      <c r="AC1022" s="29"/>
      <c r="AD1022" s="37">
        <f t="shared" si="220"/>
        <v>29853</v>
      </c>
      <c r="AE1022" s="3" t="str">
        <f t="shared" ca="1" si="218"/>
        <v>44 Tahun 11 bulan 8 Hari</v>
      </c>
      <c r="AF1022" s="38">
        <f t="shared" si="221"/>
        <v>51775</v>
      </c>
    </row>
    <row r="1023" spans="1:32" s="7" customFormat="1" ht="24.75" customHeight="1" x14ac:dyDescent="0.35">
      <c r="A1023" s="26">
        <f t="shared" si="227"/>
        <v>953</v>
      </c>
      <c r="B1023" s="27" t="s">
        <v>2739</v>
      </c>
      <c r="C1023" s="299" t="s">
        <v>2799</v>
      </c>
      <c r="D1023" s="300"/>
      <c r="E1023" s="24" t="s">
        <v>2800</v>
      </c>
      <c r="F1023" s="24"/>
      <c r="G1023" s="3" t="s">
        <v>2801</v>
      </c>
      <c r="H1023" s="4" t="s">
        <v>2780</v>
      </c>
      <c r="I1023" s="25" t="s">
        <v>2781</v>
      </c>
      <c r="J1023" s="82" t="s">
        <v>2745</v>
      </c>
      <c r="K1023" s="3" t="str">
        <f t="shared" ca="1" si="217"/>
        <v xml:space="preserve">3 Tahun 0 bulan </v>
      </c>
      <c r="L1023" s="4" t="s">
        <v>2452</v>
      </c>
      <c r="M1023" s="82" t="s">
        <v>2745</v>
      </c>
      <c r="N1023" s="3" t="str">
        <f t="shared" ca="1" si="229"/>
        <v xml:space="preserve">3 Tahun 0 bulan </v>
      </c>
      <c r="O1023" s="56" t="s">
        <v>2746</v>
      </c>
      <c r="P1023" s="4" t="s">
        <v>35</v>
      </c>
      <c r="Q1023" s="4" t="str">
        <f t="shared" si="219"/>
        <v>Laki-Laki</v>
      </c>
      <c r="R1023" s="4">
        <f>R1021</f>
        <v>1</v>
      </c>
      <c r="S1023" s="4" t="str">
        <f t="shared" si="225"/>
        <v>1</v>
      </c>
      <c r="T1023" s="4">
        <f t="shared" si="226"/>
        <v>0</v>
      </c>
      <c r="U1023" s="29"/>
      <c r="V1023" s="30" t="s">
        <v>50</v>
      </c>
      <c r="W1023" s="30"/>
      <c r="X1023" s="30"/>
      <c r="Y1023" s="30"/>
      <c r="Z1023" s="30"/>
      <c r="AA1023" s="30"/>
      <c r="AB1023" s="29"/>
      <c r="AC1023" s="29"/>
      <c r="AD1023" s="37">
        <f t="shared" si="220"/>
        <v>30015</v>
      </c>
      <c r="AE1023" s="3" t="str">
        <f t="shared" ca="1" si="218"/>
        <v>44 Tahun 5 bulan 27 Hari</v>
      </c>
      <c r="AF1023" s="38">
        <f t="shared" si="221"/>
        <v>51957</v>
      </c>
    </row>
    <row r="1024" spans="1:32" s="7" customFormat="1" ht="24" customHeight="1" x14ac:dyDescent="0.35">
      <c r="A1024" s="26">
        <f t="shared" si="227"/>
        <v>954</v>
      </c>
      <c r="B1024" s="27" t="s">
        <v>2739</v>
      </c>
      <c r="C1024" s="299" t="s">
        <v>2802</v>
      </c>
      <c r="D1024" s="300"/>
      <c r="E1024" s="71" t="s">
        <v>2803</v>
      </c>
      <c r="F1024" s="71"/>
      <c r="G1024" s="70" t="s">
        <v>2804</v>
      </c>
      <c r="H1024" s="36" t="s">
        <v>2753</v>
      </c>
      <c r="I1024" s="48" t="s">
        <v>2767</v>
      </c>
      <c r="J1024" s="82" t="s">
        <v>2745</v>
      </c>
      <c r="K1024" s="3" t="str">
        <f t="shared" ca="1" si="217"/>
        <v xml:space="preserve">3 Tahun 0 bulan </v>
      </c>
      <c r="L1024" s="4" t="s">
        <v>2452</v>
      </c>
      <c r="M1024" s="82" t="s">
        <v>2745</v>
      </c>
      <c r="N1024" s="3" t="str">
        <f t="shared" ca="1" si="229"/>
        <v xml:space="preserve">3 Tahun 0 bulan </v>
      </c>
      <c r="O1024" s="56" t="s">
        <v>2746</v>
      </c>
      <c r="P1024" s="4" t="s">
        <v>2805</v>
      </c>
      <c r="Q1024" s="4" t="str">
        <f t="shared" si="219"/>
        <v>Laki-Laki</v>
      </c>
      <c r="R1024" s="4">
        <f t="shared" si="228"/>
        <v>1</v>
      </c>
      <c r="S1024" s="4" t="str">
        <f t="shared" si="225"/>
        <v>1</v>
      </c>
      <c r="T1024" s="4">
        <f t="shared" si="226"/>
        <v>0</v>
      </c>
      <c r="U1024" s="29"/>
      <c r="V1024" s="30" t="s">
        <v>50</v>
      </c>
      <c r="W1024" s="30"/>
      <c r="X1024" s="30"/>
      <c r="Y1024" s="30"/>
      <c r="Z1024" s="30"/>
      <c r="AA1024" s="30"/>
      <c r="AB1024" s="29"/>
      <c r="AC1024" s="29"/>
      <c r="AD1024" s="37">
        <f t="shared" si="220"/>
        <v>31025</v>
      </c>
      <c r="AE1024" s="3" t="str">
        <f t="shared" ca="1" si="218"/>
        <v>41 Tahun 8 bulan 23 Hari</v>
      </c>
      <c r="AF1024" s="38">
        <f t="shared" si="221"/>
        <v>52963</v>
      </c>
    </row>
    <row r="1025" spans="1:33" ht="27.75" customHeight="1" x14ac:dyDescent="0.35">
      <c r="A1025" s="26">
        <f t="shared" si="227"/>
        <v>955</v>
      </c>
      <c r="B1025" s="27" t="s">
        <v>2739</v>
      </c>
      <c r="C1025" s="299" t="s">
        <v>2806</v>
      </c>
      <c r="D1025" s="300"/>
      <c r="E1025" s="24" t="s">
        <v>2807</v>
      </c>
      <c r="F1025" s="24"/>
      <c r="G1025" s="3" t="s">
        <v>2808</v>
      </c>
      <c r="H1025" s="4" t="s">
        <v>2780</v>
      </c>
      <c r="I1025" s="25" t="s">
        <v>2781</v>
      </c>
      <c r="J1025" s="82" t="s">
        <v>2745</v>
      </c>
      <c r="K1025" s="3" t="str">
        <f t="shared" ca="1" si="217"/>
        <v xml:space="preserve">3 Tahun 0 bulan </v>
      </c>
      <c r="L1025" s="4" t="s">
        <v>2452</v>
      </c>
      <c r="M1025" s="82" t="s">
        <v>2745</v>
      </c>
      <c r="N1025" s="3" t="str">
        <f t="shared" ca="1" si="229"/>
        <v xml:space="preserve">3 Tahun 0 bulan </v>
      </c>
      <c r="O1025" s="56" t="s">
        <v>2746</v>
      </c>
      <c r="P1025" s="4" t="s">
        <v>35</v>
      </c>
      <c r="Q1025" s="4" t="str">
        <f t="shared" si="219"/>
        <v>Laki-Laki</v>
      </c>
      <c r="R1025" s="4">
        <f t="shared" si="228"/>
        <v>1</v>
      </c>
      <c r="S1025" s="4" t="str">
        <f t="shared" si="225"/>
        <v>1</v>
      </c>
      <c r="T1025" s="4">
        <f t="shared" si="226"/>
        <v>0</v>
      </c>
      <c r="U1025" s="29"/>
      <c r="V1025" s="30" t="s">
        <v>50</v>
      </c>
      <c r="W1025" s="30"/>
      <c r="X1025" s="30"/>
      <c r="Y1025" s="30"/>
      <c r="Z1025" s="30"/>
      <c r="AA1025" s="30"/>
      <c r="AB1025" s="29"/>
      <c r="AC1025" s="29"/>
      <c r="AD1025" s="37">
        <f t="shared" si="220"/>
        <v>30640</v>
      </c>
      <c r="AE1025" s="3" t="str">
        <f t="shared" ca="1" si="218"/>
        <v>42 Tahun 9 bulan 12 Hari</v>
      </c>
      <c r="AF1025" s="38">
        <f t="shared" si="221"/>
        <v>52566</v>
      </c>
      <c r="AG1025" s="7"/>
    </row>
    <row r="1026" spans="1:33" ht="29.25" customHeight="1" x14ac:dyDescent="0.35">
      <c r="A1026" s="26">
        <f t="shared" si="227"/>
        <v>956</v>
      </c>
      <c r="B1026" s="27" t="s">
        <v>2739</v>
      </c>
      <c r="C1026" s="299" t="s">
        <v>2809</v>
      </c>
      <c r="D1026" s="300"/>
      <c r="E1026" s="24" t="s">
        <v>2810</v>
      </c>
      <c r="F1026" s="24"/>
      <c r="G1026" s="44" t="s">
        <v>2811</v>
      </c>
      <c r="H1026" s="36" t="s">
        <v>2753</v>
      </c>
      <c r="I1026" s="48" t="s">
        <v>441</v>
      </c>
      <c r="J1026" s="82" t="s">
        <v>2745</v>
      </c>
      <c r="K1026" s="3" t="str">
        <f t="shared" ca="1" si="217"/>
        <v xml:space="preserve">3 Tahun 0 bulan </v>
      </c>
      <c r="L1026" s="4" t="s">
        <v>2452</v>
      </c>
      <c r="M1026" s="82" t="s">
        <v>2745</v>
      </c>
      <c r="N1026" s="3" t="str">
        <f t="shared" ca="1" si="229"/>
        <v xml:space="preserve">3 Tahun 0 bulan </v>
      </c>
      <c r="O1026" s="56" t="s">
        <v>2746</v>
      </c>
      <c r="P1026" s="4" t="s">
        <v>35</v>
      </c>
      <c r="Q1026" s="4" t="str">
        <f t="shared" si="219"/>
        <v>Laki-Laki</v>
      </c>
      <c r="R1026" s="4">
        <f t="shared" si="228"/>
        <v>1</v>
      </c>
      <c r="S1026" s="4" t="str">
        <f t="shared" si="225"/>
        <v>1</v>
      </c>
      <c r="T1026" s="4">
        <f t="shared" si="226"/>
        <v>0</v>
      </c>
      <c r="U1026" s="29"/>
      <c r="V1026" s="30" t="s">
        <v>50</v>
      </c>
      <c r="W1026" s="30"/>
      <c r="X1026" s="30"/>
      <c r="Y1026" s="30"/>
      <c r="Z1026" s="30"/>
      <c r="AA1026" s="30"/>
      <c r="AB1026" s="29"/>
      <c r="AC1026" s="29"/>
      <c r="AD1026" s="37">
        <f t="shared" si="220"/>
        <v>31589</v>
      </c>
      <c r="AE1026" s="3" t="str">
        <f t="shared" ca="1" si="218"/>
        <v>40 Tahun 2 bulan 6 Hari</v>
      </c>
      <c r="AF1026" s="38">
        <f t="shared" si="221"/>
        <v>53509</v>
      </c>
      <c r="AG1026" s="7"/>
    </row>
    <row r="1027" spans="1:33" ht="12" customHeight="1" x14ac:dyDescent="0.35">
      <c r="H1027" s="10"/>
      <c r="J1027" s="10"/>
      <c r="K1027" s="10"/>
      <c r="O1027" s="10"/>
      <c r="P1027" s="10"/>
      <c r="Q1027" s="10"/>
    </row>
    <row r="1028" spans="1:33" ht="22.5" customHeight="1" x14ac:dyDescent="0.35">
      <c r="D1028" s="6">
        <f>175+35</f>
        <v>210</v>
      </c>
      <c r="G1028" s="13"/>
      <c r="H1028" s="302" t="s">
        <v>2812</v>
      </c>
      <c r="I1028" s="302"/>
      <c r="J1028" s="302"/>
      <c r="K1028" s="14"/>
      <c r="L1028" s="14"/>
      <c r="M1028" s="14"/>
      <c r="N1028" s="14"/>
      <c r="O1028" s="14"/>
      <c r="P1028" s="14"/>
      <c r="Q1028" s="14"/>
    </row>
    <row r="1029" spans="1:33" ht="34" customHeight="1" x14ac:dyDescent="0.35">
      <c r="D1029" s="6">
        <v>5</v>
      </c>
      <c r="E1029" s="15"/>
      <c r="F1029" s="16"/>
      <c r="H1029" s="10"/>
      <c r="J1029" s="10"/>
      <c r="K1029" s="10"/>
      <c r="O1029" s="10"/>
      <c r="P1029" s="10"/>
      <c r="Q1029" s="10"/>
    </row>
    <row r="1030" spans="1:33" ht="12" customHeight="1" x14ac:dyDescent="0.35">
      <c r="D1030" s="15"/>
      <c r="E1030" s="15"/>
      <c r="F1030" s="16"/>
    </row>
    <row r="1031" spans="1:33" ht="28.75" customHeight="1" x14ac:dyDescent="0.35">
      <c r="H1031" s="303" t="s">
        <v>2868</v>
      </c>
      <c r="I1031" s="302"/>
    </row>
    <row r="1032" spans="1:33" ht="22.5" customHeight="1" x14ac:dyDescent="0.35">
      <c r="H1032" s="302"/>
      <c r="I1032" s="302"/>
    </row>
    <row r="1033" spans="1:33" ht="15.5" x14ac:dyDescent="0.35">
      <c r="D1033" s="17"/>
    </row>
    <row r="1034" spans="1:33" ht="15.5" x14ac:dyDescent="0.35">
      <c r="D1034" s="17"/>
    </row>
    <row r="1035" spans="1:33" ht="15.5" x14ac:dyDescent="0.35">
      <c r="D1035" s="17"/>
    </row>
    <row r="1036" spans="1:33" ht="15.5" x14ac:dyDescent="0.35">
      <c r="D1036" s="17"/>
    </row>
    <row r="1037" spans="1:33" ht="15.5" x14ac:dyDescent="0.35">
      <c r="D1037" s="17"/>
    </row>
    <row r="1038" spans="1:33" ht="15.5" x14ac:dyDescent="0.35">
      <c r="D1038" s="17"/>
    </row>
    <row r="1039" spans="1:33" ht="15.5" x14ac:dyDescent="0.35">
      <c r="D1039" s="17"/>
    </row>
    <row r="1040" spans="1:33" ht="15.5" x14ac:dyDescent="0.35">
      <c r="D1040" s="17"/>
    </row>
    <row r="1041" spans="4:4" ht="15.5" x14ac:dyDescent="0.35">
      <c r="D1041" s="17"/>
    </row>
  </sheetData>
  <sheetProtection formatColumns="0"/>
  <autoFilter ref="A3:AF1026" xr:uid="{431E7BCC-7E4A-4E83-9FCC-741624DA2333}">
    <filterColumn colId="2" showButton="0"/>
  </autoFilter>
  <mergeCells count="491">
    <mergeCell ref="H1028:J1028"/>
    <mergeCell ref="H1031:I1031"/>
    <mergeCell ref="H1032:I1032"/>
    <mergeCell ref="C1021:D1021"/>
    <mergeCell ref="C1022:D1022"/>
    <mergeCell ref="C1023:D1023"/>
    <mergeCell ref="C1024:D1024"/>
    <mergeCell ref="C1025:D1025"/>
    <mergeCell ref="C1026:D1026"/>
    <mergeCell ref="C1015:D1015"/>
    <mergeCell ref="C1016:D1016"/>
    <mergeCell ref="C1017:D1017"/>
    <mergeCell ref="C1018:D1018"/>
    <mergeCell ref="C1019:D1019"/>
    <mergeCell ref="C1020:D1020"/>
    <mergeCell ref="C1009:D1009"/>
    <mergeCell ref="C1010:D1010"/>
    <mergeCell ref="C1011:D1011"/>
    <mergeCell ref="C1012:D1012"/>
    <mergeCell ref="C1013:D1013"/>
    <mergeCell ref="C1014:D1014"/>
    <mergeCell ref="C1003:D1003"/>
    <mergeCell ref="C1004:D1004"/>
    <mergeCell ref="C1005:D1005"/>
    <mergeCell ref="C1006:D1006"/>
    <mergeCell ref="C1007:D1007"/>
    <mergeCell ref="C1008:D1008"/>
    <mergeCell ref="C997:D997"/>
    <mergeCell ref="C998:D998"/>
    <mergeCell ref="C999:D999"/>
    <mergeCell ref="C1000:D1000"/>
    <mergeCell ref="C1001:D1001"/>
    <mergeCell ref="C1002:D1002"/>
    <mergeCell ref="C991:D991"/>
    <mergeCell ref="C992:D992"/>
    <mergeCell ref="C993:D993"/>
    <mergeCell ref="C994:D994"/>
    <mergeCell ref="C995:D995"/>
    <mergeCell ref="C996:D996"/>
    <mergeCell ref="C985:D985"/>
    <mergeCell ref="C986:D986"/>
    <mergeCell ref="C987:D987"/>
    <mergeCell ref="C988:D988"/>
    <mergeCell ref="C989:D989"/>
    <mergeCell ref="C990:D990"/>
    <mergeCell ref="C979:D979"/>
    <mergeCell ref="C980:D980"/>
    <mergeCell ref="C981:D981"/>
    <mergeCell ref="C982:D982"/>
    <mergeCell ref="C983:D983"/>
    <mergeCell ref="C984:D984"/>
    <mergeCell ref="C972:D972"/>
    <mergeCell ref="C973:D973"/>
    <mergeCell ref="C974:D974"/>
    <mergeCell ref="C975:D975"/>
    <mergeCell ref="C976:D976"/>
    <mergeCell ref="C978:D978"/>
    <mergeCell ref="C966:D966"/>
    <mergeCell ref="C967:D967"/>
    <mergeCell ref="C968:D968"/>
    <mergeCell ref="C969:D969"/>
    <mergeCell ref="C970:D970"/>
    <mergeCell ref="C971:D971"/>
    <mergeCell ref="C960:D960"/>
    <mergeCell ref="C961:D961"/>
    <mergeCell ref="C962:D962"/>
    <mergeCell ref="C963:D963"/>
    <mergeCell ref="C964:D964"/>
    <mergeCell ref="C965:D965"/>
    <mergeCell ref="C954:D954"/>
    <mergeCell ref="C955:D955"/>
    <mergeCell ref="C956:D956"/>
    <mergeCell ref="C957:D957"/>
    <mergeCell ref="C958:D958"/>
    <mergeCell ref="C959:D959"/>
    <mergeCell ref="C942:D942"/>
    <mergeCell ref="C944:D944"/>
    <mergeCell ref="C946:D946"/>
    <mergeCell ref="C948:D948"/>
    <mergeCell ref="C950:D950"/>
    <mergeCell ref="C952:D952"/>
    <mergeCell ref="C930:D930"/>
    <mergeCell ref="C932:D932"/>
    <mergeCell ref="C934:D934"/>
    <mergeCell ref="C936:D936"/>
    <mergeCell ref="C938:D938"/>
    <mergeCell ref="C940:D940"/>
    <mergeCell ref="C918:D918"/>
    <mergeCell ref="C920:D920"/>
    <mergeCell ref="C922:D922"/>
    <mergeCell ref="C924:D924"/>
    <mergeCell ref="C926:D926"/>
    <mergeCell ref="C928:D928"/>
    <mergeCell ref="C906:D906"/>
    <mergeCell ref="C908:D908"/>
    <mergeCell ref="C910:D910"/>
    <mergeCell ref="C912:D912"/>
    <mergeCell ref="C914:D914"/>
    <mergeCell ref="C916:D916"/>
    <mergeCell ref="C896:D896"/>
    <mergeCell ref="C897:D897"/>
    <mergeCell ref="C899:D899"/>
    <mergeCell ref="C901:D901"/>
    <mergeCell ref="C902:D902"/>
    <mergeCell ref="C904:D904"/>
    <mergeCell ref="C885:D885"/>
    <mergeCell ref="C887:D887"/>
    <mergeCell ref="C888:D888"/>
    <mergeCell ref="C890:D890"/>
    <mergeCell ref="C892:D892"/>
    <mergeCell ref="C894:D894"/>
    <mergeCell ref="C873:D873"/>
    <mergeCell ref="C875:D875"/>
    <mergeCell ref="C877:D877"/>
    <mergeCell ref="C879:D879"/>
    <mergeCell ref="C881:D881"/>
    <mergeCell ref="C883:D883"/>
    <mergeCell ref="C861:D861"/>
    <mergeCell ref="C863:D863"/>
    <mergeCell ref="C865:D865"/>
    <mergeCell ref="C867:D867"/>
    <mergeCell ref="C869:D869"/>
    <mergeCell ref="C871:D871"/>
    <mergeCell ref="C852:D852"/>
    <mergeCell ref="C853:D853"/>
    <mergeCell ref="C854:D854"/>
    <mergeCell ref="C855:D855"/>
    <mergeCell ref="C857:D857"/>
    <mergeCell ref="C859:D859"/>
    <mergeCell ref="C846:D846"/>
    <mergeCell ref="C847:D847"/>
    <mergeCell ref="C848:D848"/>
    <mergeCell ref="C849:D849"/>
    <mergeCell ref="C850:D850"/>
    <mergeCell ref="C851:D851"/>
    <mergeCell ref="C840:D840"/>
    <mergeCell ref="C841:D841"/>
    <mergeCell ref="C842:D842"/>
    <mergeCell ref="C843:D843"/>
    <mergeCell ref="C844:D844"/>
    <mergeCell ref="C845:D845"/>
    <mergeCell ref="C834:D834"/>
    <mergeCell ref="C835:D835"/>
    <mergeCell ref="C836:D836"/>
    <mergeCell ref="C837:D837"/>
    <mergeCell ref="C838:D838"/>
    <mergeCell ref="C839:D839"/>
    <mergeCell ref="C822:D822"/>
    <mergeCell ref="C823:D823"/>
    <mergeCell ref="C827:D827"/>
    <mergeCell ref="C828:D828"/>
    <mergeCell ref="C829:D829"/>
    <mergeCell ref="C833:D833"/>
    <mergeCell ref="C806:D806"/>
    <mergeCell ref="C807:D807"/>
    <mergeCell ref="C815:D815"/>
    <mergeCell ref="C816:D816"/>
    <mergeCell ref="C817:D817"/>
    <mergeCell ref="C821:D821"/>
    <mergeCell ref="C786:D786"/>
    <mergeCell ref="C787:D787"/>
    <mergeCell ref="C795:D795"/>
    <mergeCell ref="C796:D796"/>
    <mergeCell ref="C797:D797"/>
    <mergeCell ref="C805:D805"/>
    <mergeCell ref="C766:D766"/>
    <mergeCell ref="C767:D767"/>
    <mergeCell ref="C775:D775"/>
    <mergeCell ref="C776:D776"/>
    <mergeCell ref="C777:D777"/>
    <mergeCell ref="C785:D785"/>
    <mergeCell ref="C746:D746"/>
    <mergeCell ref="C747:D747"/>
    <mergeCell ref="C755:D755"/>
    <mergeCell ref="C756:D756"/>
    <mergeCell ref="C757:D757"/>
    <mergeCell ref="C765:D765"/>
    <mergeCell ref="C726:D726"/>
    <mergeCell ref="C727:D727"/>
    <mergeCell ref="C735:D735"/>
    <mergeCell ref="C736:D736"/>
    <mergeCell ref="C737:D737"/>
    <mergeCell ref="C745:D745"/>
    <mergeCell ref="C706:D706"/>
    <mergeCell ref="C707:D707"/>
    <mergeCell ref="C715:D715"/>
    <mergeCell ref="C716:D716"/>
    <mergeCell ref="C717:D717"/>
    <mergeCell ref="C725:D725"/>
    <mergeCell ref="C695:D695"/>
    <mergeCell ref="E695:AF695"/>
    <mergeCell ref="C696:D696"/>
    <mergeCell ref="C697:D697"/>
    <mergeCell ref="C705:D705"/>
    <mergeCell ref="E705:AF705"/>
    <mergeCell ref="C676:D676"/>
    <mergeCell ref="C677:D677"/>
    <mergeCell ref="C685:D685"/>
    <mergeCell ref="E685:AF685"/>
    <mergeCell ref="C686:D686"/>
    <mergeCell ref="C687:D687"/>
    <mergeCell ref="C665:D665"/>
    <mergeCell ref="E665:AF665"/>
    <mergeCell ref="C666:D666"/>
    <mergeCell ref="C667:D667"/>
    <mergeCell ref="C675:D675"/>
    <mergeCell ref="E675:AF675"/>
    <mergeCell ref="C646:D646"/>
    <mergeCell ref="C647:D647"/>
    <mergeCell ref="C655:D655"/>
    <mergeCell ref="E655:AF655"/>
    <mergeCell ref="C656:D656"/>
    <mergeCell ref="C657:D657"/>
    <mergeCell ref="C627:D627"/>
    <mergeCell ref="C635:D635"/>
    <mergeCell ref="E635:AF635"/>
    <mergeCell ref="C636:D636"/>
    <mergeCell ref="C637:D637"/>
    <mergeCell ref="C645:D645"/>
    <mergeCell ref="E645:AF645"/>
    <mergeCell ref="E615:AF615"/>
    <mergeCell ref="C616:D616"/>
    <mergeCell ref="C617:D617"/>
    <mergeCell ref="C625:D625"/>
    <mergeCell ref="E625:AF625"/>
    <mergeCell ref="C626:D626"/>
    <mergeCell ref="C601:D601"/>
    <mergeCell ref="C602:D602"/>
    <mergeCell ref="C606:D606"/>
    <mergeCell ref="C609:D609"/>
    <mergeCell ref="C612:D612"/>
    <mergeCell ref="C615:D615"/>
    <mergeCell ref="E586:AF586"/>
    <mergeCell ref="C587:D587"/>
    <mergeCell ref="C591:D591"/>
    <mergeCell ref="C594:D594"/>
    <mergeCell ref="C597:D597"/>
    <mergeCell ref="C600:D600"/>
    <mergeCell ref="E600:AF600"/>
    <mergeCell ref="C573:D573"/>
    <mergeCell ref="C574:D574"/>
    <mergeCell ref="C577:D577"/>
    <mergeCell ref="C580:D580"/>
    <mergeCell ref="C583:D583"/>
    <mergeCell ref="C586:D586"/>
    <mergeCell ref="C558:D558"/>
    <mergeCell ref="C561:D561"/>
    <mergeCell ref="C565:D565"/>
    <mergeCell ref="C568:D568"/>
    <mergeCell ref="C572:D572"/>
    <mergeCell ref="E572:AF572"/>
    <mergeCell ref="C540:D540"/>
    <mergeCell ref="C544:D544"/>
    <mergeCell ref="C548:D548"/>
    <mergeCell ref="C552:D552"/>
    <mergeCell ref="C556:D556"/>
    <mergeCell ref="C557:D557"/>
    <mergeCell ref="C526:D526"/>
    <mergeCell ref="C530:D530"/>
    <mergeCell ref="C534:D534"/>
    <mergeCell ref="E534:AF534"/>
    <mergeCell ref="C535:D535"/>
    <mergeCell ref="C536:D536"/>
    <mergeCell ref="C512:D512"/>
    <mergeCell ref="E512:AF512"/>
    <mergeCell ref="C513:D513"/>
    <mergeCell ref="C514:D514"/>
    <mergeCell ref="C518:D518"/>
    <mergeCell ref="C522:D522"/>
    <mergeCell ref="C488:D488"/>
    <mergeCell ref="C492:D492"/>
    <mergeCell ref="C496:D496"/>
    <mergeCell ref="C500:D500"/>
    <mergeCell ref="C504:D504"/>
    <mergeCell ref="C508:D508"/>
    <mergeCell ref="C474:D474"/>
    <mergeCell ref="C477:D477"/>
    <mergeCell ref="C480:D480"/>
    <mergeCell ref="C483:D483"/>
    <mergeCell ref="C486:D486"/>
    <mergeCell ref="C487:D487"/>
    <mergeCell ref="C462:D462"/>
    <mergeCell ref="C465:D465"/>
    <mergeCell ref="C468:D468"/>
    <mergeCell ref="E468:AF468"/>
    <mergeCell ref="C469:D469"/>
    <mergeCell ref="C470:D470"/>
    <mergeCell ref="C449:D449"/>
    <mergeCell ref="C453:D453"/>
    <mergeCell ref="E453:AF453"/>
    <mergeCell ref="C454:D454"/>
    <mergeCell ref="C455:D455"/>
    <mergeCell ref="C459:D459"/>
    <mergeCell ref="C431:D431"/>
    <mergeCell ref="C432:D432"/>
    <mergeCell ref="C433:D433"/>
    <mergeCell ref="C437:D437"/>
    <mergeCell ref="C441:D441"/>
    <mergeCell ref="C445:D445"/>
    <mergeCell ref="C408:D408"/>
    <mergeCell ref="C412:D412"/>
    <mergeCell ref="C415:D415"/>
    <mergeCell ref="C419:D419"/>
    <mergeCell ref="C423:D423"/>
    <mergeCell ref="C427:D427"/>
    <mergeCell ref="C391:D391"/>
    <mergeCell ref="C394:D394"/>
    <mergeCell ref="C398:D398"/>
    <mergeCell ref="C402:D402"/>
    <mergeCell ref="C406:D406"/>
    <mergeCell ref="C407:D407"/>
    <mergeCell ref="C380:D380"/>
    <mergeCell ref="C383:D383"/>
    <mergeCell ref="C386:D386"/>
    <mergeCell ref="C389:D389"/>
    <mergeCell ref="E389:V389"/>
    <mergeCell ref="C390:D390"/>
    <mergeCell ref="C364:D364"/>
    <mergeCell ref="C367:D367"/>
    <mergeCell ref="C371:D371"/>
    <mergeCell ref="C372:D372"/>
    <mergeCell ref="C373:D373"/>
    <mergeCell ref="C377:D377"/>
    <mergeCell ref="C347:D347"/>
    <mergeCell ref="C351:D351"/>
    <mergeCell ref="C355:D355"/>
    <mergeCell ref="C359:D359"/>
    <mergeCell ref="C360:D360"/>
    <mergeCell ref="C361:D361"/>
    <mergeCell ref="C330:D330"/>
    <mergeCell ref="C333:AF333"/>
    <mergeCell ref="C334:D334"/>
    <mergeCell ref="C335:D335"/>
    <mergeCell ref="C339:D339"/>
    <mergeCell ref="C343:D343"/>
    <mergeCell ref="C314:D314"/>
    <mergeCell ref="C315:D315"/>
    <mergeCell ref="C316:D316"/>
    <mergeCell ref="C320:D320"/>
    <mergeCell ref="C324:D324"/>
    <mergeCell ref="C327:D327"/>
    <mergeCell ref="C300:D300"/>
    <mergeCell ref="C301:D301"/>
    <mergeCell ref="C302:D302"/>
    <mergeCell ref="C305:D305"/>
    <mergeCell ref="C308:D308"/>
    <mergeCell ref="C311:D311"/>
    <mergeCell ref="C283:D283"/>
    <mergeCell ref="C284:D284"/>
    <mergeCell ref="C288:D288"/>
    <mergeCell ref="C291:D291"/>
    <mergeCell ref="C294:D294"/>
    <mergeCell ref="C297:D297"/>
    <mergeCell ref="C262:D262"/>
    <mergeCell ref="C266:D266"/>
    <mergeCell ref="C270:D270"/>
    <mergeCell ref="C274:D274"/>
    <mergeCell ref="C278:D278"/>
    <mergeCell ref="C282:D282"/>
    <mergeCell ref="C244:D244"/>
    <mergeCell ref="C248:D248"/>
    <mergeCell ref="C252:D252"/>
    <mergeCell ref="C256:D256"/>
    <mergeCell ref="C260:D260"/>
    <mergeCell ref="C261:D261"/>
    <mergeCell ref="C228:D228"/>
    <mergeCell ref="C231:D231"/>
    <mergeCell ref="C235:D235"/>
    <mergeCell ref="C238:D238"/>
    <mergeCell ref="C239:D239"/>
    <mergeCell ref="C240:D240"/>
    <mergeCell ref="C217:D217"/>
    <mergeCell ref="C220:D220"/>
    <mergeCell ref="C223:D223"/>
    <mergeCell ref="C226:D226"/>
    <mergeCell ref="E226:AF226"/>
    <mergeCell ref="C227:D227"/>
    <mergeCell ref="C204:D204"/>
    <mergeCell ref="C208:D208"/>
    <mergeCell ref="E208:AF208"/>
    <mergeCell ref="C209:D209"/>
    <mergeCell ref="C210:D210"/>
    <mergeCell ref="C214:D214"/>
    <mergeCell ref="C180:D180"/>
    <mergeCell ref="C184:D184"/>
    <mergeCell ref="C188:D188"/>
    <mergeCell ref="C192:D192"/>
    <mergeCell ref="C196:D196"/>
    <mergeCell ref="C200:D200"/>
    <mergeCell ref="C168:D168"/>
    <mergeCell ref="C171:D171"/>
    <mergeCell ref="C175:D175"/>
    <mergeCell ref="C178:D178"/>
    <mergeCell ref="E178:V178"/>
    <mergeCell ref="C179:D179"/>
    <mergeCell ref="C155:D155"/>
    <mergeCell ref="C159:D159"/>
    <mergeCell ref="E159:AF159"/>
    <mergeCell ref="C160:D160"/>
    <mergeCell ref="C161:D161"/>
    <mergeCell ref="C165:D165"/>
    <mergeCell ref="C134:D134"/>
    <mergeCell ref="C135:D135"/>
    <mergeCell ref="C139:D139"/>
    <mergeCell ref="C143:D143"/>
    <mergeCell ref="C147:D147"/>
    <mergeCell ref="C151:D151"/>
    <mergeCell ref="C121:D121"/>
    <mergeCell ref="C124:D124"/>
    <mergeCell ref="C127:D127"/>
    <mergeCell ref="C130:D130"/>
    <mergeCell ref="C133:D133"/>
    <mergeCell ref="E133:AF133"/>
    <mergeCell ref="C107:D107"/>
    <mergeCell ref="C111:D111"/>
    <mergeCell ref="C115:D115"/>
    <mergeCell ref="E115:AF115"/>
    <mergeCell ref="C116:D116"/>
    <mergeCell ref="C117:D117"/>
    <mergeCell ref="C96:D96"/>
    <mergeCell ref="C99:D99"/>
    <mergeCell ref="C102:D102"/>
    <mergeCell ref="E102:AF102"/>
    <mergeCell ref="C103:D103"/>
    <mergeCell ref="C104:D104"/>
    <mergeCell ref="C83:D83"/>
    <mergeCell ref="C84:D84"/>
    <mergeCell ref="C85:D85"/>
    <mergeCell ref="C86:D86"/>
    <mergeCell ref="C90:D90"/>
    <mergeCell ref="C93:D93"/>
    <mergeCell ref="C74:D74"/>
    <mergeCell ref="C75:D75"/>
    <mergeCell ref="C79:D79"/>
    <mergeCell ref="C80:D80"/>
    <mergeCell ref="C81:D81"/>
    <mergeCell ref="C82:D82"/>
    <mergeCell ref="C59:D59"/>
    <mergeCell ref="C63:D63"/>
    <mergeCell ref="C67:D67"/>
    <mergeCell ref="C70:D70"/>
    <mergeCell ref="C73:D73"/>
    <mergeCell ref="E73:AF73"/>
    <mergeCell ref="C46:D46"/>
    <mergeCell ref="C50:D50"/>
    <mergeCell ref="C54:D54"/>
    <mergeCell ref="C57:D57"/>
    <mergeCell ref="E57:AF57"/>
    <mergeCell ref="C58:D5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A1:P1"/>
    <mergeCell ref="C3:D3"/>
    <mergeCell ref="C4:D4"/>
    <mergeCell ref="C5:D5"/>
    <mergeCell ref="C6:D6"/>
    <mergeCell ref="E6:AF6"/>
  </mergeCells>
  <conditionalFormatting sqref="B247">
    <cfRule type="containsText" dxfId="354" priority="85" operator="containsText" text="Lowong">
      <formula>NOT(ISERROR(SEARCH("Lowong",B247)))</formula>
    </cfRule>
    <cfRule type="duplicateValues" dxfId="353" priority="86"/>
    <cfRule type="duplicateValues" dxfId="352" priority="87"/>
    <cfRule type="expression" dxfId="351" priority="88">
      <formula>$F247="Pelaksana Tugas"</formula>
    </cfRule>
    <cfRule type="cellIs" dxfId="350" priority="89" operator="equal">
      <formula>"lowong"</formula>
    </cfRule>
    <cfRule type="cellIs" dxfId="349" priority="90" operator="equal">
      <formula>"lowong"</formula>
    </cfRule>
    <cfRule type="containsText" dxfId="348" priority="91" operator="containsText" text="Lowong">
      <formula>NOT(ISERROR(SEARCH("Lowong",B247)))</formula>
    </cfRule>
    <cfRule type="cellIs" dxfId="347" priority="92" operator="equal">
      <formula>"Lowong"</formula>
    </cfRule>
    <cfRule type="cellIs" dxfId="346" priority="93" operator="equal">
      <formula>"lowong"</formula>
    </cfRule>
    <cfRule type="cellIs" dxfId="345" priority="94" operator="equal">
      <formula>"lowong"</formula>
    </cfRule>
    <cfRule type="duplicateValues" dxfId="344" priority="95"/>
    <cfRule type="containsText" dxfId="343" priority="96" operator="containsText" text="Lowong">
      <formula>NOT(ISERROR(SEARCH("Lowong",B247)))</formula>
    </cfRule>
  </conditionalFormatting>
  <conditionalFormatting sqref="E4">
    <cfRule type="duplicateValues" dxfId="342" priority="232"/>
  </conditionalFormatting>
  <conditionalFormatting sqref="E7:E56 E515:E533 E58:E72 E74:E80 E116:E132 E179:E207 E454:E467 E469:E511 E513 E535:E571 E573:E585 E587:E599 E616:E624 E626:E634 E636:E644 E646:E654 E656:E664 E676:E684 E696:E704 E103:E114 E209:E225 E227:E332 E334:E388 E686:E694 E666:E674 E601:E614 E390:E452 E82:E101 E706:E1026 E134:E158 E160:E177">
    <cfRule type="duplicateValues" dxfId="341" priority="355"/>
  </conditionalFormatting>
  <conditionalFormatting sqref="E9">
    <cfRule type="duplicateValues" dxfId="340" priority="320"/>
  </conditionalFormatting>
  <conditionalFormatting sqref="E57 E73 E102 E115 E159 E178 E208 K209:K225 E226 K227:K332 E468 K513:K533 E534 K535:K571 K706:K1026 K7:K56 K58:K72 K74:K101 K103:K114 K116:K132 E133 K134:K158 K160:K177 K179:K207 K334:K388 E389 K390:K452 E453 K454:K467 K469:K511 E512 E572 K573:K585 E586 K587:K599 E600 K601:K614 E615 K616:K624 E625 K626:K634 E635 K636:K644 E645 K646:K654 E655 K656:K664 E665 K666:K674 E675 K676:K684 E685 K686:K694 E695 K696:K704 E705 N706:N1026">
    <cfRule type="cellIs" dxfId="339" priority="207" operator="equal">
      <formula>"2 Tahun 0 bulan &lt;=&gt; 5 tahun 0 bulan"</formula>
    </cfRule>
    <cfRule type="cellIs" dxfId="338" priority="209" operator="between">
      <formula>"2 TAHUN"</formula>
      <formula>"4 TAHUN"</formula>
    </cfRule>
  </conditionalFormatting>
  <conditionalFormatting sqref="E135">
    <cfRule type="duplicateValues" dxfId="337" priority="234"/>
  </conditionalFormatting>
  <conditionalFormatting sqref="E233">
    <cfRule type="cellIs" dxfId="336" priority="184" operator="equal">
      <formula>"lowong"</formula>
    </cfRule>
    <cfRule type="cellIs" dxfId="335" priority="185" operator="equal">
      <formula>"lowong"</formula>
    </cfRule>
    <cfRule type="duplicateValues" dxfId="334" priority="186"/>
    <cfRule type="containsText" dxfId="333" priority="187" operator="containsText" text="Lowong">
      <formula>NOT(ISERROR(SEARCH("Lowong",E233)))</formula>
    </cfRule>
  </conditionalFormatting>
  <conditionalFormatting sqref="E301">
    <cfRule type="duplicateValues" dxfId="332" priority="240"/>
  </conditionalFormatting>
  <conditionalFormatting sqref="E468">
    <cfRule type="duplicateValues" dxfId="331" priority="331"/>
  </conditionalFormatting>
  <conditionalFormatting sqref="E532">
    <cfRule type="duplicateValues" dxfId="330" priority="247"/>
  </conditionalFormatting>
  <conditionalFormatting sqref="E545">
    <cfRule type="duplicateValues" dxfId="329" priority="242"/>
  </conditionalFormatting>
  <conditionalFormatting sqref="E589">
    <cfRule type="cellIs" dxfId="328" priority="188" operator="equal">
      <formula>"lowong"</formula>
    </cfRule>
    <cfRule type="cellIs" dxfId="327" priority="189" operator="equal">
      <formula>"lowong"</formula>
    </cfRule>
    <cfRule type="duplicateValues" dxfId="326" priority="190"/>
    <cfRule type="containsText" dxfId="325" priority="191" operator="containsText" text="Lowong">
      <formula>NOT(ISERROR(SEARCH("Lowong",E589)))</formula>
    </cfRule>
  </conditionalFormatting>
  <conditionalFormatting sqref="E8:F8 F13 F18">
    <cfRule type="duplicateValues" dxfId="324" priority="198"/>
  </conditionalFormatting>
  <conditionalFormatting sqref="E11:F11 F16">
    <cfRule type="duplicateValues" dxfId="323" priority="226"/>
  </conditionalFormatting>
  <conditionalFormatting sqref="E29:F29">
    <cfRule type="duplicateValues" dxfId="322" priority="224"/>
  </conditionalFormatting>
  <conditionalFormatting sqref="E37:F37">
    <cfRule type="duplicateValues" dxfId="321" priority="270"/>
  </conditionalFormatting>
  <conditionalFormatting sqref="E50:F50 F51">
    <cfRule type="duplicateValues" dxfId="320" priority="321"/>
  </conditionalFormatting>
  <conditionalFormatting sqref="E61:F61">
    <cfRule type="duplicateValues" dxfId="319" priority="275"/>
  </conditionalFormatting>
  <conditionalFormatting sqref="E74:F74">
    <cfRule type="duplicateValues" dxfId="318" priority="225"/>
  </conditionalFormatting>
  <conditionalFormatting sqref="E120:F120">
    <cfRule type="duplicateValues" dxfId="317" priority="218"/>
  </conditionalFormatting>
  <conditionalFormatting sqref="E134:F135 F136">
    <cfRule type="duplicateValues" dxfId="316" priority="258"/>
  </conditionalFormatting>
  <conditionalFormatting sqref="E137:F138 F139:F141">
    <cfRule type="duplicateValues" dxfId="315" priority="267"/>
  </conditionalFormatting>
  <conditionalFormatting sqref="E139:F139">
    <cfRule type="duplicateValues" dxfId="314" priority="199"/>
  </conditionalFormatting>
  <conditionalFormatting sqref="E141:F141">
    <cfRule type="duplicateValues" dxfId="313" priority="194"/>
  </conditionalFormatting>
  <conditionalFormatting sqref="E146:F146">
    <cfRule type="duplicateValues" dxfId="312" priority="266"/>
  </conditionalFormatting>
  <conditionalFormatting sqref="E147:F147 F146 F154:F158 F160:F165 F167:F177 F148:F152">
    <cfRule type="duplicateValues" dxfId="311" priority="315"/>
  </conditionalFormatting>
  <conditionalFormatting sqref="E150:F150">
    <cfRule type="duplicateValues" dxfId="310" priority="265"/>
  </conditionalFormatting>
  <conditionalFormatting sqref="E154:F154 F155:F158 F160:F165">
    <cfRule type="duplicateValues" dxfId="309" priority="264"/>
  </conditionalFormatting>
  <conditionalFormatting sqref="E156:F156">
    <cfRule type="duplicateValues" dxfId="308" priority="263"/>
  </conditionalFormatting>
  <conditionalFormatting sqref="E157:F158">
    <cfRule type="duplicateValues" dxfId="307" priority="262"/>
  </conditionalFormatting>
  <conditionalFormatting sqref="E161:F161">
    <cfRule type="duplicateValues" dxfId="306" priority="313"/>
  </conditionalFormatting>
  <conditionalFormatting sqref="E181:F181">
    <cfRule type="duplicateValues" dxfId="305" priority="327"/>
  </conditionalFormatting>
  <conditionalFormatting sqref="E209:F209">
    <cfRule type="duplicateValues" dxfId="304" priority="273"/>
  </conditionalFormatting>
  <conditionalFormatting sqref="E240:F240 F239">
    <cfRule type="duplicateValues" dxfId="303" priority="314"/>
  </conditionalFormatting>
  <conditionalFormatting sqref="E302:F302 F303 F305:F313 F324 F327 F330 F334:F336 F338:F339 F351 F355 F360:F362 F375 F377 F380 F441 F445 F515 F513 F518 F520 F552 F580 F587:F588 F616:F624 F636:F644 F646:F654 F656:F664 F672:F674 F676:F684 F696:F704 F706:F708 F710:F714 F716:F724 F726:F734 E301 F315:F321 F383:F384 F386:F388 F390:F395 F398:F404 F407:F417 F419:F420 F423:F425 F448:F449 F452 F465:F467 F469:F480 F482:F483 F487:F493 F495:F500 F503:F511 F522:F531 F540:F545 F547:F550 F557:F565 F567:F571 F573:F578 F582:F584 F590:F599 F626:F634 F372:F373 F341:F348 F454:F462 F686:F694 F666:F670 F601:F614 F432:F437">
    <cfRule type="duplicateValues" dxfId="302" priority="342"/>
  </conditionalFormatting>
  <conditionalFormatting sqref="E334:F334">
    <cfRule type="duplicateValues" dxfId="301" priority="319"/>
  </conditionalFormatting>
  <conditionalFormatting sqref="E372:F372">
    <cfRule type="duplicateValues" dxfId="300" priority="252"/>
  </conditionalFormatting>
  <conditionalFormatting sqref="E373:F373">
    <cfRule type="duplicateValues" dxfId="299" priority="216"/>
  </conditionalFormatting>
  <conditionalFormatting sqref="E375:F375">
    <cfRule type="duplicateValues" dxfId="298" priority="250"/>
  </conditionalFormatting>
  <conditionalFormatting sqref="E377:F377">
    <cfRule type="duplicateValues" dxfId="297" priority="214"/>
  </conditionalFormatting>
  <conditionalFormatting sqref="E380:F380">
    <cfRule type="duplicateValues" dxfId="296" priority="222"/>
  </conditionalFormatting>
  <conditionalFormatting sqref="E383:F383 F384">
    <cfRule type="duplicateValues" dxfId="295" priority="219"/>
    <cfRule type="duplicateValues" dxfId="294" priority="220"/>
  </conditionalFormatting>
  <conditionalFormatting sqref="E387:F387">
    <cfRule type="duplicateValues" dxfId="293" priority="269"/>
  </conditionalFormatting>
  <conditionalFormatting sqref="E415:F415">
    <cfRule type="duplicateValues" dxfId="292" priority="311"/>
  </conditionalFormatting>
  <conditionalFormatting sqref="E441:F441 F448">
    <cfRule type="duplicateValues" dxfId="291" priority="312"/>
  </conditionalFormatting>
  <conditionalFormatting sqref="E449:F449">
    <cfRule type="duplicateValues" dxfId="290" priority="329"/>
  </conditionalFormatting>
  <conditionalFormatting sqref="E454:F454 F455:F458">
    <cfRule type="duplicateValues" dxfId="289" priority="272"/>
  </conditionalFormatting>
  <conditionalFormatting sqref="E474:F474">
    <cfRule type="duplicateValues" dxfId="288" priority="229"/>
  </conditionalFormatting>
  <conditionalFormatting sqref="E515:F515">
    <cfRule type="duplicateValues" dxfId="287" priority="243"/>
    <cfRule type="duplicateValues" dxfId="286" priority="244"/>
  </conditionalFormatting>
  <conditionalFormatting sqref="E523:F523">
    <cfRule type="duplicateValues" dxfId="285" priority="246"/>
  </conditionalFormatting>
  <conditionalFormatting sqref="E531:F531 F532:F533">
    <cfRule type="duplicateValues" dxfId="284" priority="249"/>
  </conditionalFormatting>
  <conditionalFormatting sqref="E539:F539">
    <cfRule type="duplicateValues" dxfId="283" priority="256"/>
  </conditionalFormatting>
  <conditionalFormatting sqref="E540:F540 F541:F543">
    <cfRule type="duplicateValues" dxfId="282" priority="228"/>
  </conditionalFormatting>
  <conditionalFormatting sqref="E542:F542">
    <cfRule type="duplicateValues" dxfId="281" priority="254"/>
  </conditionalFormatting>
  <conditionalFormatting sqref="E543:F544 F545 E546:F548">
    <cfRule type="duplicateValues" dxfId="280" priority="268"/>
  </conditionalFormatting>
  <conditionalFormatting sqref="E587:F587">
    <cfRule type="duplicateValues" dxfId="279" priority="271"/>
  </conditionalFormatting>
  <conditionalFormatting sqref="E591:F591 F592:F596">
    <cfRule type="duplicateValues" dxfId="278" priority="323"/>
  </conditionalFormatting>
  <conditionalFormatting sqref="E609:F609">
    <cfRule type="duplicateValues" dxfId="277" priority="204"/>
  </conditionalFormatting>
  <conditionalFormatting sqref="E651:F651">
    <cfRule type="duplicateValues" dxfId="276" priority="326"/>
  </conditionalFormatting>
  <conditionalFormatting sqref="E653:F653">
    <cfRule type="duplicateValues" dxfId="275" priority="318"/>
  </conditionalFormatting>
  <conditionalFormatting sqref="E666:F666">
    <cfRule type="duplicateValues" dxfId="274" priority="316"/>
  </conditionalFormatting>
  <conditionalFormatting sqref="E678:F678">
    <cfRule type="duplicateValues" dxfId="273" priority="301"/>
  </conditionalFormatting>
  <conditionalFormatting sqref="E706:F706">
    <cfRule type="duplicateValues" dxfId="272" priority="330"/>
  </conditionalFormatting>
  <conditionalFormatting sqref="E716:F716">
    <cfRule type="duplicateValues" dxfId="271" priority="328"/>
  </conditionalFormatting>
  <conditionalFormatting sqref="E717:F717">
    <cfRule type="duplicateValues" dxfId="270" priority="310"/>
  </conditionalFormatting>
  <conditionalFormatting sqref="E724:F725">
    <cfRule type="duplicateValues" dxfId="269" priority="303"/>
  </conditionalFormatting>
  <conditionalFormatting sqref="E735:F735">
    <cfRule type="duplicateValues" dxfId="268" priority="300"/>
  </conditionalFormatting>
  <conditionalFormatting sqref="E745:F745">
    <cfRule type="duplicateValues" dxfId="267" priority="299"/>
  </conditionalFormatting>
  <conditionalFormatting sqref="E747:F747">
    <cfRule type="duplicateValues" dxfId="266" priority="307"/>
  </conditionalFormatting>
  <conditionalFormatting sqref="E750:F750">
    <cfRule type="duplicateValues" dxfId="265" priority="304"/>
  </conditionalFormatting>
  <conditionalFormatting sqref="E755:F755">
    <cfRule type="duplicateValues" dxfId="264" priority="298"/>
  </conditionalFormatting>
  <conditionalFormatting sqref="E756:F756">
    <cfRule type="duplicateValues" dxfId="263" priority="317"/>
  </conditionalFormatting>
  <conditionalFormatting sqref="E765:F765">
    <cfRule type="duplicateValues" dxfId="262" priority="297"/>
  </conditionalFormatting>
  <conditionalFormatting sqref="E775:F775">
    <cfRule type="duplicateValues" dxfId="261" priority="296"/>
  </conditionalFormatting>
  <conditionalFormatting sqref="E777:F777">
    <cfRule type="duplicateValues" dxfId="260" priority="308"/>
  </conditionalFormatting>
  <conditionalFormatting sqref="E783:F784">
    <cfRule type="duplicateValues" dxfId="259" priority="325"/>
  </conditionalFormatting>
  <conditionalFormatting sqref="E785:F785">
    <cfRule type="duplicateValues" dxfId="258" priority="295"/>
  </conditionalFormatting>
  <conditionalFormatting sqref="E795:F795">
    <cfRule type="duplicateValues" dxfId="257" priority="294"/>
  </conditionalFormatting>
  <conditionalFormatting sqref="E805:F805">
    <cfRule type="duplicateValues" dxfId="256" priority="293"/>
  </conditionalFormatting>
  <conditionalFormatting sqref="E807:F807">
    <cfRule type="duplicateValues" dxfId="255" priority="309"/>
  </conditionalFormatting>
  <conditionalFormatting sqref="E815:F815">
    <cfRule type="duplicateValues" dxfId="254" priority="292"/>
  </conditionalFormatting>
  <conditionalFormatting sqref="E821:F821">
    <cfRule type="duplicateValues" dxfId="253" priority="291"/>
  </conditionalFormatting>
  <conditionalFormatting sqref="E827:F827">
    <cfRule type="duplicateValues" dxfId="252" priority="290"/>
  </conditionalFormatting>
  <conditionalFormatting sqref="E833:F833">
    <cfRule type="duplicateValues" dxfId="251" priority="289"/>
  </conditionalFormatting>
  <conditionalFormatting sqref="E838:F838 E840">
    <cfRule type="duplicateValues" dxfId="250" priority="302"/>
  </conditionalFormatting>
  <conditionalFormatting sqref="E854:F854">
    <cfRule type="duplicateValues" dxfId="249" priority="288"/>
  </conditionalFormatting>
  <conditionalFormatting sqref="E887:F887">
    <cfRule type="duplicateValues" dxfId="248" priority="287"/>
  </conditionalFormatting>
  <conditionalFormatting sqref="E896:F896">
    <cfRule type="duplicateValues" dxfId="247" priority="286"/>
  </conditionalFormatting>
  <conditionalFormatting sqref="E901:F901">
    <cfRule type="duplicateValues" dxfId="246" priority="285"/>
  </conditionalFormatting>
  <conditionalFormatting sqref="E902:F902 F904 F906 F908 F910 F912 F914">
    <cfRule type="duplicateValues" dxfId="245" priority="324"/>
  </conditionalFormatting>
  <conditionalFormatting sqref="E950:F950">
    <cfRule type="duplicateValues" dxfId="244" priority="306"/>
  </conditionalFormatting>
  <conditionalFormatting sqref="E952:F952">
    <cfRule type="duplicateValues" dxfId="243" priority="305"/>
  </conditionalFormatting>
  <conditionalFormatting sqref="E954:F954">
    <cfRule type="duplicateValues" dxfId="242" priority="284"/>
  </conditionalFormatting>
  <conditionalFormatting sqref="E975:F975">
    <cfRule type="duplicateValues" dxfId="241" priority="281"/>
  </conditionalFormatting>
  <conditionalFormatting sqref="E980:F980">
    <cfRule type="duplicateValues" dxfId="240" priority="283"/>
  </conditionalFormatting>
  <conditionalFormatting sqref="E1001:F1001">
    <cfRule type="duplicateValues" dxfId="239" priority="282"/>
  </conditionalFormatting>
  <conditionalFormatting sqref="E1006:F1006">
    <cfRule type="duplicateValues" dxfId="238" priority="274"/>
  </conditionalFormatting>
  <conditionalFormatting sqref="E1:G5 E7:G56 E58:G72 E74:G79 E80 G80 F80:F83 E82:E83 G82:G83 E84:G101 E103:G114 E116:G132 E134:G158 H135:I136 L136:M136 O136:P136 R136:V136 H143:I143 H151 H155:I155 E160:G177 E179:G207 E209:G225 E227:G232 F235 F239:F241 F243:F250 F252 F256 F261:F270 F274 F278:F281 F283:F288 F290:F299 F301">
    <cfRule type="cellIs" dxfId="237" priority="193" operator="equal">
      <formula>"lowong"</formula>
    </cfRule>
  </conditionalFormatting>
  <conditionalFormatting sqref="E7:G56 E58:G72 E74:G79 G80 F80:F83 G82:G83 E84:G101 E103:G114 E116:G132 E134:G158 H135:I136 H143:I143 H151 H155:I155 E160:G177 E179:G207 E209:G225 E227:G232 F235 F239:F241 F243:F250 F252 F256 F261:F270 F274 F278:F281 F283:F288 F290:F332 E298:E332 G298:G332 E334:G388 E390:G452 E454:G467 E469:G511 E513:G513 E515:G533 E535:G571 E573:G585 E587:G588 E1:G5 E80 E82:E83 L136:M136 O136:P136 R136:V136">
    <cfRule type="cellIs" dxfId="236" priority="192" operator="equal">
      <formula>"lowong"</formula>
    </cfRule>
  </conditionalFormatting>
  <conditionalFormatting sqref="E234:G296 H288:J288 F301">
    <cfRule type="cellIs" dxfId="235" priority="231" operator="equal">
      <formula>"Lowong"</formula>
    </cfRule>
    <cfRule type="cellIs" dxfId="234" priority="237" operator="equal">
      <formula>"lowong"</formula>
    </cfRule>
  </conditionalFormatting>
  <conditionalFormatting sqref="E298:G332 H408:I408 H454:J454 H483:I483 I492:J492 H504:J504 J513 H518:J518 H522:J522 H530:J530 H535:J537 H548:J548 H552:J552 E587:G588 F666:F670 F672:F674 F706:F708 F710:F714 F716:F724 F726:F734 E797:G1048576 E706:E796">
    <cfRule type="cellIs" dxfId="233" priority="211" operator="equal">
      <formula>"Lowong"</formula>
    </cfRule>
  </conditionalFormatting>
  <conditionalFormatting sqref="E334:G388 E390:G452 E454:G467 E469:G511 E513:G513 E515:G533 E535:G571 E573:G585 E601:G614 E616:G624 E626:G634 E636:G644 E646:G654 E656:G664 E666:G674 E676:G684 E686:G694 E696:G704 E7:E56 E58:E72 E74:E101 E103:E114 E116:E132 E134:E158 E160:E177 E179:E207 E209:E225 E227:E332 E587:E599">
    <cfRule type="cellIs" dxfId="232" priority="183" operator="equal">
      <formula>"Lowong"</formula>
    </cfRule>
  </conditionalFormatting>
  <conditionalFormatting sqref="E590:G596 E598:G599 E797:G1048576 E601:G614 E616:G624 H626:J626 E626:G634 E636:G644 E646:G654 E656:G664 E666:G674 E676:G684 E686:G694 E696:G704 E706:G795 H736:I736 H739:I739 H786:J786 E796:F796 E597 G597:J597">
    <cfRule type="cellIs" dxfId="231" priority="201" operator="equal">
      <formula>"Pelaksana tugas"</formula>
    </cfRule>
  </conditionalFormatting>
  <conditionalFormatting sqref="E590:G596 E597:J597 E598:G599 E601:G614 E616:G624 H626:J626 E626:G634 E636:G644 E646:G654 E656:G664 E666:G674 E676:G684 E686:G694 E696:G704 E706:G795 H736:I736 H739:I739 H786:J786 E796:F796 E797:G1048576">
    <cfRule type="cellIs" dxfId="230" priority="202" operator="equal">
      <formula>"lowong"</formula>
    </cfRule>
    <cfRule type="cellIs" dxfId="229" priority="203" operator="equal">
      <formula>"lowong"</formula>
    </cfRule>
  </conditionalFormatting>
  <conditionalFormatting sqref="E590:G596 F597:J597 E598:G599 H626:J626 E706:G795 H736:I736 H739:I739 H786:J786 E796:F796">
    <cfRule type="cellIs" dxfId="228" priority="200" operator="equal">
      <formula>"Lowong"</formula>
    </cfRule>
  </conditionalFormatting>
  <conditionalFormatting sqref="E4:I5 E7:I28 F29:F37 E29 G29:J29 E74:I79 E80 G80:I80 E82:E83 G82:I83 E84:I101 E103:I114 E116:I132 E134:I141 E154 E174 J209:K209 J221:K225 H505:I511 E513:I513 F515 E590:I596 E598:I599 E898:J1026 E57 E73 E102 E115 E159 E178 E208 E226 K227:K259 E468 K513:K533 E534 K535:K541 K706:K1026 M837:M1026">
    <cfRule type="containsText" dxfId="227" priority="197" operator="containsText" text="Lowong">
      <formula>NOT(ISERROR(SEARCH("Lowong",E4)))</formula>
    </cfRule>
  </conditionalFormatting>
  <conditionalFormatting sqref="E148:I158 E160:I177 E179:I207 E209:I225 E227:I232 F235 F239:F241 F243:F250 F252 F256 F261:F270 F274 F278:F281 F283:F288 F290:F299 F301">
    <cfRule type="containsText" dxfId="226" priority="210" operator="containsText" text="Lowong">
      <formula>NOT(ISERROR(SEARCH("Lowong",E148)))</formula>
    </cfRule>
  </conditionalFormatting>
  <conditionalFormatting sqref="E234:I259 E260:K296 F301 E298:K300 E378:I379 E399:I452 G454:J454 E454:F467 G455:I467 H475:I491 G475:G495 E475:F511 H492:J492 G497:G511 H504:J504 J513:J514 E543:I544 H546:I551 G546:G559 E546:F571 J548 H552:J552 G561:G571 E573:G576 E578:I585 E601:K601 E602:I602 E603:J603 E604:I608 E627:J634 E706:I795 I63:K63 I67:K67 J84:K84 K85 K147 K152 K155:K158 J161:K161 J211:K211 K297 K301:K332 K334:K358 K360:K370 K390:K397 K399:K405 K407:K430 K432:K452 K454:K467 K469:K485 K487:K511 K543:K555 K557:K571 K573:K576 K578:K585 K587:K599 K602:K603 J604:K604 J597 J706:J835 E796:F796 E797:I897 E30:I41 E42:J42 E43:I56 E58:H72 F74:F83 F85:F101 F103:F109 F111:F114 F116:F118 F121:F130 H142:I143 E142:G146 E147:H147 F148:F152 F154:F158 F160:F165 F167:F177 I58:I62 I64:I66 I68:I72 H144:H146 I144:I147 J227:J257 J259 J302:J315 J317 J360 J396 J463 H493:I503 H553:I571 H573:J573 H574:I576 J581 J605:J608 J696:J700 J702:J704 J837:J897 M740:M835 M706:M738 M67 M63 M84 M147 M209 M211 M220:M225 M227:M231 M233:M315 M317 M360 M398 M573 M577 M581 M601 M603:M614 M616:M624 M636:M644 M646:M654 M656:M664 M666:M674 M676:M684 M686:M694 M696:M700 M702:M704">
    <cfRule type="containsText" dxfId="225" priority="322" operator="containsText" text="Lowong">
      <formula>NOT(ISERROR(SEARCH("Lowong",E30)))</formula>
    </cfRule>
  </conditionalFormatting>
  <conditionalFormatting sqref="E301:I332 E334:I371 F372:F373 F375 F383:F384 F386:F388 F390:F395 E398:K398 F399:F404 F407:F417 F419:F420 F423:F425 F432:F437 F441 F445 F448:F449 F452 F454:F462 F465:F467 F469:F480 F482:F483 F487:F493 F495:F500 F503:F511 F518 F520 F522:F531 F547:F550 F552 F557:F565 F567:F571 F573:F578 E577 G577:K577 F580 F582:F584 E587:I588 F590:F599 F601:F614 F616:F624 F626:F634 E636:K644 E646:K654 E656:K664 F666:F670 F672:F674 E676:K684 E686:K694 E696:I704 F706:F708 F710:F714 F716:F724 F726:F734">
    <cfRule type="containsText" dxfId="224" priority="239" operator="containsText" text="Lowong">
      <formula>NOT(ISERROR(SEARCH("Lowong",E301)))</formula>
    </cfRule>
  </conditionalFormatting>
  <conditionalFormatting sqref="E381:I388 E390:I397">
    <cfRule type="containsText" dxfId="223" priority="221" operator="containsText" text="Lowong">
      <formula>NOT(ISERROR(SEARCH("Lowong",E381)))</formula>
    </cfRule>
  </conditionalFormatting>
  <conditionalFormatting sqref="E469:I474">
    <cfRule type="containsText" dxfId="222" priority="230" operator="containsText" text="Lowong">
      <formula>NOT(ISERROR(SEARCH("Lowong",E469)))</formula>
    </cfRule>
  </conditionalFormatting>
  <conditionalFormatting sqref="E515:I529 J518 J522 E530:J530 E531:I533 E535:J537">
    <cfRule type="containsText" dxfId="221" priority="245" operator="containsText" text="Lowong">
      <formula>NOT(ISERROR(SEARCH("Lowong",E515)))</formula>
    </cfRule>
  </conditionalFormatting>
  <conditionalFormatting sqref="E377:J377">
    <cfRule type="containsText" dxfId="220" priority="215" operator="containsText" text="Lowong">
      <formula>NOT(ISERROR(SEARCH("Lowong",E377)))</formula>
    </cfRule>
  </conditionalFormatting>
  <conditionalFormatting sqref="E380:J380">
    <cfRule type="containsText" dxfId="219" priority="223" operator="containsText" text="Lowong">
      <formula>NOT(ISERROR(SEARCH("Lowong",E380)))</formula>
    </cfRule>
  </conditionalFormatting>
  <conditionalFormatting sqref="E539:J541 F542:F545">
    <cfRule type="containsText" dxfId="218" priority="227" operator="containsText" text="Lowong">
      <formula>NOT(ISERROR(SEARCH("Lowong",E539)))</formula>
    </cfRule>
  </conditionalFormatting>
  <conditionalFormatting sqref="E545:J545">
    <cfRule type="containsText" dxfId="217" priority="241" operator="containsText" text="Lowong">
      <formula>NOT(ISERROR(SEARCH("Lowong",E545)))</formula>
    </cfRule>
  </conditionalFormatting>
  <conditionalFormatting sqref="E609:J614 E616:J624 E626:J626">
    <cfRule type="containsText" dxfId="216" priority="205" operator="containsText" text="Lowong">
      <formula>NOT(ISERROR(SEARCH("Lowong",E609)))</formula>
    </cfRule>
  </conditionalFormatting>
  <conditionalFormatting sqref="E372:K372 E373:I376">
    <cfRule type="containsText" dxfId="215" priority="217" operator="containsText" text="Lowong">
      <formula>NOT(ISERROR(SEARCH("Lowong",E372)))</formula>
    </cfRule>
  </conditionalFormatting>
  <conditionalFormatting sqref="E542:K542 M542">
    <cfRule type="containsText" dxfId="214" priority="255" operator="containsText" text="Lowong">
      <formula>NOT(ISERROR(SEARCH("Lowong",E542)))</formula>
    </cfRule>
  </conditionalFormatting>
  <conditionalFormatting sqref="E666:K674 E133 K605:K614 E615 K616:K624 E625 K626:K634 E635 E645 E655 E665 E675 E685 E695 K696:K704 E705">
    <cfRule type="containsText" dxfId="213" priority="259" operator="containsText" text="Lowong">
      <formula>NOT(ISERROR(SEARCH("Lowong",E133)))</formula>
    </cfRule>
  </conditionalFormatting>
  <conditionalFormatting sqref="F7:F18">
    <cfRule type="containsText" dxfId="212" priority="126" operator="containsText" text="Lowong">
      <formula>NOT(ISERROR(SEARCH("Lowong",F7)))</formula>
    </cfRule>
    <cfRule type="duplicateValues" dxfId="211" priority="127"/>
  </conditionalFormatting>
  <conditionalFormatting sqref="F9 F14">
    <cfRule type="duplicateValues" dxfId="210" priority="196"/>
  </conditionalFormatting>
  <conditionalFormatting sqref="F20:F21">
    <cfRule type="containsText" dxfId="209" priority="123" operator="containsText" text="Lowong">
      <formula>NOT(ISERROR(SEARCH("Lowong",F20)))</formula>
    </cfRule>
    <cfRule type="duplicateValues" dxfId="208" priority="124"/>
    <cfRule type="duplicateValues" dxfId="207" priority="125"/>
  </conditionalFormatting>
  <conditionalFormatting sqref="F23:F37">
    <cfRule type="containsText" dxfId="206" priority="120" operator="containsText" text="Lowong">
      <formula>NOT(ISERROR(SEARCH("Lowong",F23)))</formula>
    </cfRule>
    <cfRule type="duplicateValues" dxfId="205" priority="121"/>
    <cfRule type="duplicateValues" dxfId="204" priority="122"/>
  </conditionalFormatting>
  <conditionalFormatting sqref="F41:F44 F46:F47 F49:F51 F53:F56 F58:F65 F67:F71 F74:F83 F85:F101 F103:F109 F111:F114 F116:F118 F121:F130">
    <cfRule type="containsText" dxfId="203" priority="169" operator="containsText" text="Lowong">
      <formula>NOT(ISERROR(SEARCH("Lowong",F41)))</formula>
    </cfRule>
  </conditionalFormatting>
  <conditionalFormatting sqref="F116:F118 F41:F44 F46:F47 F49:F51 F53:F56 F58:F65 F67:F71 F103:F109 F111:F114 F121:F130 F74:F83 F85:F101">
    <cfRule type="duplicateValues" dxfId="202" priority="170"/>
  </conditionalFormatting>
  <conditionalFormatting sqref="F117">
    <cfRule type="duplicateValues" dxfId="201" priority="43"/>
  </conditionalFormatting>
  <conditionalFormatting sqref="F134:F136">
    <cfRule type="duplicateValues" dxfId="200" priority="119"/>
  </conditionalFormatting>
  <conditionalFormatting sqref="F134:F141">
    <cfRule type="containsText" dxfId="199" priority="115" operator="containsText" text="Lowong">
      <formula>NOT(ISERROR(SEARCH("Lowong",F134)))</formula>
    </cfRule>
  </conditionalFormatting>
  <conditionalFormatting sqref="F135:F136">
    <cfRule type="duplicateValues" dxfId="198" priority="233"/>
  </conditionalFormatting>
  <conditionalFormatting sqref="F137:F141">
    <cfRule type="duplicateValues" dxfId="197" priority="116"/>
    <cfRule type="duplicateValues" dxfId="196" priority="117"/>
    <cfRule type="duplicateValues" dxfId="195" priority="118"/>
  </conditionalFormatting>
  <conditionalFormatting sqref="F143:F145">
    <cfRule type="duplicateValues" dxfId="194" priority="110"/>
    <cfRule type="duplicateValues" dxfId="193" priority="111"/>
    <cfRule type="duplicateValues" dxfId="192" priority="112"/>
    <cfRule type="duplicateValues" dxfId="191" priority="113"/>
    <cfRule type="duplicateValues" dxfId="190" priority="114"/>
  </conditionalFormatting>
  <conditionalFormatting sqref="F143:F152">
    <cfRule type="containsText" dxfId="189" priority="104" operator="containsText" text="Lowong">
      <formula>NOT(ISERROR(SEARCH("Lowong",F143)))</formula>
    </cfRule>
  </conditionalFormatting>
  <conditionalFormatting sqref="F146">
    <cfRule type="duplicateValues" dxfId="188" priority="105"/>
    <cfRule type="duplicateValues" dxfId="187" priority="106"/>
    <cfRule type="duplicateValues" dxfId="186" priority="107"/>
    <cfRule type="duplicateValues" dxfId="185" priority="108"/>
    <cfRule type="duplicateValues" dxfId="184" priority="109"/>
  </conditionalFormatting>
  <conditionalFormatting sqref="F154:F158 F160:F165 F167:F177 F146:F152">
    <cfRule type="duplicateValues" dxfId="183" priority="168"/>
  </conditionalFormatting>
  <conditionalFormatting sqref="F154:F158 F160:F165 F167:F177">
    <cfRule type="containsText" dxfId="182" priority="167" operator="containsText" text="Lowong">
      <formula>NOT(ISERROR(SEARCH("Lowong",F154)))</formula>
    </cfRule>
  </conditionalFormatting>
  <conditionalFormatting sqref="F167">
    <cfRule type="duplicateValues" dxfId="181" priority="103"/>
  </conditionalFormatting>
  <conditionalFormatting sqref="F179">
    <cfRule type="duplicateValues" dxfId="180" priority="165"/>
    <cfRule type="duplicateValues" dxfId="179" priority="166"/>
  </conditionalFormatting>
  <conditionalFormatting sqref="F179:F185 F187:F188 F199:F207 F209:F220 F222:F224 F227:F231 F235 F239:F241 F243:F250 F252 F261:F270 F283:F288 F290:F299">
    <cfRule type="containsText" dxfId="178" priority="162" operator="containsText" text="Lowong">
      <formula>NOT(ISERROR(SEARCH("Lowong",F179)))</formula>
    </cfRule>
  </conditionalFormatting>
  <conditionalFormatting sqref="F190:F193">
    <cfRule type="containsText" dxfId="177" priority="100" operator="containsText" text="Lowong">
      <formula>NOT(ISERROR(SEARCH("Lowong",F190)))</formula>
    </cfRule>
    <cfRule type="duplicateValues" dxfId="176" priority="101"/>
    <cfRule type="duplicateValues" dxfId="175" priority="102"/>
  </conditionalFormatting>
  <conditionalFormatting sqref="F195:F197">
    <cfRule type="containsText" dxfId="174" priority="97" operator="containsText" text="Lowong">
      <formula>NOT(ISERROR(SEARCH("Lowong",F195)))</formula>
    </cfRule>
    <cfRule type="duplicateValues" dxfId="173" priority="98"/>
    <cfRule type="duplicateValues" dxfId="172" priority="99"/>
  </conditionalFormatting>
  <conditionalFormatting sqref="F196 F227:F231 F235 F252 F256 F274 F179:F185 F187:F188 F199:F207 F209:F220 F222:F224 F239:F241 F243:F250 F261:F270 F278:F281 F283:F288 F290:F299 F301">
    <cfRule type="duplicateValues" dxfId="171" priority="163"/>
    <cfRule type="duplicateValues" dxfId="170" priority="164"/>
  </conditionalFormatting>
  <conditionalFormatting sqref="F254:F256">
    <cfRule type="containsText" dxfId="169" priority="79" operator="containsText" text="Lowong">
      <formula>NOT(ISERROR(SEARCH("Lowong",F254)))</formula>
    </cfRule>
    <cfRule type="duplicateValues" dxfId="168" priority="80"/>
    <cfRule type="duplicateValues" dxfId="167" priority="81"/>
    <cfRule type="cellIs" dxfId="166" priority="82" operator="equal">
      <formula>"lowong"</formula>
    </cfRule>
    <cfRule type="cellIs" dxfId="165" priority="83" operator="equal">
      <formula>"lowong"</formula>
    </cfRule>
    <cfRule type="containsText" dxfId="164" priority="84" operator="containsText" text="Lowong">
      <formula>NOT(ISERROR(SEARCH("Lowong",F254)))</formula>
    </cfRule>
  </conditionalFormatting>
  <conditionalFormatting sqref="F272:F277">
    <cfRule type="containsText" dxfId="163" priority="73" operator="containsText" text="Lowong">
      <formula>NOT(ISERROR(SEARCH("Lowong",F272)))</formula>
    </cfRule>
    <cfRule type="duplicateValues" dxfId="162" priority="74"/>
    <cfRule type="duplicateValues" dxfId="161" priority="75"/>
    <cfRule type="cellIs" dxfId="160" priority="76" operator="equal">
      <formula>"lowong"</formula>
    </cfRule>
    <cfRule type="cellIs" dxfId="159" priority="77" operator="equal">
      <formula>"lowong"</formula>
    </cfRule>
  </conditionalFormatting>
  <conditionalFormatting sqref="F272:F281">
    <cfRule type="containsText" dxfId="158" priority="78" operator="containsText" text="Lowong">
      <formula>NOT(ISERROR(SEARCH("Lowong",F272)))</formula>
    </cfRule>
  </conditionalFormatting>
  <conditionalFormatting sqref="F301 E234:G296 H288:J288">
    <cfRule type="cellIs" dxfId="157" priority="236" operator="equal">
      <formula>"lowong"</formula>
    </cfRule>
  </conditionalFormatting>
  <conditionalFormatting sqref="F301">
    <cfRule type="duplicateValues" dxfId="156" priority="238"/>
  </conditionalFormatting>
  <conditionalFormatting sqref="F301:F303 F305:F313 F315:F321 F324 F327 F330 F334:F336 F338:F339 F341:F348 F351 F355 F360:F362 F372:F373 F375 F377 F380 F383:F384 F386:F388 F390:F395 F398:F404 F407:F417 F419:F420 F423:F425 F432:F437 F441 F445 F448:F449 F452 F454:F462 F465:F467 F469:F480 F482:F483 F487:F493 F495:F500 F503:F511 F518 F520 F522:F531 F540:F545 F547:F550 F552 F557:F565 F567:F571 F573:F578 F580 F582:F584 F587:F588 F590:F596 E597:I597 F598:F599 F601:F614 F616:F624 F626:F634 F636:F644 F646:F654 F656:F664 F666:F670 F672:F674 F676:F684 F686:F694 F696:F704 F706:F708 F710:F714 F716:F724 F726:F734">
    <cfRule type="containsText" dxfId="155" priority="161" operator="containsText" text="Lowong">
      <formula>NOT(ISERROR(SEARCH("Lowong",E301)))</formula>
    </cfRule>
  </conditionalFormatting>
  <conditionalFormatting sqref="F302:F303 F305:F313 F315:F321 F324 F327 F330 F334:F336 F338:F339 F341:F348 F351 F355 F360:F362 F372:F373 F375 F377 F380 F383:F384 F386:F388 F390:F395 F398:F404 F407:F417 F419:F420 F423:F425 F432:F437 F441 F445 F448:F449 F452 F454:F462 F465:F467 F469:F480 F482:F483 F487:F493 F495:F500 F503:F511 F513 F515 F518 F520 F522:F531 F540:F545 F547:F550 F552 F557:F565 F567:F571 F573:F578 F580 F582:F584 F587:F588 F590:F599 F601:F614 F616:F624 F626:F634 F636:F644 F646:F654 F656:F664 F666:F670 F672:F674 F676:F684 F686:F694 F696:F704 F706:F708 F710:F714 F716:F724 F726:F734">
    <cfRule type="cellIs" dxfId="154" priority="160" operator="equal">
      <formula>"lowong"</formula>
    </cfRule>
  </conditionalFormatting>
  <conditionalFormatting sqref="F302:F303 F305:F313 F315:F321 F324 F327 F330 F334:F336 F338:F339 F341:F348 F351 F355 F360:F362 F372:F373 F375 F377 F380 F383:F384 F386:F388 F390:F395 F398:F404 F407:F417 F419:F420 F423:F425 F432:F437 F454:F462 F465:F467 F469:F480 F482:F483 F487:F493 F495:F500 F503:F511 F513 F515 F518 F520 F522:F531 F540:F545 F547:F550 F552 F557:F565 F567:F571 F573:F578 F580 F582:F584 F587:F588 F601:F614 F616:F624 F626:F634 F636:F644 F646:F654 F656:F664 F666:F670 F672:F674 F676:F684 F686:F694 F696:F704 F706:F708 F710:F714 F716:F724 F726:F734">
    <cfRule type="containsText" dxfId="153" priority="158" operator="containsText" text="Lowong">
      <formula>NOT(ISERROR(SEARCH("Lowong",F302)))</formula>
    </cfRule>
  </conditionalFormatting>
  <conditionalFormatting sqref="F302:F303 F305:F313 F324 F327 F330 F334:F336 F338:F339 F351 F355 F360:F362 F375 F377 F380 F441 F445 F515 F513 F518 F520 F552 F580 F587:F588 F616:F624 F636:F644 F646:F654 F656:F664 F672:F674 F676:F684 F696:F704 F706:F708 F710:F714 F716:F724 F726:F734 F315:F321 F383:F384 F386:F388 F390:F395 F398:F404 F407:F417 F419:F420 F423:F425 F448:F449 F452 F465:F467 F469:F480 F482:F483 F487:F493 F495:F500 F503:F511 F522:F531 F540:F545 F547:F550 F557:F565 F567:F571 F573:F578 F582:F584 F590:F599 F626:F634 F372:F373 F341:F348 F454:F462 F686:F694 F666:F670 F601:F614 F432:F437">
    <cfRule type="duplicateValues" dxfId="152" priority="343"/>
    <cfRule type="duplicateValues" dxfId="151" priority="344"/>
  </conditionalFormatting>
  <conditionalFormatting sqref="F372">
    <cfRule type="duplicateValues" dxfId="150" priority="26"/>
  </conditionalFormatting>
  <conditionalFormatting sqref="F380">
    <cfRule type="duplicateValues" dxfId="149" priority="181"/>
    <cfRule type="containsText" dxfId="148" priority="182" operator="containsText" text="Lowong">
      <formula>NOT(ISERROR(SEARCH("Lowong",F380)))</formula>
    </cfRule>
  </conditionalFormatting>
  <conditionalFormatting sqref="F427:F429">
    <cfRule type="containsText" dxfId="147" priority="66" operator="containsText" text="Lowong">
      <formula>NOT(ISERROR(SEARCH("Lowong",F427)))</formula>
    </cfRule>
    <cfRule type="cellIs" dxfId="146" priority="67" operator="equal">
      <formula>"lowong"</formula>
    </cfRule>
    <cfRule type="cellIs" dxfId="145" priority="68" operator="equal">
      <formula>"lowong"</formula>
    </cfRule>
    <cfRule type="containsText" dxfId="144" priority="69" operator="containsText" text="Lowong">
      <formula>NOT(ISERROR(SEARCH("Lowong",F427)))</formula>
    </cfRule>
    <cfRule type="duplicateValues" dxfId="143" priority="70"/>
    <cfRule type="duplicateValues" dxfId="142" priority="71"/>
    <cfRule type="duplicateValues" dxfId="141" priority="72"/>
  </conditionalFormatting>
  <conditionalFormatting sqref="F439:F452">
    <cfRule type="containsText" dxfId="140" priority="59" operator="containsText" text="Lowong">
      <formula>NOT(ISERROR(SEARCH("Lowong",F439)))</formula>
    </cfRule>
    <cfRule type="cellIs" dxfId="139" priority="60" operator="equal">
      <formula>"lowong"</formula>
    </cfRule>
    <cfRule type="cellIs" dxfId="138" priority="61" operator="equal">
      <formula>"lowong"</formula>
    </cfRule>
    <cfRule type="containsText" dxfId="137" priority="62" operator="containsText" text="Lowong">
      <formula>NOT(ISERROR(SEARCH("Lowong",F439)))</formula>
    </cfRule>
    <cfRule type="duplicateValues" dxfId="136" priority="63"/>
    <cfRule type="duplicateValues" dxfId="135" priority="64"/>
    <cfRule type="duplicateValues" dxfId="134" priority="65"/>
  </conditionalFormatting>
  <conditionalFormatting sqref="F441 F445 F448:F449 F452 F590:F599 F302:F303 F305:F313 F315:F321 F324 F327 F330 F334:F336 F338:F339 F341:F348 F351 F355 F360:F362 F372:F373 F375 F377 F380 F383:F384 F386:F388 F390:F395 F398:F404 F407:F417 F419:F420 F423:F425 F432:F437 F454:F462 F465:F467 F469:F480 F482:F483 F487:F493 F495:F500 F503:F511 F513 F515 F518 F520 F522:F531 F540:F545 F547:F550 F552 F557:F565 F567:F571 F573:F578 F580 F582:F584 F587:F588 F601:F614 F616:F624 F626:F634 F636:F644 F646:F654 F656:F664 F666:F670 F672:F674 F676:F684 F686:F694 F696:F704 F706:F708 F710:F714 F716:F724 F726:F734">
    <cfRule type="cellIs" dxfId="133" priority="159" operator="equal">
      <formula>"lowong"</formula>
    </cfRule>
  </conditionalFormatting>
  <conditionalFormatting sqref="F535:F537">
    <cfRule type="duplicateValues" dxfId="132" priority="58"/>
  </conditionalFormatting>
  <conditionalFormatting sqref="F590:F596 F601:F614 F616:F624 F626:F634 F636:F644 F646:F654 F656:F664 F666:F670 F672:F674 F676:F684 F686:F694 F696:F704 F706:F708 F710:F714 F716:F724 F726:F734 H408:I408 H454:J454 H483:I483 I492:J492 H504:J504 J513 H518:J518 H522:J522 H530:J530 H535:J537 H548:J548 H552:J552">
    <cfRule type="cellIs" dxfId="131" priority="212" operator="equal">
      <formula>"lowong"</formula>
    </cfRule>
  </conditionalFormatting>
  <conditionalFormatting sqref="F590:F599">
    <cfRule type="containsText" dxfId="130" priority="54" operator="containsText" text="Lowong">
      <formula>NOT(ISERROR(SEARCH("Lowong",F590)))</formula>
    </cfRule>
  </conditionalFormatting>
  <conditionalFormatting sqref="F599">
    <cfRule type="containsText" dxfId="129" priority="45" operator="containsText" text="Lowong">
      <formula>NOT(ISERROR(SEARCH("Lowong",F599)))</formula>
    </cfRule>
    <cfRule type="cellIs" dxfId="128" priority="46" operator="equal">
      <formula>"lowong"</formula>
    </cfRule>
    <cfRule type="cellIs" dxfId="127" priority="47" operator="equal">
      <formula>"lowong"</formula>
    </cfRule>
    <cfRule type="containsText" dxfId="126" priority="48" operator="containsText" text="Lowong">
      <formula>NOT(ISERROR(SEARCH("Lowong",F599)))</formula>
    </cfRule>
    <cfRule type="duplicateValues" dxfId="125" priority="49"/>
    <cfRule type="duplicateValues" dxfId="124" priority="50"/>
    <cfRule type="duplicateValues" dxfId="123" priority="51"/>
    <cfRule type="cellIs" dxfId="122" priority="52" operator="equal">
      <formula>"lowong"</formula>
    </cfRule>
    <cfRule type="cellIs" dxfId="121" priority="53" operator="equal">
      <formula>"lowong"</formula>
    </cfRule>
    <cfRule type="duplicateValues" dxfId="120" priority="55"/>
    <cfRule type="duplicateValues" dxfId="119" priority="56"/>
    <cfRule type="duplicateValues" dxfId="118" priority="57"/>
  </conditionalFormatting>
  <conditionalFormatting sqref="F736:F738 F740:F744 F746:F754 F756:F759 F761:F764 F766:F768 F770:F774 F776:F784 F786:F788 F790:F794 F796:F802 F806:F811 F813:F814 F816:F817 F819:F820 F822:F826 F828 F830:F832 F838:F840 F843 F845:F847 F850 F855 F857:F859 F861:F863 F867 F869 F875 F879 F881 F883 F885 F888:F890 F892:F893 F897 F899 F903 F905 F907 F909 F911 F913 F915 F917 F919 F921 F923 F925 F927 F929 F931 F933 F935">
    <cfRule type="containsText" dxfId="117" priority="147" operator="containsText" text="Lowong">
      <formula>NOT(ISERROR(SEARCH("Lowong",F736)))</formula>
    </cfRule>
    <cfRule type="cellIs" dxfId="116" priority="150" operator="equal">
      <formula>"lowong"</formula>
    </cfRule>
    <cfRule type="cellIs" dxfId="115" priority="151" operator="equal">
      <formula>"lowong"</formula>
    </cfRule>
    <cfRule type="containsText" dxfId="114" priority="152" operator="containsText" text="Lowong">
      <formula>NOT(ISERROR(SEARCH("Lowong",F736)))</formula>
    </cfRule>
    <cfRule type="cellIs" dxfId="113" priority="153" operator="equal">
      <formula>"Lowong"</formula>
    </cfRule>
    <cfRule type="cellIs" dxfId="112" priority="154" operator="equal">
      <formula>"lowong"</formula>
    </cfRule>
    <cfRule type="cellIs" dxfId="111" priority="155" operator="equal">
      <formula>"lowong"</formula>
    </cfRule>
    <cfRule type="containsText" dxfId="110" priority="156" operator="containsText" text="Lowong">
      <formula>NOT(ISERROR(SEARCH("Lowong",F736)))</formula>
    </cfRule>
  </conditionalFormatting>
  <conditionalFormatting sqref="F740:F744 F746:F754 F756:F759 F761:F764 F766:F768 F770:F774 F786:F788 F790:F794 F796:F802 F806:F811 F816:F817 F819:F820 F822:F826 F828 F830:F832 F838:F840 F843 F845:F847 F850 F855 F857:F859 F861:F863 F867 F869 F875 F879 F881 F883 F885 F897 F899 F903 F905 F907 F909 F911 F913 F915 F917 F919 F921 F923 F925 F927 F929 F931 F933 F935 F736:F738 F813:F814 F892:F893 F888:F890 F776:F784">
    <cfRule type="duplicateValues" dxfId="109" priority="148"/>
    <cfRule type="duplicateValues" dxfId="108" priority="149"/>
    <cfRule type="duplicateValues" dxfId="107" priority="157"/>
  </conditionalFormatting>
  <conditionalFormatting sqref="F865">
    <cfRule type="containsText" dxfId="106" priority="1" operator="containsText" text="Lowong">
      <formula>NOT(ISERROR(SEARCH("Lowong",F865)))</formula>
    </cfRule>
    <cfRule type="duplicateValues" dxfId="105" priority="2"/>
    <cfRule type="duplicateValues" dxfId="104" priority="3"/>
    <cfRule type="cellIs" dxfId="103" priority="4" operator="equal">
      <formula>"lowong"</formula>
    </cfRule>
    <cfRule type="cellIs" dxfId="102" priority="5" operator="equal">
      <formula>"lowong"</formula>
    </cfRule>
    <cfRule type="containsText" dxfId="101" priority="6" operator="containsText" text="Lowong">
      <formula>NOT(ISERROR(SEARCH("Lowong",F865)))</formula>
    </cfRule>
    <cfRule type="cellIs" dxfId="100" priority="7" operator="equal">
      <formula>"Lowong"</formula>
    </cfRule>
    <cfRule type="cellIs" dxfId="99" priority="8" operator="equal">
      <formula>"lowong"</formula>
    </cfRule>
    <cfRule type="cellIs" dxfId="98" priority="9" operator="equal">
      <formula>"lowong"</formula>
    </cfRule>
    <cfRule type="containsText" dxfId="97" priority="10" operator="containsText" text="Lowong">
      <formula>NOT(ISERROR(SEARCH("Lowong",F865)))</formula>
    </cfRule>
    <cfRule type="duplicateValues" dxfId="96" priority="11"/>
    <cfRule type="duplicateValues" dxfId="95" priority="12"/>
    <cfRule type="duplicateValues" dxfId="94" priority="13"/>
    <cfRule type="cellIs" dxfId="93" priority="14" operator="equal">
      <formula>"lowong"</formula>
    </cfRule>
    <cfRule type="cellIs" dxfId="92" priority="15" operator="equal">
      <formula>"lowong"</formula>
    </cfRule>
    <cfRule type="containsText" dxfId="91" priority="16" operator="containsText" text="Lowong">
      <formula>NOT(ISERROR(SEARCH("Lowong",F865)))</formula>
    </cfRule>
    <cfRule type="cellIs" dxfId="90" priority="17" operator="equal">
      <formula>"lowong"</formula>
    </cfRule>
    <cfRule type="cellIs" dxfId="89" priority="18" operator="equal">
      <formula>"lowong"</formula>
    </cfRule>
    <cfRule type="containsText" dxfId="88" priority="19" operator="containsText" text="Lowong">
      <formula>NOT(ISERROR(SEARCH("Lowong",F865)))</formula>
    </cfRule>
    <cfRule type="duplicateValues" dxfId="87" priority="20"/>
  </conditionalFormatting>
  <conditionalFormatting sqref="F939 F941 F943 F945 F947 F949 F951 F955:F957 F959:F966 F970:F971 F973:F974 F977:F979">
    <cfRule type="containsText" dxfId="86" priority="345" operator="containsText" text="Lowong">
      <formula>NOT(ISERROR(SEARCH("Lowong",F939)))</formula>
    </cfRule>
    <cfRule type="duplicateValues" dxfId="85" priority="346"/>
    <cfRule type="cellIs" dxfId="84" priority="347" operator="equal">
      <formula>"lowong"</formula>
    </cfRule>
    <cfRule type="cellIs" dxfId="83" priority="348" operator="equal">
      <formula>"lowong"</formula>
    </cfRule>
    <cfRule type="containsText" dxfId="82" priority="349" operator="containsText" text="Lowong">
      <formula>NOT(ISERROR(SEARCH("Lowong",F939)))</formula>
    </cfRule>
    <cfRule type="cellIs" dxfId="81" priority="350" operator="equal">
      <formula>"Lowong"</formula>
    </cfRule>
    <cfRule type="cellIs" dxfId="80" priority="351" operator="equal">
      <formula>"lowong"</formula>
    </cfRule>
    <cfRule type="cellIs" dxfId="79" priority="352" operator="equal">
      <formula>"lowong"</formula>
    </cfRule>
    <cfRule type="containsText" dxfId="78" priority="353" operator="containsText" text="Lowong">
      <formula>NOT(ISERROR(SEARCH("Lowong",F939)))</formula>
    </cfRule>
    <cfRule type="duplicateValues" dxfId="77" priority="354"/>
  </conditionalFormatting>
  <conditionalFormatting sqref="F179:J207 F7:J56 F58:J72 F74:J78 F79:F83 F84:J101 F103:J114 F116:J132 F134:J158 F160:J177 F209:J225 F227:J332 F334:J388 F390:J452 F454:J467 F469:J511 F515:J533 F535:J571 F573:J585 F587:J596 F597:F599 G599:J599 F601:J614 F616:J624 F626:J634 F636:J644 F646:J654 F656:J664 F666:J674 F676:J684 F686:J694 F696:J704 F706:J795 F513:J513 F796 F797:J1026 J79 G80:J80 J81 G82:J83 J514 H598:J598">
    <cfRule type="expression" dxfId="76" priority="180">
      <formula>$F7="Pelaksana Tugas"</formula>
    </cfRule>
  </conditionalFormatting>
  <conditionalFormatting sqref="G85">
    <cfRule type="duplicateValues" dxfId="75" priority="336"/>
  </conditionalFormatting>
  <conditionalFormatting sqref="G179">
    <cfRule type="cellIs" dxfId="74" priority="176" operator="equal">
      <formula>"Lowong"</formula>
    </cfRule>
    <cfRule type="cellIs" dxfId="73" priority="177" operator="equal">
      <formula>"lowong"</formula>
    </cfRule>
    <cfRule type="cellIs" dxfId="72" priority="178" operator="equal">
      <formula>"lowong"</formula>
    </cfRule>
  </conditionalFormatting>
  <conditionalFormatting sqref="G227">
    <cfRule type="duplicateValues" dxfId="71" priority="337"/>
  </conditionalFormatting>
  <conditionalFormatting sqref="G360">
    <cfRule type="duplicateValues" dxfId="70" priority="332"/>
  </conditionalFormatting>
  <conditionalFormatting sqref="G432">
    <cfRule type="duplicateValues" dxfId="69" priority="333"/>
  </conditionalFormatting>
  <conditionalFormatting sqref="G455">
    <cfRule type="duplicateValues" dxfId="68" priority="334"/>
  </conditionalFormatting>
  <conditionalFormatting sqref="G487">
    <cfRule type="duplicateValues" dxfId="67" priority="335"/>
  </conditionalFormatting>
  <conditionalFormatting sqref="G598">
    <cfRule type="expression" dxfId="66" priority="338">
      <formula>$G598="Pelaksana Tugas"</formula>
    </cfRule>
  </conditionalFormatting>
  <conditionalFormatting sqref="G796">
    <cfRule type="cellIs" dxfId="65" priority="22" operator="equal">
      <formula>"Lowong"</formula>
    </cfRule>
    <cfRule type="cellIs" dxfId="64" priority="23" operator="equal">
      <formula>"lowong"</formula>
    </cfRule>
    <cfRule type="cellIs" dxfId="63" priority="24" operator="equal">
      <formula>"lowong"</formula>
    </cfRule>
  </conditionalFormatting>
  <conditionalFormatting sqref="G79:I79">
    <cfRule type="expression" dxfId="62" priority="340">
      <formula>$F81="Pelaksana Tugas"</formula>
    </cfRule>
  </conditionalFormatting>
  <conditionalFormatting sqref="G179:I179">
    <cfRule type="containsText" dxfId="61" priority="179" operator="containsText" text="Lowong">
      <formula>NOT(ISERROR(SEARCH("Lowong",G179)))</formula>
    </cfRule>
  </conditionalFormatting>
  <conditionalFormatting sqref="G796:I796">
    <cfRule type="containsText" dxfId="60" priority="25" operator="containsText" text="Lowong">
      <formula>NOT(ISERROR(SEARCH("Lowong",G796)))</formula>
    </cfRule>
  </conditionalFormatting>
  <conditionalFormatting sqref="G597:J597 F598">
    <cfRule type="expression" dxfId="59" priority="339">
      <formula>$G598="Pelaksana Tugas"</formula>
    </cfRule>
  </conditionalFormatting>
  <conditionalFormatting sqref="G796:J796">
    <cfRule type="expression" dxfId="58" priority="21">
      <formula>$F796="Pelaksana Tugas"</formula>
    </cfRule>
  </conditionalFormatting>
  <conditionalFormatting sqref="H436">
    <cfRule type="containsText" dxfId="57" priority="261" operator="containsText" text="Lowong">
      <formula>NOT(ISERROR(SEARCH("Lowong",H436)))</formula>
    </cfRule>
  </conditionalFormatting>
  <conditionalFormatting sqref="H457">
    <cfRule type="containsText" dxfId="56" priority="260" operator="containsText" text="Lowong">
      <formula>NOT(ISERROR(SEARCH("Lowong",H457)))</formula>
    </cfRule>
  </conditionalFormatting>
  <conditionalFormatting sqref="H408:I408 H454:J454 H483:I483 I492:J492 H504:J504 J513 H518:J518 H522:J522 H530:J530 H535:J537 H548:J548 H552:J552 F590:F596 F601:F614 F616:F624 F626:F634 F636:F644 F646:F654 F656:F664 F666:F670 F672:F674 F676:F684 F686:F694 F696:F704 F706:F708 F710:F714 F716:F724 F726:F734 E298:G332 E513:G513 E515:G533 E334:G388 E390:G452 E454:G467 E469:G511 E535:G571 E573:G585 E587:G588">
    <cfRule type="cellIs" dxfId="55" priority="213" operator="equal">
      <formula>"lowong"</formula>
    </cfRule>
  </conditionalFormatting>
  <conditionalFormatting sqref="H288:J288">
    <cfRule type="cellIs" dxfId="54" priority="235" operator="equal">
      <formula>"Pelaksana tugas"</formula>
    </cfRule>
  </conditionalFormatting>
  <conditionalFormatting sqref="I2 G2 K2 M2 O2 Q2 S2 U2 W2 Y2:AF2">
    <cfRule type="duplicateValues" dxfId="53" priority="341"/>
  </conditionalFormatting>
  <conditionalFormatting sqref="I532">
    <cfRule type="containsText" dxfId="52" priority="248" operator="containsText" text="Lowong">
      <formula>NOT(ISERROR(SEARCH("Lowong",I532)))</formula>
    </cfRule>
  </conditionalFormatting>
  <conditionalFormatting sqref="J630">
    <cfRule type="cellIs" dxfId="51" priority="34" operator="equal">
      <formula>"Lowong"</formula>
    </cfRule>
    <cfRule type="cellIs" dxfId="50" priority="35" operator="equal">
      <formula>"lowong"</formula>
    </cfRule>
    <cfRule type="cellIs" dxfId="49" priority="36" operator="equal">
      <formula>"lowong"</formula>
    </cfRule>
    <cfRule type="containsText" dxfId="48" priority="37" operator="containsText" text="Lowong">
      <formula>NOT(ISERROR(SEARCH("Lowong",J630)))</formula>
    </cfRule>
  </conditionalFormatting>
  <conditionalFormatting sqref="K4:K5 K7:K56 E57 K58:K72 E73 K74:K101 E102 K103:K114 E115 K116:K132 E133 K134:K158 E159 K160:K177 E178 K179:K207 E208 K209:K225 E226 K227:K332 K334:K388 E389 K390:K452 E453 K454:K467 E468 K469:K511 E512 K513:K533 E534 K535:K571 E572 K573:K585 E586 K587:K599 E600 K601:K614 E615 K616:K624 E625 K626:K634 E635 K636:K644 E645 K646:K654 E655 K656:K664 E665 K666:K674 E675 K676:K684 E685 K686:K694 E695 K696:K704 E705 K706:K1026 N706:N1026">
    <cfRule type="cellIs" dxfId="47" priority="206" operator="greaterThan">
      <formula>"4 TAHUN 6 BULAN"</formula>
    </cfRule>
  </conditionalFormatting>
  <conditionalFormatting sqref="K4:K5 N7:N56 N58:N72 N74:N101 N103:N114 N116:N132 N134:N158 N160:N177 N179:N207 N209:N225 N227:N332 N334:N388 N390:N452 N454:N467 N469:N511 N513:N533 N535:N571 N573:N585 N587:N599 N601:N614 N616:N624 N626:N634 N636:N644 N646:N654 N656:N664 N666:N674 N676:N684 N686:N694 N696:N704">
    <cfRule type="cellIs" dxfId="46" priority="278" operator="equal">
      <formula>"2 Tahun 0 bulan &lt;=&gt; 5 tahun 0 bulan"</formula>
    </cfRule>
    <cfRule type="cellIs" dxfId="45" priority="280" operator="between">
      <formula>"2 TAHUN"</formula>
      <formula>"4 TAHUN"</formula>
    </cfRule>
  </conditionalFormatting>
  <conditionalFormatting sqref="K7:K56 E57 K58:K72 E73 K74:K101 E102 K103:K114 E115 K116:K132 E133 K134:K158 E159 K160:K177 E178 K179:K207 E208 K209:K225 E226 K227:K332 K334:K388 E389 K390:K452 E453 K454:K467 E468 K469:K511 E512 K513:K533 E534 K535:K571 E572 K573:K585 E586 K587:K599 E600 K601:K614 E615 K616:K624 E625 K626:K634 E635 K636:K644 E645 K646:K654 E655 K656:K664 E665 K666:K674 E675 K676:K684 E685 K686:K694 E695 K696:K704 E705 K706:K1026 N706:N1026">
    <cfRule type="cellIs" dxfId="44" priority="208" operator="greaterThan">
      <formula>"2 TAHUN"</formula>
    </cfRule>
  </conditionalFormatting>
  <conditionalFormatting sqref="K373:K388">
    <cfRule type="containsText" dxfId="43" priority="251" operator="containsText" text="Lowong">
      <formula>NOT(ISERROR(SEARCH("Lowong",K373)))</formula>
    </cfRule>
  </conditionalFormatting>
  <conditionalFormatting sqref="L136:M136 O136:P136 R136:V136">
    <cfRule type="containsText" dxfId="42" priority="195" operator="containsText" text="Lowong">
      <formula>NOT(ISERROR(SEARCH("Lowong",L136)))</formula>
    </cfRule>
  </conditionalFormatting>
  <conditionalFormatting sqref="M41">
    <cfRule type="expression" dxfId="41" priority="137">
      <formula>$F41="Pelaksana Tugas"</formula>
    </cfRule>
  </conditionalFormatting>
  <conditionalFormatting sqref="M63">
    <cfRule type="expression" dxfId="40" priority="130">
      <formula>$F63="Pelaksana Tugas"</formula>
    </cfRule>
  </conditionalFormatting>
  <conditionalFormatting sqref="M67">
    <cfRule type="expression" dxfId="39" priority="131">
      <formula>$F67="Pelaksana Tugas"</formula>
    </cfRule>
  </conditionalFormatting>
  <conditionalFormatting sqref="M74">
    <cfRule type="expression" dxfId="38" priority="144">
      <formula>$F74="Pelaksana Tugas"</formula>
    </cfRule>
  </conditionalFormatting>
  <conditionalFormatting sqref="M103">
    <cfRule type="expression" dxfId="37" priority="146">
      <formula>$F103="Pelaksana Tugas"</formula>
    </cfRule>
  </conditionalFormatting>
  <conditionalFormatting sqref="M135">
    <cfRule type="expression" dxfId="36" priority="129">
      <formula>$F135="Pelaksana Tugas"</formula>
    </cfRule>
  </conditionalFormatting>
  <conditionalFormatting sqref="M139">
    <cfRule type="expression" dxfId="35" priority="140">
      <formula>$F139="Pelaksana Tugas"</formula>
    </cfRule>
  </conditionalFormatting>
  <conditionalFormatting sqref="M143">
    <cfRule type="expression" dxfId="34" priority="141">
      <formula>$F143="Pelaksana Tugas"</formula>
    </cfRule>
  </conditionalFormatting>
  <conditionalFormatting sqref="M160:M161">
    <cfRule type="expression" dxfId="33" priority="145">
      <formula>$F160="Pelaksana Tugas"</formula>
    </cfRule>
  </conditionalFormatting>
  <conditionalFormatting sqref="M316">
    <cfRule type="expression" dxfId="32" priority="138">
      <formula>$F316="Pelaksana Tugas"</formula>
    </cfRule>
  </conditionalFormatting>
  <conditionalFormatting sqref="M372">
    <cfRule type="expression" dxfId="31" priority="143">
      <formula>$F372="Pelaksana Tugas"</formula>
    </cfRule>
    <cfRule type="containsText" dxfId="30" priority="253" operator="containsText" text="Lowong">
      <formula>NOT(ISERROR(SEARCH("Lowong",M372)))</formula>
    </cfRule>
  </conditionalFormatting>
  <conditionalFormatting sqref="M427">
    <cfRule type="expression" dxfId="29" priority="139">
      <formula>$F427="Pelaksana Tugas"</formula>
    </cfRule>
  </conditionalFormatting>
  <conditionalFormatting sqref="M513">
    <cfRule type="expression" dxfId="28" priority="132">
      <formula>$F513="Pelaksana Tugas"</formula>
    </cfRule>
    <cfRule type="cellIs" dxfId="27" priority="133" operator="equal">
      <formula>"Lowong"</formula>
    </cfRule>
    <cfRule type="cellIs" dxfId="26" priority="134" operator="equal">
      <formula>"lowong"</formula>
    </cfRule>
    <cfRule type="cellIs" dxfId="25" priority="135" operator="equal">
      <formula>"lowong"</formula>
    </cfRule>
    <cfRule type="containsText" dxfId="24" priority="136" operator="containsText" text="Lowong">
      <formula>NOT(ISERROR(SEARCH("Lowong",M513)))</formula>
    </cfRule>
  </conditionalFormatting>
  <conditionalFormatting sqref="M537">
    <cfRule type="expression" dxfId="23" priority="38">
      <formula>$F537="Pelaksana Tugas"</formula>
    </cfRule>
    <cfRule type="cellIs" dxfId="22" priority="39" operator="equal">
      <formula>"Lowong"</formula>
    </cfRule>
    <cfRule type="cellIs" dxfId="21" priority="40" operator="equal">
      <formula>"lowong"</formula>
    </cfRule>
    <cfRule type="cellIs" dxfId="20" priority="41" operator="equal">
      <formula>"lowong"</formula>
    </cfRule>
    <cfRule type="containsText" dxfId="19" priority="42" operator="containsText" text="Lowong">
      <formula>NOT(ISERROR(SEARCH("Lowong",M537)))</formula>
    </cfRule>
  </conditionalFormatting>
  <conditionalFormatting sqref="M539">
    <cfRule type="containsText" dxfId="18" priority="257" operator="containsText" text="Lowong">
      <formula>NOT(ISERROR(SEARCH("Lowong",M539)))</formula>
    </cfRule>
  </conditionalFormatting>
  <conditionalFormatting sqref="M626:M634">
    <cfRule type="containsText" dxfId="17" priority="33" operator="containsText" text="Lowong">
      <formula>NOT(ISERROR(SEARCH("Lowong",M626)))</formula>
    </cfRule>
  </conditionalFormatting>
  <conditionalFormatting sqref="M630">
    <cfRule type="expression" dxfId="16" priority="29">
      <formula>$F630="Pelaksana Tugas"</formula>
    </cfRule>
    <cfRule type="cellIs" dxfId="15" priority="30" operator="equal">
      <formula>"Lowong"</formula>
    </cfRule>
    <cfRule type="cellIs" dxfId="14" priority="31" operator="equal">
      <formula>"lowong"</formula>
    </cfRule>
    <cfRule type="cellIs" dxfId="13" priority="32" operator="equal">
      <formula>"lowong"</formula>
    </cfRule>
  </conditionalFormatting>
  <conditionalFormatting sqref="M701">
    <cfRule type="expression" dxfId="12" priority="28">
      <formula>$F701="Pelaksana Tugas"</formula>
    </cfRule>
  </conditionalFormatting>
  <conditionalFormatting sqref="M708">
    <cfRule type="expression" dxfId="11" priority="27">
      <formula>$F708="Pelaksana Tugas"</formula>
    </cfRule>
  </conditionalFormatting>
  <conditionalFormatting sqref="M734">
    <cfRule type="expression" dxfId="10" priority="128">
      <formula>$F734="Pelaksana Tugas"</formula>
    </cfRule>
  </conditionalFormatting>
  <conditionalFormatting sqref="M736">
    <cfRule type="expression" dxfId="9" priority="142">
      <formula>$F736="Pelaksana Tugas"</formula>
    </cfRule>
  </conditionalFormatting>
  <conditionalFormatting sqref="M786">
    <cfRule type="expression" dxfId="8" priority="171">
      <formula>$F786="Pelaksana Tugas"</formula>
    </cfRule>
    <cfRule type="cellIs" dxfId="7" priority="172" operator="equal">
      <formula>"Lowong"</formula>
    </cfRule>
    <cfRule type="cellIs" dxfId="6" priority="173" operator="equal">
      <formula>"Pelaksana tugas"</formula>
    </cfRule>
    <cfRule type="cellIs" dxfId="5" priority="174" operator="equal">
      <formula>"lowong"</formula>
    </cfRule>
    <cfRule type="cellIs" dxfId="4" priority="175" operator="equal">
      <formula>"lowong"</formula>
    </cfRule>
  </conditionalFormatting>
  <conditionalFormatting sqref="M829">
    <cfRule type="expression" dxfId="3" priority="44">
      <formula>$F829="Pelaksana Tugas"</formula>
    </cfRule>
  </conditionalFormatting>
  <conditionalFormatting sqref="N7:N56 N58:N72 N74:N101 N103:N114 N116:N132 N134:N158 N160:N177 N179:N207 N209:N225 N227:N332 N334:N388 N390:N452 N454:N467 N469:N511 N513:N533 N535:N571 N573:N585 N587:N599 N601:N614 N616:N624 N626:N634 N636:N644 N646:N654 N656:N664 N666:N674 N676:N684 N686:N694 N696:N704 K4:K5">
    <cfRule type="cellIs" dxfId="2" priority="279" operator="greaterThan">
      <formula>"2 TAHUN"</formula>
    </cfRule>
  </conditionalFormatting>
  <conditionalFormatting sqref="N7:N56 N58:N72 N74:N101 N103:N114 N116:N132 N134:N158 N160:N177 N179:N207 N209:N225 N227:N332 N334:N388 N390:N452 N454:N467 N469:N511 N513:N533 N535:N571 N573:N585 N587:N599 N601:N614 N616:N624 N626:N634 N636:N644 N646:N654 N656:N664 N666:N674 N676:N684 N686:N694 N696:N704">
    <cfRule type="cellIs" dxfId="1" priority="277" operator="greaterThan">
      <formula>"4 TAHUN 6 BULAN"</formula>
    </cfRule>
  </conditionalFormatting>
  <conditionalFormatting sqref="AE7:AE56 AE58:AE72 AE74:AE101 AE103:AE114 AE116:AE132 AE134:AE158 AE160:AE207 AE209:AE225 AE227:AE332 AE334:AE452 AE454:AE467 AE469:AE511 AE513:AE533 AE535:AE571 AE573:AE585 AE587:AE599 AE601:AE614 AE616:AE624 AE626:AE634 AE636:AE644 AE646:AE654 AE656:AE664 AE666:AE674 AE676:AE684 AE686:AE694 AE696:AE704 AE706:AE1026">
    <cfRule type="cellIs" dxfId="0" priority="276" operator="greaterThan">
      <formula>"55 TAHUN"</formula>
    </cfRule>
  </conditionalFormatting>
  <printOptions horizontalCentered="1"/>
  <pageMargins left="0.15748031496062992" right="0.11811023622047245" top="0.27559055118110237" bottom="0.19685039370078741" header="7.874015748031496E-2" footer="0.11811023622047245"/>
  <pageSetup paperSize="258" scale="73" orientation="landscape" horizontalDpi="4294967294" verticalDpi="300" r:id="rId1"/>
  <headerFooter alignWithMargins="0">
    <oddFooter>&amp;C&amp;P</oddFooter>
  </headerFooter>
  <rowBreaks count="4" manualBreakCount="4">
    <brk id="225" max="13" man="1"/>
    <brk id="888" max="13" man="1"/>
    <brk id="911" max="13" man="1"/>
    <brk id="987" max="1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4AF-7F05-487C-8ECF-12EE30700863}">
  <dimension ref="A1:D18"/>
  <sheetViews>
    <sheetView tabSelected="1" view="pageBreakPreview" zoomScale="99" zoomScaleNormal="85" zoomScaleSheetLayoutView="99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defaultColWidth="9.1796875" defaultRowHeight="12.5" x14ac:dyDescent="0.25"/>
  <cols>
    <col min="1" max="1" width="7.26953125" style="224" customWidth="1"/>
    <col min="2" max="2" width="50" style="224" customWidth="1"/>
    <col min="3" max="3" width="7.54296875" style="224" customWidth="1"/>
    <col min="4" max="4" width="32.453125" style="225" customWidth="1"/>
    <col min="5" max="16384" width="9.1796875" style="224"/>
  </cols>
  <sheetData>
    <row r="1" spans="1:4" s="239" customFormat="1" ht="36" customHeight="1" x14ac:dyDescent="0.3">
      <c r="A1" s="247" t="s">
        <v>3157</v>
      </c>
      <c r="B1" s="247"/>
      <c r="C1" s="247"/>
      <c r="D1" s="247"/>
    </row>
    <row r="2" spans="1:4" ht="11.25" customHeight="1" x14ac:dyDescent="0.25">
      <c r="A2" s="237"/>
      <c r="B2" s="238"/>
      <c r="C2" s="237"/>
      <c r="D2" s="224"/>
    </row>
    <row r="3" spans="1:4" ht="39.75" customHeight="1" x14ac:dyDescent="0.25">
      <c r="A3" s="236" t="s">
        <v>3156</v>
      </c>
      <c r="B3" s="236" t="s">
        <v>2</v>
      </c>
      <c r="C3" s="235" t="s">
        <v>3155</v>
      </c>
      <c r="D3" s="234" t="s">
        <v>3154</v>
      </c>
    </row>
    <row r="4" spans="1:4" ht="22.5" customHeight="1" x14ac:dyDescent="0.25">
      <c r="A4" s="233">
        <v>1</v>
      </c>
      <c r="B4" s="232">
        <v>2</v>
      </c>
      <c r="C4" s="232">
        <v>3</v>
      </c>
      <c r="D4" s="240">
        <v>4</v>
      </c>
    </row>
    <row r="5" spans="1:4" ht="22.5" customHeight="1" x14ac:dyDescent="0.25">
      <c r="A5" s="248" t="s">
        <v>3158</v>
      </c>
      <c r="B5" s="249"/>
      <c r="C5" s="249"/>
      <c r="D5" s="250"/>
    </row>
    <row r="6" spans="1:4" ht="22.5" customHeight="1" x14ac:dyDescent="0.25">
      <c r="A6" s="251" t="s">
        <v>3153</v>
      </c>
      <c r="B6" s="252"/>
      <c r="C6" s="252"/>
      <c r="D6" s="253"/>
    </row>
    <row r="7" spans="1:4" ht="39.75" customHeight="1" x14ac:dyDescent="0.25">
      <c r="A7" s="229">
        <v>1</v>
      </c>
      <c r="B7" s="228" t="s">
        <v>140</v>
      </c>
      <c r="C7" s="227" t="s">
        <v>3149</v>
      </c>
      <c r="D7" s="226" t="s">
        <v>3034</v>
      </c>
    </row>
    <row r="8" spans="1:4" s="230" customFormat="1" ht="32" customHeight="1" x14ac:dyDescent="0.35">
      <c r="A8" s="251" t="s">
        <v>3159</v>
      </c>
      <c r="B8" s="252"/>
      <c r="C8" s="252"/>
      <c r="D8" s="253"/>
    </row>
    <row r="9" spans="1:4" s="230" customFormat="1" ht="60" customHeight="1" x14ac:dyDescent="0.35">
      <c r="A9" s="229">
        <v>2</v>
      </c>
      <c r="B9" s="228" t="s">
        <v>229</v>
      </c>
      <c r="C9" s="227" t="s">
        <v>3149</v>
      </c>
      <c r="D9" s="226" t="s">
        <v>986</v>
      </c>
    </row>
    <row r="10" spans="1:4" s="230" customFormat="1" ht="34.5" customHeight="1" x14ac:dyDescent="0.35">
      <c r="A10" s="251" t="s">
        <v>3160</v>
      </c>
      <c r="B10" s="252"/>
      <c r="C10" s="252"/>
      <c r="D10" s="253"/>
    </row>
    <row r="11" spans="1:4" s="230" customFormat="1" ht="42" customHeight="1" x14ac:dyDescent="0.35">
      <c r="A11" s="229">
        <v>3</v>
      </c>
      <c r="B11" s="228" t="s">
        <v>321</v>
      </c>
      <c r="C11" s="227" t="s">
        <v>3149</v>
      </c>
      <c r="D11" s="226" t="s">
        <v>327</v>
      </c>
    </row>
    <row r="12" spans="1:4" s="230" customFormat="1" ht="42" customHeight="1" x14ac:dyDescent="0.35">
      <c r="A12" s="251" t="s">
        <v>3151</v>
      </c>
      <c r="B12" s="252"/>
      <c r="C12" s="252"/>
      <c r="D12" s="253"/>
    </row>
    <row r="13" spans="1:4" s="230" customFormat="1" ht="48" customHeight="1" x14ac:dyDescent="0.35">
      <c r="A13" s="229">
        <v>4</v>
      </c>
      <c r="B13" s="228" t="s">
        <v>595</v>
      </c>
      <c r="C13" s="227" t="s">
        <v>3149</v>
      </c>
      <c r="D13" s="231" t="s">
        <v>2866</v>
      </c>
    </row>
    <row r="14" spans="1:4" s="230" customFormat="1" ht="42" customHeight="1" x14ac:dyDescent="0.35">
      <c r="A14" s="251" t="s">
        <v>3161</v>
      </c>
      <c r="B14" s="252"/>
      <c r="C14" s="252"/>
      <c r="D14" s="253"/>
    </row>
    <row r="15" spans="1:4" s="230" customFormat="1" ht="60" customHeight="1" x14ac:dyDescent="0.35">
      <c r="A15" s="229">
        <v>5</v>
      </c>
      <c r="B15" s="228" t="s">
        <v>877</v>
      </c>
      <c r="C15" s="227" t="s">
        <v>3149</v>
      </c>
      <c r="D15" s="231" t="s">
        <v>74</v>
      </c>
    </row>
    <row r="16" spans="1:4" s="230" customFormat="1" ht="41.5" customHeight="1" x14ac:dyDescent="0.35">
      <c r="A16" s="251" t="s">
        <v>3162</v>
      </c>
      <c r="B16" s="252"/>
      <c r="C16" s="252"/>
      <c r="D16" s="253"/>
    </row>
    <row r="17" spans="1:4" s="230" customFormat="1" ht="60" customHeight="1" x14ac:dyDescent="0.35">
      <c r="A17" s="229">
        <v>6</v>
      </c>
      <c r="B17" s="228" t="s">
        <v>1272</v>
      </c>
      <c r="C17" s="227" t="s">
        <v>3149</v>
      </c>
      <c r="D17" s="231" t="s">
        <v>1277</v>
      </c>
    </row>
    <row r="18" spans="1:4" s="230" customFormat="1" ht="39.5" customHeight="1" x14ac:dyDescent="0.35">
      <c r="A18" s="315" t="s">
        <v>3177</v>
      </c>
      <c r="B18" s="316"/>
      <c r="C18" s="317"/>
      <c r="D18" s="318">
        <v>6</v>
      </c>
    </row>
  </sheetData>
  <autoFilter ref="A3:D17" xr:uid="{1CED6E6D-305E-4FA5-B78F-6094F4F2F87E}"/>
  <mergeCells count="9">
    <mergeCell ref="A18:C18"/>
    <mergeCell ref="A16:D16"/>
    <mergeCell ref="A6:D6"/>
    <mergeCell ref="A8:D8"/>
    <mergeCell ref="A10:D10"/>
    <mergeCell ref="A12:D12"/>
    <mergeCell ref="A14:D14"/>
    <mergeCell ref="A1:D1"/>
    <mergeCell ref="A5:D5"/>
  </mergeCells>
  <conditionalFormatting sqref="A5:A6 B7:D7 B9:D9 B11:D11 B13:D13 B15:D15 B17:D17 D18">
    <cfRule type="cellIs" dxfId="370" priority="1" operator="equal">
      <formula>"""Jabatan Lowong Nomeklatur Baru"""</formula>
    </cfRule>
  </conditionalFormatting>
  <printOptions horizontalCentered="1"/>
  <pageMargins left="0.11811023622047245" right="0.11811023622047245" top="0.35433070866141736" bottom="0.15748031496062992" header="0.31496062992125984" footer="0.11811023622047245"/>
  <pageSetup paperSize="9" scale="90" orientation="portrait" r:id="rId1"/>
  <headerFooter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58FC-7063-4B43-AD6E-B27997E0EC85}">
  <dimension ref="A1:F14"/>
  <sheetViews>
    <sheetView view="pageBreakPreview" zoomScale="81" zoomScaleNormal="85" zoomScaleSheetLayoutView="81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12" sqref="A12:D12"/>
    </sheetView>
  </sheetViews>
  <sheetFormatPr defaultColWidth="9.1796875" defaultRowHeight="12.5" x14ac:dyDescent="0.25"/>
  <cols>
    <col min="1" max="1" width="7.26953125" style="224" customWidth="1"/>
    <col min="2" max="2" width="50" style="224" customWidth="1"/>
    <col min="3" max="3" width="7.54296875" style="224" customWidth="1"/>
    <col min="4" max="4" width="32.453125" style="225" customWidth="1"/>
    <col min="5" max="5" width="26.1796875" style="224" customWidth="1"/>
    <col min="6" max="16384" width="9.1796875" style="224"/>
  </cols>
  <sheetData>
    <row r="1" spans="1:6" s="239" customFormat="1" ht="36" customHeight="1" x14ac:dyDescent="0.3">
      <c r="A1" s="247" t="s">
        <v>3163</v>
      </c>
      <c r="B1" s="247"/>
      <c r="C1" s="247"/>
      <c r="D1" s="247"/>
    </row>
    <row r="2" spans="1:6" ht="37" customHeight="1" x14ac:dyDescent="0.25">
      <c r="A2" s="237"/>
      <c r="B2" s="238"/>
      <c r="C2" s="237"/>
      <c r="D2" s="224"/>
    </row>
    <row r="3" spans="1:6" ht="39.75" customHeight="1" x14ac:dyDescent="0.25">
      <c r="A3" s="236" t="s">
        <v>3156</v>
      </c>
      <c r="B3" s="236" t="s">
        <v>2</v>
      </c>
      <c r="C3" s="235" t="s">
        <v>3155</v>
      </c>
      <c r="D3" s="234" t="s">
        <v>3154</v>
      </c>
    </row>
    <row r="4" spans="1:6" ht="22.5" customHeight="1" x14ac:dyDescent="0.25">
      <c r="A4" s="233">
        <v>1</v>
      </c>
      <c r="B4" s="232">
        <v>2</v>
      </c>
      <c r="C4" s="232">
        <v>3</v>
      </c>
      <c r="D4" s="240">
        <v>4</v>
      </c>
    </row>
    <row r="5" spans="1:6" ht="22.5" customHeight="1" x14ac:dyDescent="0.25">
      <c r="A5" s="248" t="s">
        <v>3164</v>
      </c>
      <c r="B5" s="249"/>
      <c r="C5" s="249"/>
      <c r="D5" s="250"/>
    </row>
    <row r="6" spans="1:6" ht="22.5" customHeight="1" x14ac:dyDescent="0.25">
      <c r="A6" s="251" t="s">
        <v>3166</v>
      </c>
      <c r="B6" s="252"/>
      <c r="C6" s="252"/>
      <c r="D6" s="253"/>
    </row>
    <row r="7" spans="1:6" ht="39.75" customHeight="1" x14ac:dyDescent="0.25">
      <c r="A7" s="229">
        <v>1</v>
      </c>
      <c r="B7" s="228" t="s">
        <v>308</v>
      </c>
      <c r="C7" s="227" t="s">
        <v>3168</v>
      </c>
      <c r="D7" s="226" t="s">
        <v>3030</v>
      </c>
    </row>
    <row r="8" spans="1:6" s="230" customFormat="1" ht="42.5" customHeight="1" x14ac:dyDescent="0.35">
      <c r="A8" s="251" t="s">
        <v>3165</v>
      </c>
      <c r="B8" s="252"/>
      <c r="C8" s="252"/>
      <c r="D8" s="253"/>
    </row>
    <row r="9" spans="1:6" s="230" customFormat="1" ht="60" customHeight="1" x14ac:dyDescent="0.35">
      <c r="A9" s="229">
        <v>2</v>
      </c>
      <c r="B9" s="228" t="s">
        <v>1613</v>
      </c>
      <c r="C9" s="227" t="s">
        <v>3167</v>
      </c>
      <c r="D9" s="226" t="s">
        <v>1617</v>
      </c>
    </row>
    <row r="10" spans="1:6" s="230" customFormat="1" ht="34.5" customHeight="1" x14ac:dyDescent="0.35">
      <c r="A10" s="251" t="s">
        <v>3169</v>
      </c>
      <c r="B10" s="252"/>
      <c r="C10" s="252"/>
      <c r="D10" s="253"/>
    </row>
    <row r="11" spans="1:6" s="230" customFormat="1" ht="42" customHeight="1" x14ac:dyDescent="0.35">
      <c r="A11" s="229">
        <v>3</v>
      </c>
      <c r="B11" s="228" t="s">
        <v>2128</v>
      </c>
      <c r="C11" s="227" t="s">
        <v>3167</v>
      </c>
      <c r="D11" s="226" t="s">
        <v>32</v>
      </c>
    </row>
    <row r="12" spans="1:6" s="230" customFormat="1" ht="42" customHeight="1" x14ac:dyDescent="0.35">
      <c r="A12" s="251" t="s">
        <v>3151</v>
      </c>
      <c r="B12" s="252"/>
      <c r="C12" s="252"/>
      <c r="D12" s="253"/>
    </row>
    <row r="13" spans="1:6" s="230" customFormat="1" ht="48" customHeight="1" x14ac:dyDescent="0.35">
      <c r="A13" s="229">
        <v>4</v>
      </c>
      <c r="B13" s="228" t="s">
        <v>650</v>
      </c>
      <c r="C13" s="227" t="s">
        <v>3167</v>
      </c>
      <c r="D13" s="231" t="s">
        <v>32</v>
      </c>
      <c r="E13" s="219" t="s">
        <v>651</v>
      </c>
      <c r="F13" s="230" t="s">
        <v>3170</v>
      </c>
    </row>
    <row r="14" spans="1:6" s="230" customFormat="1" ht="38" customHeight="1" x14ac:dyDescent="0.35">
      <c r="A14" s="312" t="s">
        <v>3177</v>
      </c>
      <c r="B14" s="312"/>
      <c r="C14" s="312"/>
      <c r="D14" s="309">
        <v>4</v>
      </c>
      <c r="E14" s="311"/>
    </row>
  </sheetData>
  <autoFilter ref="A3:D13" xr:uid="{1CED6E6D-305E-4FA5-B78F-6094F4F2F87E}"/>
  <mergeCells count="7">
    <mergeCell ref="A1:D1"/>
    <mergeCell ref="A5:D5"/>
    <mergeCell ref="A6:D6"/>
    <mergeCell ref="A8:D8"/>
    <mergeCell ref="A10:D10"/>
    <mergeCell ref="A12:D12"/>
    <mergeCell ref="A14:C14"/>
  </mergeCells>
  <conditionalFormatting sqref="A5:A6 B7:D7 B9:D9 B11:D11 B13:D13 D14">
    <cfRule type="cellIs" dxfId="369" priority="6" operator="equal">
      <formula>"""Jabatan Lowong Nomeklatur Baru"""</formula>
    </cfRule>
  </conditionalFormatting>
  <conditionalFormatting sqref="E13:E14">
    <cfRule type="cellIs" dxfId="368" priority="1" operator="equal">
      <formula>"Lowong"</formula>
    </cfRule>
    <cfRule type="cellIs" dxfId="367" priority="2" operator="equal">
      <formula>"lowong"</formula>
    </cfRule>
    <cfRule type="cellIs" dxfId="366" priority="3" operator="equal">
      <formula>"lowong"</formula>
    </cfRule>
    <cfRule type="containsText" dxfId="365" priority="4" operator="containsText" text="Lowong">
      <formula>NOT(ISERROR(SEARCH("Lowong",E13)))</formula>
    </cfRule>
    <cfRule type="duplicateValues" dxfId="364" priority="5"/>
  </conditionalFormatting>
  <printOptions horizontalCentered="1"/>
  <pageMargins left="0.11811023622047245" right="0.11811023622047245" top="0.35433070866141736" bottom="0.15748031496062992" header="0.31496062992125984" footer="0.11811023622047245"/>
  <pageSetup paperSize="9" scale="95" orientation="portrait" r:id="rId1"/>
  <headerFooter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4E7D-24BE-4F95-87E8-2D21EAA4CE0D}">
  <dimension ref="A1:D95"/>
  <sheetViews>
    <sheetView view="pageBreakPreview" zoomScale="75" zoomScaleNormal="85" zoomScaleSheetLayoutView="75"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9.1796875" defaultRowHeight="12.5" x14ac:dyDescent="0.25"/>
  <cols>
    <col min="1" max="1" width="7.26953125" style="224" customWidth="1"/>
    <col min="2" max="2" width="50" style="224" customWidth="1"/>
    <col min="3" max="3" width="7.54296875" style="224" customWidth="1"/>
    <col min="4" max="4" width="32.453125" style="225" customWidth="1"/>
    <col min="5" max="16384" width="9.1796875" style="224"/>
  </cols>
  <sheetData>
    <row r="1" spans="1:4" s="239" customFormat="1" ht="36" customHeight="1" x14ac:dyDescent="0.3">
      <c r="A1" s="247" t="s">
        <v>3171</v>
      </c>
      <c r="B1" s="247"/>
      <c r="C1" s="247"/>
      <c r="D1" s="247"/>
    </row>
    <row r="2" spans="1:4" ht="11.25" customHeight="1" x14ac:dyDescent="0.25">
      <c r="A2" s="237"/>
      <c r="B2" s="238"/>
      <c r="C2" s="237"/>
      <c r="D2" s="224"/>
    </row>
    <row r="3" spans="1:4" ht="39.75" customHeight="1" x14ac:dyDescent="0.25">
      <c r="A3" s="236" t="s">
        <v>3156</v>
      </c>
      <c r="B3" s="236" t="s">
        <v>2</v>
      </c>
      <c r="C3" s="235" t="s">
        <v>3155</v>
      </c>
      <c r="D3" s="234" t="s">
        <v>3154</v>
      </c>
    </row>
    <row r="4" spans="1:4" ht="22.5" customHeight="1" x14ac:dyDescent="0.25">
      <c r="A4" s="233">
        <v>1</v>
      </c>
      <c r="B4" s="232">
        <v>2</v>
      </c>
      <c r="C4" s="232">
        <v>3</v>
      </c>
      <c r="D4" s="240">
        <v>4</v>
      </c>
    </row>
    <row r="5" spans="1:4" ht="22.5" customHeight="1" x14ac:dyDescent="0.25">
      <c r="A5" s="248" t="s">
        <v>3172</v>
      </c>
      <c r="B5" s="249"/>
      <c r="C5" s="249"/>
      <c r="D5" s="250"/>
    </row>
    <row r="6" spans="1:4" ht="22.5" customHeight="1" x14ac:dyDescent="0.25">
      <c r="A6" s="251" t="s">
        <v>3173</v>
      </c>
      <c r="B6" s="252"/>
      <c r="C6" s="252"/>
      <c r="D6" s="253"/>
    </row>
    <row r="7" spans="1:4" ht="39.75" customHeight="1" x14ac:dyDescent="0.25">
      <c r="A7" s="229">
        <v>1</v>
      </c>
      <c r="B7" s="228" t="s">
        <v>449</v>
      </c>
      <c r="C7" s="227" t="s">
        <v>3174</v>
      </c>
      <c r="D7" s="226" t="s">
        <v>2955</v>
      </c>
    </row>
    <row r="8" spans="1:4" s="230" customFormat="1" ht="32" customHeight="1" x14ac:dyDescent="0.35">
      <c r="A8" s="251" t="s">
        <v>3152</v>
      </c>
      <c r="B8" s="252"/>
      <c r="C8" s="252"/>
      <c r="D8" s="253"/>
    </row>
    <row r="9" spans="1:4" s="230" customFormat="1" ht="60" customHeight="1" x14ac:dyDescent="0.35">
      <c r="A9" s="229">
        <v>2</v>
      </c>
      <c r="B9" s="228" t="s">
        <v>519</v>
      </c>
      <c r="C9" s="227" t="s">
        <v>3174</v>
      </c>
      <c r="D9" s="226" t="s">
        <v>32</v>
      </c>
    </row>
    <row r="10" spans="1:4" s="230" customFormat="1" ht="60" customHeight="1" x14ac:dyDescent="0.35">
      <c r="A10" s="229">
        <v>3</v>
      </c>
      <c r="B10" s="241" t="s">
        <v>529</v>
      </c>
      <c r="C10" s="227" t="s">
        <v>3174</v>
      </c>
      <c r="D10" s="242" t="s">
        <v>32</v>
      </c>
    </row>
    <row r="11" spans="1:4" s="230" customFormat="1" ht="34.5" customHeight="1" x14ac:dyDescent="0.35">
      <c r="A11" s="251" t="s">
        <v>3150</v>
      </c>
      <c r="B11" s="252"/>
      <c r="C11" s="252"/>
      <c r="D11" s="253"/>
    </row>
    <row r="12" spans="1:4" s="230" customFormat="1" ht="42" customHeight="1" x14ac:dyDescent="0.35">
      <c r="A12" s="229">
        <v>4</v>
      </c>
      <c r="B12" s="228" t="s">
        <v>933</v>
      </c>
      <c r="C12" s="227" t="s">
        <v>3174</v>
      </c>
      <c r="D12" s="226" t="s">
        <v>934</v>
      </c>
    </row>
    <row r="13" spans="1:4" s="230" customFormat="1" ht="42" customHeight="1" x14ac:dyDescent="0.35">
      <c r="A13" s="251" t="s">
        <v>3204</v>
      </c>
      <c r="B13" s="252"/>
      <c r="C13" s="252"/>
      <c r="D13" s="253"/>
    </row>
    <row r="14" spans="1:4" s="230" customFormat="1" ht="42" customHeight="1" x14ac:dyDescent="0.35">
      <c r="A14" s="244">
        <v>5</v>
      </c>
      <c r="B14" s="243" t="s">
        <v>1813</v>
      </c>
      <c r="C14" s="229" t="s">
        <v>3175</v>
      </c>
      <c r="D14" s="229"/>
    </row>
    <row r="15" spans="1:4" s="230" customFormat="1" ht="42" customHeight="1" x14ac:dyDescent="0.35">
      <c r="A15" s="251" t="s">
        <v>3203</v>
      </c>
      <c r="B15" s="252"/>
      <c r="C15" s="252"/>
      <c r="D15" s="253"/>
    </row>
    <row r="16" spans="1:4" s="230" customFormat="1" ht="42" customHeight="1" x14ac:dyDescent="0.35">
      <c r="A16" s="244">
        <v>6</v>
      </c>
      <c r="B16" s="243" t="s">
        <v>1901</v>
      </c>
      <c r="C16" s="229" t="s">
        <v>3175</v>
      </c>
      <c r="D16" s="229"/>
    </row>
    <row r="17" spans="1:4" s="230" customFormat="1" ht="42" customHeight="1" x14ac:dyDescent="0.35">
      <c r="A17" s="251" t="s">
        <v>3202</v>
      </c>
      <c r="B17" s="252"/>
      <c r="C17" s="252"/>
      <c r="D17" s="253"/>
    </row>
    <row r="18" spans="1:4" s="230" customFormat="1" ht="42" customHeight="1" x14ac:dyDescent="0.35">
      <c r="A18" s="244">
        <v>7</v>
      </c>
      <c r="B18" s="243" t="s">
        <v>1955</v>
      </c>
      <c r="C18" s="229" t="s">
        <v>3175</v>
      </c>
      <c r="D18" s="229" t="s">
        <v>1952</v>
      </c>
    </row>
    <row r="19" spans="1:4" s="230" customFormat="1" ht="42" customHeight="1" x14ac:dyDescent="0.35">
      <c r="A19" s="251" t="s">
        <v>3201</v>
      </c>
      <c r="B19" s="252"/>
      <c r="C19" s="252"/>
      <c r="D19" s="253"/>
    </row>
    <row r="20" spans="1:4" s="230" customFormat="1" ht="48" customHeight="1" x14ac:dyDescent="0.35">
      <c r="A20" s="244">
        <v>8</v>
      </c>
      <c r="B20" s="243" t="s">
        <v>1985</v>
      </c>
      <c r="C20" s="229" t="s">
        <v>3175</v>
      </c>
      <c r="D20" s="231"/>
    </row>
    <row r="21" spans="1:4" s="230" customFormat="1" ht="48" customHeight="1" x14ac:dyDescent="0.35">
      <c r="A21" s="251" t="s">
        <v>3200</v>
      </c>
      <c r="B21" s="252"/>
      <c r="C21" s="252"/>
      <c r="D21" s="253"/>
    </row>
    <row r="22" spans="1:4" s="230" customFormat="1" ht="48" customHeight="1" x14ac:dyDescent="0.35">
      <c r="A22" s="244">
        <v>9</v>
      </c>
      <c r="B22" s="243" t="s">
        <v>2008</v>
      </c>
      <c r="C22" s="229" t="s">
        <v>3175</v>
      </c>
      <c r="D22" s="231"/>
    </row>
    <row r="23" spans="1:4" s="230" customFormat="1" ht="48" customHeight="1" x14ac:dyDescent="0.35">
      <c r="A23" s="251" t="s">
        <v>3199</v>
      </c>
      <c r="B23" s="252"/>
      <c r="C23" s="252"/>
      <c r="D23" s="253"/>
    </row>
    <row r="24" spans="1:4" s="230" customFormat="1" ht="48" customHeight="1" x14ac:dyDescent="0.35">
      <c r="A24" s="244">
        <v>10</v>
      </c>
      <c r="B24" s="243" t="s">
        <v>2057</v>
      </c>
      <c r="C24" s="229" t="s">
        <v>3175</v>
      </c>
      <c r="D24" s="231"/>
    </row>
    <row r="25" spans="1:4" s="230" customFormat="1" ht="48" customHeight="1" x14ac:dyDescent="0.35">
      <c r="A25" s="251" t="s">
        <v>3198</v>
      </c>
      <c r="B25" s="252"/>
      <c r="C25" s="252"/>
      <c r="D25" s="253"/>
    </row>
    <row r="26" spans="1:4" s="230" customFormat="1" ht="48" customHeight="1" x14ac:dyDescent="0.35">
      <c r="A26" s="244">
        <v>11</v>
      </c>
      <c r="B26" s="243" t="s">
        <v>2082</v>
      </c>
      <c r="C26" s="229" t="s">
        <v>3175</v>
      </c>
      <c r="D26" s="231" t="s">
        <v>2083</v>
      </c>
    </row>
    <row r="27" spans="1:4" s="230" customFormat="1" ht="48" customHeight="1" x14ac:dyDescent="0.35">
      <c r="A27" s="251" t="s">
        <v>3169</v>
      </c>
      <c r="B27" s="252"/>
      <c r="C27" s="252"/>
      <c r="D27" s="253"/>
    </row>
    <row r="28" spans="1:4" s="230" customFormat="1" ht="48" customHeight="1" x14ac:dyDescent="0.35">
      <c r="A28" s="244">
        <v>12</v>
      </c>
      <c r="B28" s="246" t="s">
        <v>2138</v>
      </c>
      <c r="C28" s="227" t="s">
        <v>3174</v>
      </c>
      <c r="D28" s="231"/>
    </row>
    <row r="29" spans="1:4" s="230" customFormat="1" ht="48" customHeight="1" x14ac:dyDescent="0.35">
      <c r="A29" s="244">
        <v>13</v>
      </c>
      <c r="B29" s="243" t="s">
        <v>2132</v>
      </c>
      <c r="C29" s="229" t="s">
        <v>3175</v>
      </c>
      <c r="D29" s="231"/>
    </row>
    <row r="30" spans="1:4" s="230" customFormat="1" ht="48" customHeight="1" x14ac:dyDescent="0.35">
      <c r="A30" s="251" t="s">
        <v>3197</v>
      </c>
      <c r="B30" s="252"/>
      <c r="C30" s="252"/>
      <c r="D30" s="253"/>
    </row>
    <row r="31" spans="1:4" s="230" customFormat="1" ht="48" customHeight="1" x14ac:dyDescent="0.35">
      <c r="A31" s="244">
        <v>14</v>
      </c>
      <c r="B31" s="243" t="s">
        <v>2160</v>
      </c>
      <c r="C31" s="229" t="s">
        <v>3175</v>
      </c>
      <c r="D31" s="231"/>
    </row>
    <row r="32" spans="1:4" s="230" customFormat="1" ht="48" customHeight="1" x14ac:dyDescent="0.35">
      <c r="A32" s="251" t="s">
        <v>3196</v>
      </c>
      <c r="B32" s="252"/>
      <c r="C32" s="252"/>
      <c r="D32" s="253"/>
    </row>
    <row r="33" spans="1:4" s="230" customFormat="1" ht="48" customHeight="1" x14ac:dyDescent="0.35">
      <c r="A33" s="244">
        <v>15</v>
      </c>
      <c r="B33" s="246" t="s">
        <v>2199</v>
      </c>
      <c r="C33" s="227" t="s">
        <v>3174</v>
      </c>
      <c r="D33" s="231"/>
    </row>
    <row r="34" spans="1:4" s="230" customFormat="1" ht="48" customHeight="1" x14ac:dyDescent="0.35">
      <c r="A34" s="251" t="s">
        <v>3195</v>
      </c>
      <c r="B34" s="252"/>
      <c r="C34" s="252"/>
      <c r="D34" s="253"/>
    </row>
    <row r="35" spans="1:4" s="230" customFormat="1" ht="48" customHeight="1" x14ac:dyDescent="0.35">
      <c r="A35" s="244">
        <v>16</v>
      </c>
      <c r="B35" s="243" t="s">
        <v>2213</v>
      </c>
      <c r="C35" s="229" t="s">
        <v>3175</v>
      </c>
      <c r="D35" s="231"/>
    </row>
    <row r="36" spans="1:4" s="230" customFormat="1" ht="48" customHeight="1" x14ac:dyDescent="0.35">
      <c r="A36" s="244">
        <v>17</v>
      </c>
      <c r="B36" s="243" t="s">
        <v>2215</v>
      </c>
      <c r="C36" s="229" t="s">
        <v>3175</v>
      </c>
      <c r="D36" s="231"/>
    </row>
    <row r="37" spans="1:4" s="230" customFormat="1" ht="48" customHeight="1" x14ac:dyDescent="0.35">
      <c r="A37" s="251" t="s">
        <v>3194</v>
      </c>
      <c r="B37" s="252"/>
      <c r="C37" s="252"/>
      <c r="D37" s="253"/>
    </row>
    <row r="38" spans="1:4" s="230" customFormat="1" ht="48" customHeight="1" x14ac:dyDescent="0.35">
      <c r="A38" s="244">
        <v>18</v>
      </c>
      <c r="B38" s="246" t="s">
        <v>2244</v>
      </c>
      <c r="C38" s="227" t="s">
        <v>3174</v>
      </c>
      <c r="D38" s="231"/>
    </row>
    <row r="39" spans="1:4" s="230" customFormat="1" ht="48" customHeight="1" x14ac:dyDescent="0.35">
      <c r="A39" s="251" t="s">
        <v>3193</v>
      </c>
      <c r="B39" s="252"/>
      <c r="C39" s="252"/>
      <c r="D39" s="253"/>
    </row>
    <row r="40" spans="1:4" s="230" customFormat="1" ht="48" customHeight="1" x14ac:dyDescent="0.35">
      <c r="A40" s="244">
        <v>19</v>
      </c>
      <c r="B40" s="243" t="s">
        <v>2284</v>
      </c>
      <c r="C40" s="229" t="s">
        <v>3175</v>
      </c>
      <c r="D40" s="231"/>
    </row>
    <row r="41" spans="1:4" s="230" customFormat="1" ht="48" customHeight="1" x14ac:dyDescent="0.35">
      <c r="A41" s="244">
        <v>20</v>
      </c>
      <c r="B41" s="243" t="s">
        <v>2295</v>
      </c>
      <c r="C41" s="229" t="s">
        <v>3175</v>
      </c>
      <c r="D41" s="231"/>
    </row>
    <row r="42" spans="1:4" s="230" customFormat="1" ht="48" customHeight="1" x14ac:dyDescent="0.35">
      <c r="A42" s="244">
        <v>21</v>
      </c>
      <c r="B42" s="243" t="s">
        <v>2311</v>
      </c>
      <c r="C42" s="229" t="s">
        <v>3175</v>
      </c>
      <c r="D42" s="231" t="s">
        <v>2953</v>
      </c>
    </row>
    <row r="43" spans="1:4" s="230" customFormat="1" ht="48" customHeight="1" x14ac:dyDescent="0.35">
      <c r="A43" s="251" t="s">
        <v>3192</v>
      </c>
      <c r="B43" s="252"/>
      <c r="C43" s="252"/>
      <c r="D43" s="253"/>
    </row>
    <row r="44" spans="1:4" s="230" customFormat="1" ht="48" customHeight="1" x14ac:dyDescent="0.35">
      <c r="A44" s="244">
        <v>22</v>
      </c>
      <c r="B44" s="243" t="s">
        <v>2324</v>
      </c>
      <c r="C44" s="229" t="s">
        <v>3175</v>
      </c>
      <c r="D44" s="231"/>
    </row>
    <row r="45" spans="1:4" s="230" customFormat="1" ht="48" customHeight="1" x14ac:dyDescent="0.35">
      <c r="A45" s="244">
        <v>23</v>
      </c>
      <c r="B45" s="243" t="s">
        <v>2325</v>
      </c>
      <c r="C45" s="229" t="s">
        <v>3175</v>
      </c>
      <c r="D45" s="231"/>
    </row>
    <row r="46" spans="1:4" s="230" customFormat="1" ht="48" customHeight="1" x14ac:dyDescent="0.35">
      <c r="A46" s="244">
        <v>24</v>
      </c>
      <c r="B46" s="243" t="s">
        <v>2326</v>
      </c>
      <c r="C46" s="229" t="s">
        <v>3175</v>
      </c>
      <c r="D46" s="231"/>
    </row>
    <row r="47" spans="1:4" s="230" customFormat="1" ht="48" customHeight="1" x14ac:dyDescent="0.35">
      <c r="A47" s="244">
        <v>25</v>
      </c>
      <c r="B47" s="243" t="s">
        <v>2327</v>
      </c>
      <c r="C47" s="229" t="s">
        <v>3175</v>
      </c>
      <c r="D47" s="231"/>
    </row>
    <row r="48" spans="1:4" s="230" customFormat="1" ht="48" customHeight="1" x14ac:dyDescent="0.35">
      <c r="A48" s="244">
        <v>26</v>
      </c>
      <c r="B48" s="243" t="s">
        <v>2328</v>
      </c>
      <c r="C48" s="229" t="s">
        <v>3175</v>
      </c>
      <c r="D48" s="231"/>
    </row>
    <row r="49" spans="1:4" s="230" customFormat="1" ht="48" customHeight="1" x14ac:dyDescent="0.35">
      <c r="A49" s="244">
        <v>27</v>
      </c>
      <c r="B49" s="243" t="s">
        <v>3137</v>
      </c>
      <c r="C49" s="229" t="s">
        <v>3175</v>
      </c>
      <c r="D49" s="231"/>
    </row>
    <row r="50" spans="1:4" s="230" customFormat="1" ht="48" customHeight="1" x14ac:dyDescent="0.35">
      <c r="A50" s="244">
        <v>28</v>
      </c>
      <c r="B50" s="243" t="s">
        <v>2333</v>
      </c>
      <c r="C50" s="229" t="s">
        <v>3175</v>
      </c>
      <c r="D50" s="231"/>
    </row>
    <row r="51" spans="1:4" s="230" customFormat="1" ht="48" customHeight="1" x14ac:dyDescent="0.35">
      <c r="A51" s="244">
        <v>29</v>
      </c>
      <c r="B51" s="243" t="s">
        <v>2334</v>
      </c>
      <c r="C51" s="229" t="s">
        <v>3175</v>
      </c>
      <c r="D51" s="231"/>
    </row>
    <row r="52" spans="1:4" s="230" customFormat="1" ht="48" customHeight="1" x14ac:dyDescent="0.35">
      <c r="A52" s="244">
        <v>30</v>
      </c>
      <c r="B52" s="243" t="s">
        <v>2339</v>
      </c>
      <c r="C52" s="229" t="s">
        <v>3175</v>
      </c>
      <c r="D52" s="231"/>
    </row>
    <row r="53" spans="1:4" s="230" customFormat="1" ht="48" customHeight="1" x14ac:dyDescent="0.35">
      <c r="A53" s="244">
        <v>31</v>
      </c>
      <c r="B53" s="243" t="s">
        <v>2347</v>
      </c>
      <c r="C53" s="229" t="s">
        <v>3175</v>
      </c>
      <c r="D53" s="231"/>
    </row>
    <row r="54" spans="1:4" s="230" customFormat="1" ht="48" customHeight="1" x14ac:dyDescent="0.35">
      <c r="A54" s="244">
        <v>32</v>
      </c>
      <c r="B54" s="243" t="s">
        <v>2348</v>
      </c>
      <c r="C54" s="229" t="s">
        <v>3175</v>
      </c>
      <c r="D54" s="231"/>
    </row>
    <row r="55" spans="1:4" s="230" customFormat="1" ht="48" customHeight="1" x14ac:dyDescent="0.35">
      <c r="A55" s="244">
        <v>33</v>
      </c>
      <c r="B55" s="243" t="s">
        <v>2352</v>
      </c>
      <c r="C55" s="229" t="s">
        <v>3175</v>
      </c>
      <c r="D55" s="231"/>
    </row>
    <row r="56" spans="1:4" s="230" customFormat="1" ht="48" customHeight="1" x14ac:dyDescent="0.35">
      <c r="A56" s="244">
        <v>34</v>
      </c>
      <c r="B56" s="243" t="s">
        <v>2353</v>
      </c>
      <c r="C56" s="229" t="s">
        <v>3175</v>
      </c>
      <c r="D56" s="231"/>
    </row>
    <row r="57" spans="1:4" s="230" customFormat="1" ht="48" customHeight="1" x14ac:dyDescent="0.35">
      <c r="A57" s="251" t="s">
        <v>3191</v>
      </c>
      <c r="B57" s="252"/>
      <c r="C57" s="252"/>
      <c r="D57" s="253"/>
    </row>
    <row r="58" spans="1:4" s="230" customFormat="1" ht="48" customHeight="1" x14ac:dyDescent="0.35">
      <c r="A58" s="244">
        <v>35</v>
      </c>
      <c r="B58" s="243" t="s">
        <v>2361</v>
      </c>
      <c r="C58" s="229" t="s">
        <v>3175</v>
      </c>
      <c r="D58" s="231"/>
    </row>
    <row r="59" spans="1:4" s="230" customFormat="1" ht="48" customHeight="1" x14ac:dyDescent="0.35">
      <c r="A59" s="244">
        <v>36</v>
      </c>
      <c r="B59" s="243" t="s">
        <v>2369</v>
      </c>
      <c r="C59" s="229" t="s">
        <v>3175</v>
      </c>
      <c r="D59" s="231"/>
    </row>
    <row r="60" spans="1:4" s="230" customFormat="1" ht="48" customHeight="1" x14ac:dyDescent="0.35">
      <c r="A60" s="244">
        <v>37</v>
      </c>
      <c r="B60" s="243" t="s">
        <v>2373</v>
      </c>
      <c r="C60" s="229" t="s">
        <v>3175</v>
      </c>
      <c r="D60" s="231"/>
    </row>
    <row r="61" spans="1:4" s="230" customFormat="1" ht="48" customHeight="1" x14ac:dyDescent="0.35">
      <c r="A61" s="244">
        <v>38</v>
      </c>
      <c r="B61" s="243" t="s">
        <v>2378</v>
      </c>
      <c r="C61" s="229" t="s">
        <v>3175</v>
      </c>
      <c r="D61" s="231"/>
    </row>
    <row r="62" spans="1:4" s="230" customFormat="1" ht="48" customHeight="1" x14ac:dyDescent="0.35">
      <c r="A62" s="244">
        <v>39</v>
      </c>
      <c r="B62" s="243" t="s">
        <v>2380</v>
      </c>
      <c r="C62" s="229" t="s">
        <v>3175</v>
      </c>
      <c r="D62" s="231"/>
    </row>
    <row r="63" spans="1:4" s="230" customFormat="1" ht="48" customHeight="1" x14ac:dyDescent="0.35">
      <c r="A63" s="244">
        <v>40</v>
      </c>
      <c r="B63" s="243" t="s">
        <v>2384</v>
      </c>
      <c r="C63" s="229" t="s">
        <v>3175</v>
      </c>
      <c r="D63" s="231"/>
    </row>
    <row r="64" spans="1:4" s="230" customFormat="1" ht="48" customHeight="1" x14ac:dyDescent="0.35">
      <c r="A64" s="244">
        <v>41</v>
      </c>
      <c r="B64" s="243" t="s">
        <v>2388</v>
      </c>
      <c r="C64" s="229" t="s">
        <v>3175</v>
      </c>
      <c r="D64" s="231"/>
    </row>
    <row r="65" spans="1:4" s="230" customFormat="1" ht="48" customHeight="1" x14ac:dyDescent="0.35">
      <c r="A65" s="244">
        <v>42</v>
      </c>
      <c r="B65" s="246" t="s">
        <v>2389</v>
      </c>
      <c r="C65" s="227" t="s">
        <v>3174</v>
      </c>
      <c r="D65" s="231"/>
    </row>
    <row r="66" spans="1:4" s="230" customFormat="1" ht="48" customHeight="1" x14ac:dyDescent="0.35">
      <c r="A66" s="244">
        <v>43</v>
      </c>
      <c r="B66" s="243" t="s">
        <v>2390</v>
      </c>
      <c r="C66" s="229" t="s">
        <v>3175</v>
      </c>
      <c r="D66" s="231"/>
    </row>
    <row r="67" spans="1:4" s="230" customFormat="1" ht="48" customHeight="1" x14ac:dyDescent="0.35">
      <c r="A67" s="244">
        <v>44</v>
      </c>
      <c r="B67" s="246" t="s">
        <v>2391</v>
      </c>
      <c r="C67" s="227" t="s">
        <v>3174</v>
      </c>
      <c r="D67" s="231"/>
    </row>
    <row r="68" spans="1:4" s="230" customFormat="1" ht="48" customHeight="1" x14ac:dyDescent="0.35">
      <c r="A68" s="244">
        <v>45</v>
      </c>
      <c r="B68" s="243" t="s">
        <v>2392</v>
      </c>
      <c r="C68" s="229" t="s">
        <v>3175</v>
      </c>
      <c r="D68" s="231"/>
    </row>
    <row r="69" spans="1:4" s="230" customFormat="1" ht="48" customHeight="1" x14ac:dyDescent="0.35">
      <c r="A69" s="244">
        <v>46</v>
      </c>
      <c r="B69" s="243" t="s">
        <v>2396</v>
      </c>
      <c r="C69" s="229" t="s">
        <v>3175</v>
      </c>
      <c r="D69" s="231"/>
    </row>
    <row r="70" spans="1:4" s="230" customFormat="1" ht="48" customHeight="1" x14ac:dyDescent="0.35">
      <c r="A70" s="244">
        <v>47</v>
      </c>
      <c r="B70" s="243" t="s">
        <v>2398</v>
      </c>
      <c r="C70" s="229" t="s">
        <v>3175</v>
      </c>
      <c r="D70" s="231"/>
    </row>
    <row r="71" spans="1:4" s="230" customFormat="1" ht="48" customHeight="1" x14ac:dyDescent="0.35">
      <c r="A71" s="244">
        <v>48</v>
      </c>
      <c r="B71" s="243" t="s">
        <v>2402</v>
      </c>
      <c r="C71" s="229" t="s">
        <v>3175</v>
      </c>
      <c r="D71" s="231"/>
    </row>
    <row r="72" spans="1:4" s="230" customFormat="1" ht="48" customHeight="1" x14ac:dyDescent="0.35">
      <c r="A72" s="244">
        <v>49</v>
      </c>
      <c r="B72" s="243" t="s">
        <v>2406</v>
      </c>
      <c r="C72" s="229" t="s">
        <v>3175</v>
      </c>
      <c r="D72" s="231"/>
    </row>
    <row r="73" spans="1:4" s="230" customFormat="1" ht="48" customHeight="1" x14ac:dyDescent="0.35">
      <c r="A73" s="244">
        <v>50</v>
      </c>
      <c r="B73" s="243" t="s">
        <v>2411</v>
      </c>
      <c r="C73" s="229" t="s">
        <v>3175</v>
      </c>
      <c r="D73" s="231"/>
    </row>
    <row r="74" spans="1:4" s="230" customFormat="1" ht="48" customHeight="1" x14ac:dyDescent="0.35">
      <c r="A74" s="244">
        <v>51</v>
      </c>
      <c r="B74" s="243" t="s">
        <v>2415</v>
      </c>
      <c r="C74" s="229" t="s">
        <v>3175</v>
      </c>
      <c r="D74" s="231"/>
    </row>
    <row r="75" spans="1:4" s="230" customFormat="1" ht="48" customHeight="1" x14ac:dyDescent="0.35">
      <c r="A75" s="244">
        <v>52</v>
      </c>
      <c r="B75" s="243" t="s">
        <v>2429</v>
      </c>
      <c r="C75" s="229" t="s">
        <v>3175</v>
      </c>
      <c r="D75" s="231"/>
    </row>
    <row r="76" spans="1:4" s="230" customFormat="1" ht="48" customHeight="1" x14ac:dyDescent="0.35">
      <c r="A76" s="251" t="s">
        <v>3189</v>
      </c>
      <c r="B76" s="252"/>
      <c r="C76" s="252"/>
      <c r="D76" s="253"/>
    </row>
    <row r="77" spans="1:4" s="230" customFormat="1" ht="48" customHeight="1" x14ac:dyDescent="0.35">
      <c r="A77" s="244">
        <v>53</v>
      </c>
      <c r="B77" s="246" t="s">
        <v>2435</v>
      </c>
      <c r="C77" s="227" t="s">
        <v>3174</v>
      </c>
      <c r="D77" s="231"/>
    </row>
    <row r="78" spans="1:4" s="230" customFormat="1" ht="48" customHeight="1" x14ac:dyDescent="0.35">
      <c r="A78" s="244">
        <v>54</v>
      </c>
      <c r="B78" s="243" t="s">
        <v>2436</v>
      </c>
      <c r="C78" s="229" t="s">
        <v>3175</v>
      </c>
      <c r="D78" s="231"/>
    </row>
    <row r="79" spans="1:4" s="230" customFormat="1" ht="48" customHeight="1" x14ac:dyDescent="0.35">
      <c r="A79" s="251" t="s">
        <v>3190</v>
      </c>
      <c r="B79" s="252"/>
      <c r="C79" s="252"/>
      <c r="D79" s="253"/>
    </row>
    <row r="80" spans="1:4" s="230" customFormat="1" ht="48" customHeight="1" x14ac:dyDescent="0.35">
      <c r="A80" s="244">
        <v>55</v>
      </c>
      <c r="B80" s="243" t="s">
        <v>2442</v>
      </c>
      <c r="C80" s="229" t="s">
        <v>3175</v>
      </c>
      <c r="D80" s="231"/>
    </row>
    <row r="81" spans="1:4" s="230" customFormat="1" ht="48" customHeight="1" x14ac:dyDescent="0.35">
      <c r="A81" s="244">
        <v>56</v>
      </c>
      <c r="B81" s="243" t="s">
        <v>2446</v>
      </c>
      <c r="C81" s="229" t="s">
        <v>3175</v>
      </c>
      <c r="D81" s="231"/>
    </row>
    <row r="82" spans="1:4" s="230" customFormat="1" ht="48" customHeight="1" x14ac:dyDescent="0.35">
      <c r="A82" s="251" t="s">
        <v>3188</v>
      </c>
      <c r="B82" s="252"/>
      <c r="C82" s="252"/>
      <c r="D82" s="253"/>
    </row>
    <row r="83" spans="1:4" s="230" customFormat="1" ht="48" customHeight="1" x14ac:dyDescent="0.35">
      <c r="A83" s="244">
        <v>57</v>
      </c>
      <c r="B83" s="243" t="s">
        <v>2567</v>
      </c>
      <c r="C83" s="229" t="s">
        <v>3175</v>
      </c>
      <c r="D83" s="231"/>
    </row>
    <row r="84" spans="1:4" s="230" customFormat="1" ht="48" customHeight="1" x14ac:dyDescent="0.35">
      <c r="A84" s="244">
        <v>58</v>
      </c>
      <c r="B84" s="243" t="s">
        <v>2585</v>
      </c>
      <c r="C84" s="229" t="s">
        <v>3175</v>
      </c>
      <c r="D84" s="231"/>
    </row>
    <row r="85" spans="1:4" s="230" customFormat="1" ht="48" customHeight="1" x14ac:dyDescent="0.35">
      <c r="A85" s="244">
        <v>59</v>
      </c>
      <c r="B85" s="243" t="s">
        <v>2604</v>
      </c>
      <c r="C85" s="229" t="s">
        <v>3175</v>
      </c>
      <c r="D85" s="231"/>
    </row>
    <row r="86" spans="1:4" s="230" customFormat="1" ht="48" customHeight="1" x14ac:dyDescent="0.35">
      <c r="A86" s="251" t="s">
        <v>3187</v>
      </c>
      <c r="B86" s="252"/>
      <c r="C86" s="252"/>
      <c r="D86" s="253"/>
    </row>
    <row r="87" spans="1:4" s="230" customFormat="1" ht="48" customHeight="1" x14ac:dyDescent="0.35">
      <c r="A87" s="244">
        <v>60</v>
      </c>
      <c r="B87" s="243" t="s">
        <v>2618</v>
      </c>
      <c r="C87" s="229" t="s">
        <v>3175</v>
      </c>
      <c r="D87" s="231"/>
    </row>
    <row r="88" spans="1:4" s="230" customFormat="1" ht="48" customHeight="1" x14ac:dyDescent="0.35">
      <c r="A88" s="244">
        <v>61</v>
      </c>
      <c r="B88" s="243" t="s">
        <v>2636</v>
      </c>
      <c r="C88" s="229" t="s">
        <v>3175</v>
      </c>
      <c r="D88" s="231"/>
    </row>
    <row r="89" spans="1:4" s="230" customFormat="1" ht="48" customHeight="1" x14ac:dyDescent="0.35">
      <c r="A89" s="244">
        <v>62</v>
      </c>
      <c r="B89" s="243" t="s">
        <v>2647</v>
      </c>
      <c r="C89" s="229" t="s">
        <v>3175</v>
      </c>
      <c r="D89" s="231"/>
    </row>
    <row r="90" spans="1:4" s="230" customFormat="1" ht="48" customHeight="1" x14ac:dyDescent="0.35">
      <c r="A90" s="244">
        <v>63</v>
      </c>
      <c r="B90" s="243" t="s">
        <v>2648</v>
      </c>
      <c r="C90" s="229" t="s">
        <v>3175</v>
      </c>
      <c r="D90" s="231"/>
    </row>
    <row r="91" spans="1:4" s="230" customFormat="1" ht="48" customHeight="1" x14ac:dyDescent="0.35">
      <c r="A91" s="244">
        <v>64</v>
      </c>
      <c r="B91" s="243" t="s">
        <v>2649</v>
      </c>
      <c r="C91" s="229" t="s">
        <v>3175</v>
      </c>
      <c r="D91" s="231"/>
    </row>
    <row r="92" spans="1:4" s="230" customFormat="1" ht="48" customHeight="1" x14ac:dyDescent="0.35">
      <c r="A92" s="244">
        <v>65</v>
      </c>
      <c r="B92" s="243" t="s">
        <v>2650</v>
      </c>
      <c r="C92" s="229" t="s">
        <v>3175</v>
      </c>
      <c r="D92" s="231"/>
    </row>
    <row r="93" spans="1:4" s="230" customFormat="1" ht="48" customHeight="1" x14ac:dyDescent="0.35">
      <c r="A93" s="244">
        <v>66</v>
      </c>
      <c r="B93" s="243" t="s">
        <v>2654</v>
      </c>
      <c r="C93" s="229" t="s">
        <v>3175</v>
      </c>
      <c r="D93" s="231"/>
    </row>
    <row r="94" spans="1:4" s="230" customFormat="1" ht="48" customHeight="1" x14ac:dyDescent="0.35">
      <c r="A94" s="244">
        <v>67</v>
      </c>
      <c r="B94" s="243" t="s">
        <v>2658</v>
      </c>
      <c r="C94" s="229" t="s">
        <v>3175</v>
      </c>
      <c r="D94" s="231"/>
    </row>
    <row r="95" spans="1:4" s="230" customFormat="1" ht="48" customHeight="1" x14ac:dyDescent="0.35">
      <c r="A95" s="313" t="s">
        <v>3177</v>
      </c>
      <c r="B95" s="313"/>
      <c r="C95" s="313"/>
      <c r="D95" s="309">
        <v>67</v>
      </c>
    </row>
  </sheetData>
  <autoFilter ref="A3:D94" xr:uid="{1CED6E6D-305E-4FA5-B78F-6094F4F2F87E}"/>
  <mergeCells count="25">
    <mergeCell ref="A23:D23"/>
    <mergeCell ref="A21:D21"/>
    <mergeCell ref="A19:D19"/>
    <mergeCell ref="A17:D17"/>
    <mergeCell ref="A15:D15"/>
    <mergeCell ref="A13:D13"/>
    <mergeCell ref="A95:C95"/>
    <mergeCell ref="A86:D86"/>
    <mergeCell ref="A82:D82"/>
    <mergeCell ref="A76:D76"/>
    <mergeCell ref="A79:D79"/>
    <mergeCell ref="A57:D57"/>
    <mergeCell ref="A43:D43"/>
    <mergeCell ref="A39:D39"/>
    <mergeCell ref="A37:D37"/>
    <mergeCell ref="A34:D34"/>
    <mergeCell ref="A32:D32"/>
    <mergeCell ref="A30:D30"/>
    <mergeCell ref="A27:D27"/>
    <mergeCell ref="A25:D25"/>
    <mergeCell ref="A1:D1"/>
    <mergeCell ref="A5:D5"/>
    <mergeCell ref="A6:D6"/>
    <mergeCell ref="A8:D8"/>
    <mergeCell ref="A11:D11"/>
  </mergeCells>
  <printOptions horizontalCentered="1"/>
  <pageMargins left="0.11811023622047245" right="0.11811023622047245" top="0.35433070866141736" bottom="0.15748031496062992" header="0.31496062992125984" footer="0.11811023622047245"/>
  <pageSetup paperSize="9" scale="95" orientation="portrait" r:id="rId1"/>
  <headerFooter>
    <oddFooter>&amp;C&amp;P</oddFooter>
  </headerFooter>
  <rowBreaks count="2" manualBreakCount="2">
    <brk id="53" max="3" man="1"/>
    <brk id="69" max="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E85B-24CE-4987-848F-73AB76504F67}">
  <dimension ref="A1:E15"/>
  <sheetViews>
    <sheetView view="pageBreakPreview" zoomScale="80" zoomScaleNormal="85" zoomScaleSheet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4" sqref="D4"/>
    </sheetView>
  </sheetViews>
  <sheetFormatPr defaultColWidth="9.1796875" defaultRowHeight="12.5" x14ac:dyDescent="0.25"/>
  <cols>
    <col min="1" max="1" width="7.26953125" style="224" customWidth="1"/>
    <col min="2" max="2" width="50" style="224" customWidth="1"/>
    <col min="3" max="3" width="10.36328125" style="224" customWidth="1"/>
    <col min="4" max="4" width="23.6328125" style="224" customWidth="1"/>
    <col min="5" max="5" width="23.36328125" style="225" customWidth="1"/>
    <col min="6" max="16384" width="9.1796875" style="224"/>
  </cols>
  <sheetData>
    <row r="1" spans="1:5" s="239" customFormat="1" ht="50.5" customHeight="1" x14ac:dyDescent="0.3">
      <c r="A1" s="247" t="s">
        <v>3178</v>
      </c>
      <c r="B1" s="247"/>
      <c r="C1" s="247"/>
      <c r="D1" s="247"/>
      <c r="E1" s="247"/>
    </row>
    <row r="2" spans="1:5" ht="11.25" customHeight="1" x14ac:dyDescent="0.25">
      <c r="A2" s="237"/>
      <c r="B2" s="238"/>
      <c r="C2" s="237"/>
      <c r="D2" s="237"/>
      <c r="E2" s="224"/>
    </row>
    <row r="3" spans="1:5" ht="39.75" customHeight="1" x14ac:dyDescent="0.25">
      <c r="A3" s="236" t="s">
        <v>3156</v>
      </c>
      <c r="B3" s="236" t="s">
        <v>2</v>
      </c>
      <c r="C3" s="235" t="s">
        <v>3155</v>
      </c>
      <c r="D3" s="235" t="s">
        <v>3180</v>
      </c>
      <c r="E3" s="234" t="s">
        <v>3179</v>
      </c>
    </row>
    <row r="4" spans="1:5" ht="22.5" customHeight="1" x14ac:dyDescent="0.25">
      <c r="A4" s="233">
        <v>1</v>
      </c>
      <c r="B4" s="232">
        <v>2</v>
      </c>
      <c r="C4" s="232">
        <v>3</v>
      </c>
      <c r="D4" s="232">
        <v>4</v>
      </c>
      <c r="E4" s="240">
        <v>5</v>
      </c>
    </row>
    <row r="5" spans="1:5" ht="22.5" customHeight="1" x14ac:dyDescent="0.25">
      <c r="A5" s="251" t="s">
        <v>3150</v>
      </c>
      <c r="B5" s="252"/>
      <c r="C5" s="252"/>
      <c r="D5" s="252"/>
      <c r="E5" s="253"/>
    </row>
    <row r="6" spans="1:5" ht="39.75" customHeight="1" x14ac:dyDescent="0.25">
      <c r="A6" s="229">
        <v>1</v>
      </c>
      <c r="B6" s="228" t="s">
        <v>928</v>
      </c>
      <c r="C6" s="227" t="s">
        <v>3168</v>
      </c>
      <c r="D6" s="229" t="s">
        <v>938</v>
      </c>
      <c r="E6" s="314" t="s">
        <v>3181</v>
      </c>
    </row>
    <row r="7" spans="1:5" s="230" customFormat="1" ht="32" customHeight="1" x14ac:dyDescent="0.35">
      <c r="A7" s="251" t="s">
        <v>3183</v>
      </c>
      <c r="B7" s="252"/>
      <c r="C7" s="252"/>
      <c r="D7" s="252"/>
      <c r="E7" s="253"/>
    </row>
    <row r="8" spans="1:5" s="230" customFormat="1" ht="60" customHeight="1" x14ac:dyDescent="0.35">
      <c r="A8" s="229">
        <v>2</v>
      </c>
      <c r="B8" s="228" t="s">
        <v>1558</v>
      </c>
      <c r="C8" s="227" t="s">
        <v>3174</v>
      </c>
      <c r="D8" s="229" t="s">
        <v>2906</v>
      </c>
      <c r="E8" s="314" t="s">
        <v>3182</v>
      </c>
    </row>
    <row r="9" spans="1:5" s="230" customFormat="1" ht="34.5" customHeight="1" x14ac:dyDescent="0.35">
      <c r="A9" s="251" t="s">
        <v>3184</v>
      </c>
      <c r="B9" s="252"/>
      <c r="C9" s="252"/>
      <c r="D9" s="252"/>
      <c r="E9" s="253"/>
    </row>
    <row r="10" spans="1:5" s="230" customFormat="1" ht="42" customHeight="1" x14ac:dyDescent="0.35">
      <c r="A10" s="229">
        <v>3</v>
      </c>
      <c r="B10" s="228" t="s">
        <v>2016</v>
      </c>
      <c r="C10" s="227" t="s">
        <v>3174</v>
      </c>
      <c r="D10" s="229" t="s">
        <v>2017</v>
      </c>
      <c r="E10" s="314" t="s">
        <v>3181</v>
      </c>
    </row>
    <row r="11" spans="1:5" s="230" customFormat="1" ht="37.5" customHeight="1" x14ac:dyDescent="0.35">
      <c r="A11" s="251" t="s">
        <v>3186</v>
      </c>
      <c r="B11" s="252"/>
      <c r="C11" s="252"/>
      <c r="D11" s="252"/>
      <c r="E11" s="253"/>
    </row>
    <row r="12" spans="1:5" s="230" customFormat="1" ht="48" customHeight="1" x14ac:dyDescent="0.35">
      <c r="A12" s="229">
        <v>4</v>
      </c>
      <c r="B12" s="228" t="s">
        <v>2024</v>
      </c>
      <c r="C12" s="227" t="s">
        <v>3168</v>
      </c>
      <c r="D12" s="229" t="s">
        <v>509</v>
      </c>
      <c r="E12" s="231" t="s">
        <v>3181</v>
      </c>
    </row>
    <row r="13" spans="1:5" s="230" customFormat="1" ht="42" customHeight="1" x14ac:dyDescent="0.35">
      <c r="A13" s="251" t="s">
        <v>3185</v>
      </c>
      <c r="B13" s="252"/>
      <c r="C13" s="252"/>
      <c r="D13" s="252"/>
      <c r="E13" s="253"/>
    </row>
    <row r="14" spans="1:5" s="230" customFormat="1" ht="60" customHeight="1" x14ac:dyDescent="0.35">
      <c r="A14" s="229">
        <v>5</v>
      </c>
      <c r="B14" s="228" t="s">
        <v>2688</v>
      </c>
      <c r="C14" s="227" t="s">
        <v>2452</v>
      </c>
      <c r="D14" s="229" t="s">
        <v>2689</v>
      </c>
      <c r="E14" s="231" t="s">
        <v>3181</v>
      </c>
    </row>
    <row r="15" spans="1:5" ht="31" customHeight="1" x14ac:dyDescent="0.25">
      <c r="A15" s="310" t="s">
        <v>3176</v>
      </c>
      <c r="B15" s="310"/>
      <c r="C15" s="310"/>
      <c r="D15" s="240"/>
      <c r="E15" s="240">
        <v>5</v>
      </c>
    </row>
  </sheetData>
  <autoFilter ref="A3:E14" xr:uid="{1CED6E6D-305E-4FA5-B78F-6094F4F2F87E}"/>
  <mergeCells count="7">
    <mergeCell ref="A13:E13"/>
    <mergeCell ref="A15:C15"/>
    <mergeCell ref="A1:E1"/>
    <mergeCell ref="A5:E5"/>
    <mergeCell ref="A7:E7"/>
    <mergeCell ref="A9:E9"/>
    <mergeCell ref="A11:E11"/>
  </mergeCells>
  <conditionalFormatting sqref="B6:E6 B8:E8 B12:E12 B14:E14 A5 B10:E10">
    <cfRule type="cellIs" dxfId="360" priority="1" operator="equal">
      <formula>"""Jabatan Lowong Nomeklatur Baru"""</formula>
    </cfRule>
  </conditionalFormatting>
  <printOptions horizontalCentered="1"/>
  <pageMargins left="0.11811023622047245" right="0.11811023622047245" top="0.35433070866141736" bottom="0.15748031496062992" header="0.31496062992125984" footer="0.11811023622047245"/>
  <pageSetup paperSize="9" scale="87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DATA NOMINATIF JABATAN</vt:lpstr>
      <vt:lpstr>DATA NOMINATIF JABATAN (2)</vt:lpstr>
      <vt:lpstr>Eselon II</vt:lpstr>
      <vt:lpstr>Eselon III</vt:lpstr>
      <vt:lpstr>Eselon IV</vt:lpstr>
      <vt:lpstr>PENSIUN</vt:lpstr>
      <vt:lpstr>'DATA NOMINATIF JABATAN'!Print_Area</vt:lpstr>
      <vt:lpstr>'DATA NOMINATIF JABATAN (2)'!Print_Area</vt:lpstr>
      <vt:lpstr>'Eselon II'!Print_Area</vt:lpstr>
      <vt:lpstr>'Eselon III'!Print_Area</vt:lpstr>
      <vt:lpstr>'Eselon IV'!Print_Area</vt:lpstr>
      <vt:lpstr>PENSIUN!Print_Area</vt:lpstr>
      <vt:lpstr>'DATA NOMINATIF JABATAN'!Print_Titles</vt:lpstr>
      <vt:lpstr>'DATA NOMINATIF JABATAN (2)'!Print_Titles</vt:lpstr>
      <vt:lpstr>'Eselon II'!Print_Titles</vt:lpstr>
      <vt:lpstr>'Eselon III'!Print_Titles</vt:lpstr>
      <vt:lpstr>'Eselon IV'!Print_Titles</vt:lpstr>
      <vt:lpstr>PENSIUN!Print_Titles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Septian</dc:creator>
  <cp:lastModifiedBy>Evan Septian</cp:lastModifiedBy>
  <cp:lastPrinted>2026-09-01T03:14:44Z</cp:lastPrinted>
  <dcterms:created xsi:type="dcterms:W3CDTF">2026-02-13T03:03:28Z</dcterms:created>
  <dcterms:modified xsi:type="dcterms:W3CDTF">2026-09-01T03:22:44Z</dcterms:modified>
</cp:coreProperties>
</file>